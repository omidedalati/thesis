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report\"/>
    </mc:Choice>
  </mc:AlternateContent>
  <xr:revisionPtr revIDLastSave="0" documentId="13_ncr:1_{705ED4AA-C273-4390-977C-00B989D5C2A8}" xr6:coauthVersionLast="46" xr6:coauthVersionMax="46" xr10:uidLastSave="{00000000-0000-0000-0000-000000000000}"/>
  <bookViews>
    <workbookView xWindow="-120" yWindow="-120" windowWidth="29040" windowHeight="15840" xr2:uid="{219C7FA2-49D3-427B-87CF-D5B9256F5224}"/>
  </bookViews>
  <sheets>
    <sheet name="هیدرومدول" sheetId="3" r:id="rId1"/>
    <sheet name="نتایج" sheetId="4" r:id="rId2"/>
  </sheets>
  <externalReferences>
    <externalReference r:id="rId3"/>
    <externalReference r:id="rId4"/>
  </externalReferences>
  <definedNames>
    <definedName name="_Key1" localSheetId="1" hidden="1">'[1]ضغد ءب آظنé '!#REF!</definedName>
    <definedName name="_Key1" hidden="1">'[1]ضغد ءب آظنé '!#REF!</definedName>
    <definedName name="_Order1" hidden="1">255</definedName>
    <definedName name="_Sort" hidden="1">'[1]ضغد ءب آظنé '!#REF!</definedName>
    <definedName name="çسçر76">[2]çسçرءهآس!$C$2:$J$39</definedName>
    <definedName name="Spots">#REF!</definedName>
    <definedName name="بسوآهè">[2]çسçرءهآس!$CY$83:$DD$97</definedName>
    <definedName name="مشآسطçسçرهآèآوè">[2]çسçرءهآس!$T$6:$AA$23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3" l="1"/>
  <c r="P37" i="3" l="1"/>
  <c r="U39" i="4"/>
  <c r="N39" i="4"/>
  <c r="L39" i="4"/>
  <c r="G39" i="4"/>
  <c r="F39" i="4"/>
  <c r="E39" i="4"/>
  <c r="Q39" i="4"/>
  <c r="J39" i="4"/>
  <c r="I39" i="4"/>
  <c r="N26" i="3"/>
  <c r="M26" i="3" s="1"/>
  <c r="L26" i="3" s="1"/>
  <c r="I26" i="3"/>
  <c r="H26" i="3" s="1"/>
  <c r="F26" i="3"/>
  <c r="U38" i="4"/>
  <c r="Q38" i="4"/>
  <c r="N38" i="4"/>
  <c r="L38" i="4"/>
  <c r="J38" i="4"/>
  <c r="I38" i="4"/>
  <c r="G38" i="4"/>
  <c r="F38" i="4"/>
  <c r="E38" i="4"/>
  <c r="M39" i="4" l="1"/>
  <c r="P39" i="4" s="1"/>
  <c r="O39" i="4"/>
  <c r="K39" i="4"/>
  <c r="K38" i="4"/>
  <c r="N6" i="3"/>
  <c r="M6" i="3" s="1"/>
  <c r="N7" i="3"/>
  <c r="M7" i="3" s="1"/>
  <c r="N8" i="3"/>
  <c r="M8" i="3" s="1"/>
  <c r="N9" i="3"/>
  <c r="M9" i="3" s="1"/>
  <c r="N10" i="3"/>
  <c r="M10" i="3" s="1"/>
  <c r="N11" i="3"/>
  <c r="N12" i="3"/>
  <c r="M12" i="3" s="1"/>
  <c r="N13" i="3"/>
  <c r="M13" i="3" s="1"/>
  <c r="N14" i="3"/>
  <c r="M14" i="3" s="1"/>
  <c r="N15" i="3"/>
  <c r="M15" i="3" s="1"/>
  <c r="N16" i="3"/>
  <c r="M16" i="3" s="1"/>
  <c r="N17" i="3"/>
  <c r="M17" i="3" s="1"/>
  <c r="N5" i="3"/>
  <c r="M5" i="3" s="1"/>
  <c r="G7" i="4"/>
  <c r="G8" i="4"/>
  <c r="G9" i="4"/>
  <c r="G10" i="4"/>
  <c r="G11" i="4"/>
  <c r="G12" i="4"/>
  <c r="G14" i="4"/>
  <c r="N14" i="4" s="1"/>
  <c r="G15" i="4"/>
  <c r="G17" i="4"/>
  <c r="G18" i="4"/>
  <c r="G19" i="4"/>
  <c r="G20" i="4"/>
  <c r="G21" i="4"/>
  <c r="G22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6" i="4"/>
  <c r="M11" i="3"/>
  <c r="I6" i="3"/>
  <c r="I7" i="3"/>
  <c r="I8" i="3"/>
  <c r="I9" i="3"/>
  <c r="I10" i="3"/>
  <c r="I11" i="3"/>
  <c r="I13" i="3"/>
  <c r="I14" i="3"/>
  <c r="I16" i="3"/>
  <c r="I17" i="3"/>
  <c r="I5" i="3"/>
  <c r="I15" i="3"/>
  <c r="I12" i="3"/>
  <c r="R39" i="4" l="1"/>
  <c r="V39" i="4" s="1"/>
  <c r="M38" i="4"/>
  <c r="O38" i="4"/>
  <c r="M18" i="4"/>
  <c r="G13" i="4"/>
  <c r="G1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F13" i="3"/>
  <c r="S39" i="4" l="1"/>
  <c r="T39" i="4" s="1"/>
  <c r="W39" i="4" s="1"/>
  <c r="P38" i="4"/>
  <c r="R38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D23" i="4"/>
  <c r="E6" i="4"/>
  <c r="S38" i="4" l="1"/>
  <c r="T38" i="4" s="1"/>
  <c r="W38" i="4" s="1"/>
  <c r="V38" i="4"/>
  <c r="E23" i="4"/>
  <c r="O30" i="4"/>
  <c r="N30" i="4"/>
  <c r="M30" i="4"/>
  <c r="L30" i="4"/>
  <c r="H30" i="4"/>
  <c r="G30" i="4"/>
  <c r="F30" i="4"/>
  <c r="E30" i="4"/>
  <c r="J28" i="4" l="1"/>
  <c r="I28" i="4"/>
  <c r="I29" i="4" l="1"/>
  <c r="K28" i="4"/>
  <c r="I31" i="4"/>
  <c r="I30" i="4" s="1"/>
  <c r="J29" i="4"/>
  <c r="J31" i="4" s="1"/>
  <c r="P28" i="4"/>
  <c r="J30" i="4" l="1"/>
  <c r="P29" i="4"/>
  <c r="P30" i="4" s="1"/>
  <c r="K29" i="4"/>
  <c r="K30" i="4" s="1"/>
  <c r="U30" i="4" s="1"/>
  <c r="L31" i="4" s="1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N7" i="4"/>
  <c r="N8" i="4"/>
  <c r="N9" i="4"/>
  <c r="N10" i="4"/>
  <c r="N11" i="4"/>
  <c r="N12" i="4"/>
  <c r="N13" i="4"/>
  <c r="N15" i="4"/>
  <c r="N16" i="4"/>
  <c r="N17" i="4"/>
  <c r="N18" i="4"/>
  <c r="N19" i="4"/>
  <c r="N20" i="4"/>
  <c r="N21" i="4"/>
  <c r="N22" i="4"/>
  <c r="M7" i="4"/>
  <c r="M8" i="4"/>
  <c r="M9" i="4"/>
  <c r="M10" i="4"/>
  <c r="M11" i="4"/>
  <c r="M12" i="4"/>
  <c r="M13" i="4"/>
  <c r="M14" i="4"/>
  <c r="M15" i="4"/>
  <c r="M16" i="4"/>
  <c r="M17" i="4"/>
  <c r="M19" i="4"/>
  <c r="M20" i="4"/>
  <c r="M21" i="4"/>
  <c r="M22" i="4"/>
  <c r="K22" i="3"/>
  <c r="G22" i="3"/>
  <c r="E22" i="3"/>
  <c r="D22" i="3"/>
  <c r="C22" i="3"/>
  <c r="N22" i="3" s="1"/>
  <c r="U6" i="4"/>
  <c r="J22" i="3" l="1"/>
  <c r="R19" i="4"/>
  <c r="S19" i="4" s="1"/>
  <c r="T19" i="4" s="1"/>
  <c r="P20" i="4"/>
  <c r="P19" i="4"/>
  <c r="P22" i="4"/>
  <c r="P21" i="4"/>
  <c r="N6" i="4"/>
  <c r="M6" i="4"/>
  <c r="L6" i="4"/>
  <c r="G23" i="4"/>
  <c r="F23" i="4"/>
  <c r="K22" i="4"/>
  <c r="K21" i="4"/>
  <c r="Q20" i="4"/>
  <c r="R20" i="4" s="1"/>
  <c r="S20" i="4" s="1"/>
  <c r="T20" i="4" s="1"/>
  <c r="K20" i="4"/>
  <c r="K19" i="4"/>
  <c r="Q7" i="4"/>
  <c r="Q8" i="4" s="1"/>
  <c r="J7" i="4"/>
  <c r="I7" i="4"/>
  <c r="O6" i="4"/>
  <c r="V19" i="4" l="1"/>
  <c r="Q9" i="4"/>
  <c r="Q10" i="4" s="1"/>
  <c r="Q11" i="4" s="1"/>
  <c r="Q12" i="4" s="1"/>
  <c r="Q13" i="4" s="1"/>
  <c r="Q14" i="4" s="1"/>
  <c r="Q15" i="4" s="1"/>
  <c r="Q16" i="4" s="1"/>
  <c r="Q17" i="4" s="1"/>
  <c r="Q18" i="4" s="1"/>
  <c r="Q28" i="4"/>
  <c r="W19" i="4"/>
  <c r="R7" i="4"/>
  <c r="S7" i="4" s="1"/>
  <c r="T7" i="4" s="1"/>
  <c r="V20" i="4"/>
  <c r="P7" i="4"/>
  <c r="W20" i="4"/>
  <c r="K6" i="4"/>
  <c r="O23" i="4"/>
  <c r="N23" i="4"/>
  <c r="H23" i="4"/>
  <c r="P6" i="4"/>
  <c r="I8" i="4"/>
  <c r="R6" i="4"/>
  <c r="K7" i="4"/>
  <c r="Q21" i="4"/>
  <c r="R21" i="4" s="1"/>
  <c r="S21" i="4" s="1"/>
  <c r="T21" i="4" s="1"/>
  <c r="W21" i="4" s="1"/>
  <c r="L23" i="4"/>
  <c r="M23" i="4"/>
  <c r="J8" i="4"/>
  <c r="R28" i="4" l="1"/>
  <c r="Q29" i="4"/>
  <c r="R29" i="4" s="1"/>
  <c r="V29" i="4" s="1"/>
  <c r="V7" i="4"/>
  <c r="V21" i="4"/>
  <c r="W7" i="4"/>
  <c r="R8" i="4"/>
  <c r="P8" i="4"/>
  <c r="J9" i="4"/>
  <c r="Q22" i="4"/>
  <c r="R22" i="4" s="1"/>
  <c r="V6" i="4"/>
  <c r="S6" i="4"/>
  <c r="T6" i="4" s="1"/>
  <c r="K8" i="4"/>
  <c r="I9" i="4"/>
  <c r="Q31" i="4" l="1"/>
  <c r="Q30" i="4" s="1"/>
  <c r="V28" i="4"/>
  <c r="V30" i="4" s="1"/>
  <c r="R30" i="4"/>
  <c r="R31" i="4" s="1"/>
  <c r="S28" i="4"/>
  <c r="S29" i="4"/>
  <c r="T29" i="4" s="1"/>
  <c r="S22" i="4"/>
  <c r="T22" i="4" s="1"/>
  <c r="W22" i="4" s="1"/>
  <c r="V22" i="4"/>
  <c r="R9" i="4"/>
  <c r="P9" i="4"/>
  <c r="V8" i="4"/>
  <c r="S8" i="4"/>
  <c r="T8" i="4" s="1"/>
  <c r="W8" i="4" s="1"/>
  <c r="Q24" i="4"/>
  <c r="I10" i="4"/>
  <c r="K9" i="4"/>
  <c r="J10" i="4"/>
  <c r="W29" i="4" l="1"/>
  <c r="T28" i="4"/>
  <c r="W28" i="4" s="1"/>
  <c r="S30" i="4"/>
  <c r="R10" i="4"/>
  <c r="P10" i="4"/>
  <c r="V9" i="4"/>
  <c r="S9" i="4"/>
  <c r="T9" i="4" s="1"/>
  <c r="W9" i="4" s="1"/>
  <c r="K10" i="4"/>
  <c r="I11" i="4"/>
  <c r="J11" i="4"/>
  <c r="W6" i="4"/>
  <c r="W30" i="4" l="1"/>
  <c r="W31" i="4" s="1"/>
  <c r="T30" i="4"/>
  <c r="T31" i="4" s="1"/>
  <c r="P11" i="4"/>
  <c r="R11" i="4"/>
  <c r="S10" i="4"/>
  <c r="T10" i="4" s="1"/>
  <c r="W10" i="4" s="1"/>
  <c r="V10" i="4"/>
  <c r="J12" i="4"/>
  <c r="K11" i="4"/>
  <c r="I12" i="4"/>
  <c r="V11" i="4" l="1"/>
  <c r="S11" i="4"/>
  <c r="T11" i="4" s="1"/>
  <c r="W11" i="4" s="1"/>
  <c r="R12" i="4"/>
  <c r="P12" i="4"/>
  <c r="I13" i="4"/>
  <c r="K12" i="4"/>
  <c r="J13" i="4"/>
  <c r="V12" i="4" l="1"/>
  <c r="S12" i="4"/>
  <c r="T12" i="4" s="1"/>
  <c r="W12" i="4" s="1"/>
  <c r="R13" i="4"/>
  <c r="P13" i="4"/>
  <c r="J14" i="4"/>
  <c r="K13" i="4"/>
  <c r="I14" i="4"/>
  <c r="V13" i="4" l="1"/>
  <c r="S13" i="4"/>
  <c r="R14" i="4"/>
  <c r="P14" i="4"/>
  <c r="I15" i="4"/>
  <c r="K14" i="4"/>
  <c r="J15" i="4"/>
  <c r="T13" i="4" l="1"/>
  <c r="P15" i="4"/>
  <c r="R15" i="4"/>
  <c r="V14" i="4"/>
  <c r="S14" i="4"/>
  <c r="T14" i="4" s="1"/>
  <c r="W14" i="4" s="1"/>
  <c r="J16" i="4"/>
  <c r="I16" i="4"/>
  <c r="K15" i="4"/>
  <c r="W13" i="4" l="1"/>
  <c r="V15" i="4"/>
  <c r="S15" i="4"/>
  <c r="T15" i="4" s="1"/>
  <c r="W15" i="4" s="1"/>
  <c r="R16" i="4"/>
  <c r="P16" i="4"/>
  <c r="J17" i="4"/>
  <c r="I17" i="4"/>
  <c r="K16" i="4"/>
  <c r="V16" i="4" l="1"/>
  <c r="S16" i="4"/>
  <c r="T16" i="4" s="1"/>
  <c r="W16" i="4" s="1"/>
  <c r="R17" i="4"/>
  <c r="S17" i="4" s="1"/>
  <c r="P17" i="4"/>
  <c r="I18" i="4"/>
  <c r="K17" i="4"/>
  <c r="J18" i="4"/>
  <c r="V17" i="4" l="1"/>
  <c r="T17" i="4"/>
  <c r="W17" i="4" s="1"/>
  <c r="R18" i="4"/>
  <c r="P18" i="4"/>
  <c r="P23" i="4" s="1"/>
  <c r="Q23" i="4" s="1"/>
  <c r="K18" i="4"/>
  <c r="I24" i="4"/>
  <c r="J24" i="4"/>
  <c r="V18" i="4" l="1"/>
  <c r="S18" i="4"/>
  <c r="T18" i="4" s="1"/>
  <c r="W18" i="4" s="1"/>
  <c r="R23" i="4"/>
  <c r="R24" i="4" s="1"/>
  <c r="I23" i="4"/>
  <c r="J23" i="4" s="1"/>
  <c r="K23" i="4"/>
  <c r="U23" i="4" l="1"/>
  <c r="V23" i="4"/>
  <c r="S23" i="4"/>
  <c r="L24" i="4" l="1"/>
  <c r="W23" i="4"/>
  <c r="W24" i="4" s="1"/>
  <c r="T23" i="4"/>
  <c r="T24" i="4" s="1"/>
  <c r="F19" i="3" l="1"/>
  <c r="F20" i="3"/>
  <c r="F21" i="3"/>
  <c r="F18" i="3"/>
  <c r="H6" i="3"/>
  <c r="H7" i="3"/>
  <c r="H8" i="3"/>
  <c r="H9" i="3"/>
  <c r="H10" i="3"/>
  <c r="H11" i="3"/>
  <c r="H12" i="3"/>
  <c r="H13" i="3"/>
  <c r="H14" i="3"/>
  <c r="H15" i="3"/>
  <c r="H16" i="3"/>
  <c r="H17" i="3"/>
  <c r="L6" i="3"/>
  <c r="L7" i="3"/>
  <c r="L8" i="3"/>
  <c r="L9" i="3"/>
  <c r="L10" i="3"/>
  <c r="L11" i="3"/>
  <c r="L12" i="3"/>
  <c r="L13" i="3"/>
  <c r="L14" i="3"/>
  <c r="L15" i="3"/>
  <c r="L16" i="3"/>
  <c r="L17" i="3"/>
  <c r="F17" i="3"/>
  <c r="F16" i="3"/>
  <c r="F15" i="3"/>
  <c r="F14" i="3"/>
  <c r="F12" i="3"/>
  <c r="F11" i="3"/>
  <c r="F10" i="3"/>
  <c r="F9" i="3"/>
  <c r="F8" i="3"/>
  <c r="F7" i="3"/>
  <c r="F6" i="3"/>
  <c r="F5" i="3"/>
  <c r="L5" i="3" l="1"/>
  <c r="L22" i="3" s="1"/>
  <c r="M22" i="3"/>
  <c r="H5" i="3"/>
  <c r="H22" i="3" s="1"/>
  <c r="I22" i="3"/>
  <c r="F22" i="3"/>
</calcChain>
</file>

<file path=xl/sharedStrings.xml><?xml version="1.0" encoding="utf-8"?>
<sst xmlns="http://schemas.openxmlformats.org/spreadsheetml/2006/main" count="88" uniqueCount="64">
  <si>
    <t>منطقه شهرداری</t>
  </si>
  <si>
    <t>مساحت</t>
  </si>
  <si>
    <t>هکتار</t>
  </si>
  <si>
    <t>هزار متر مکعب</t>
  </si>
  <si>
    <t>نیاز آبیاری سالانه</t>
  </si>
  <si>
    <t>جمع کل</t>
  </si>
  <si>
    <t>نیاز آبیاری
 ماه اوج</t>
  </si>
  <si>
    <t>لیتر در ثانیه در هکتار</t>
  </si>
  <si>
    <t>لکه‏های موجود</t>
  </si>
  <si>
    <t>لکه‏های طرح تفصیلی</t>
  </si>
  <si>
    <t>لکه‏های طرح توسعه</t>
  </si>
  <si>
    <t>هیدرومدول
ماه اوج</t>
  </si>
  <si>
    <t>برآورد آب موردنیاز آبیاری و خدمات شهری در مناطق شهری</t>
  </si>
  <si>
    <t>منطقه</t>
  </si>
  <si>
    <r>
      <t xml:space="preserve">سطح کاربری فضای سبز؛ </t>
    </r>
    <r>
      <rPr>
        <b/>
        <sz val="12"/>
        <color theme="1"/>
        <rFont val="B Mitra"/>
        <charset val="178"/>
      </rPr>
      <t>هکتار</t>
    </r>
  </si>
  <si>
    <t>توسعهء تکمیلی فضای سبز</t>
  </si>
  <si>
    <t>سهم فضاهای سبز متفرقه</t>
  </si>
  <si>
    <r>
      <t xml:space="preserve">فضای سبز مبنای طراحی؛
</t>
    </r>
    <r>
      <rPr>
        <sz val="14"/>
        <color rgb="FF680000"/>
        <rFont val="B Mitra"/>
        <charset val="178"/>
      </rPr>
      <t>هکتار</t>
    </r>
  </si>
  <si>
    <t>نیاز آبیاری ماه اوج؛ لیتردرثانیه</t>
  </si>
  <si>
    <t>نیاز آبیاری؛ هزارمترمکعب</t>
  </si>
  <si>
    <t>ظرفیت واحد ماه اوج</t>
  </si>
  <si>
    <t>وضعِ موجود</t>
  </si>
  <si>
    <t>درحال توسعه‌</t>
  </si>
  <si>
    <t>طرح تفصیلی</t>
  </si>
  <si>
    <t>پهنه‌های ‌توسعه‌نیافته</t>
  </si>
  <si>
    <t>وضع موجود</t>
  </si>
  <si>
    <t>توسعه متفرقه و تکمیلی</t>
  </si>
  <si>
    <t>خدمات غیرآبیاری</t>
  </si>
  <si>
    <t>مبنای طراحی</t>
  </si>
  <si>
    <t>ماه اوج</t>
  </si>
  <si>
    <t>سالانه</t>
  </si>
  <si>
    <t>سهم ماه اوج نسبت به سال</t>
  </si>
  <si>
    <t>لیتردرثانیه
 درهکتار</t>
  </si>
  <si>
    <t>مترمکعب
 در هکتار</t>
  </si>
  <si>
    <t>-</t>
  </si>
  <si>
    <t>حجم نیاز سالانه</t>
  </si>
  <si>
    <t>میلیون مترمکعب</t>
  </si>
  <si>
    <t>سازمان پارک‏ها</t>
  </si>
  <si>
    <t>مساحت محاسبه نیاز آبیاری</t>
  </si>
  <si>
    <t>کمربند</t>
  </si>
  <si>
    <t>میادین</t>
  </si>
  <si>
    <t>لچکی ها</t>
  </si>
  <si>
    <t>آیلند های بزرگراه</t>
  </si>
  <si>
    <t>آیلند ها</t>
  </si>
  <si>
    <t>حاشیه های بزرگراه</t>
  </si>
  <si>
    <t>حاشیه معابر</t>
  </si>
  <si>
    <t>پارک های زیر 6 هکتار</t>
  </si>
  <si>
    <t>پارک های بین 6 تا 10 هکتار</t>
  </si>
  <si>
    <t>پارک های بالای 10 هکتار</t>
  </si>
  <si>
    <t>جنگل کاری داخل محدوده</t>
  </si>
  <si>
    <t>کمربند سبز حفاظتی</t>
  </si>
  <si>
    <t>هیدرومدول ماه اوج (لیتر در ثانیه در هکتار)</t>
  </si>
  <si>
    <t>درصد فضای سبز</t>
  </si>
  <si>
    <t>بوستان غدیر</t>
  </si>
  <si>
    <t>جنگل اباصلت</t>
  </si>
  <si>
    <t>بوستان شهرک ابوذر (فاز 1و2و3)</t>
  </si>
  <si>
    <t>فاز4</t>
  </si>
  <si>
    <t>فاز3</t>
  </si>
  <si>
    <t>بوستان شهرک ابوذر (فاز 4و5و6)</t>
  </si>
  <si>
    <t>فاز2</t>
  </si>
  <si>
    <t>فاز1</t>
  </si>
  <si>
    <t>منطقه 7</t>
  </si>
  <si>
    <t>پارک‏های بزرگ منطقه 7</t>
  </si>
  <si>
    <t>جنگل کمپوست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</si>
</sst>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 Zar"/>
      <charset val="178"/>
    </font>
    <font>
      <b/>
      <sz val="10"/>
      <color theme="1"/>
      <name val="B Zar"/>
      <charset val="178"/>
    </font>
    <font>
      <sz val="12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FF0000"/>
      <name val="B Zar"/>
      <charset val="178"/>
    </font>
    <font>
      <sz val="11"/>
      <color theme="1"/>
      <name val="B Titr"/>
      <charset val="178"/>
    </font>
    <font>
      <sz val="16"/>
      <color rgb="FFC00000"/>
      <name val="B Mitra"/>
      <charset val="178"/>
    </font>
    <font>
      <sz val="11"/>
      <color rgb="FF000000"/>
      <name val="Calibri"/>
      <family val="2"/>
      <charset val="1"/>
    </font>
    <font>
      <b/>
      <sz val="12"/>
      <color theme="1"/>
      <name val="B Mitra"/>
      <charset val="178"/>
    </font>
    <font>
      <b/>
      <sz val="14"/>
      <color theme="1"/>
      <name val="B Mitra"/>
      <charset val="178"/>
    </font>
    <font>
      <b/>
      <sz val="11"/>
      <color rgb="FF002A7E"/>
      <name val="B Mitra"/>
      <charset val="178"/>
    </font>
    <font>
      <b/>
      <sz val="14"/>
      <color rgb="FF680000"/>
      <name val="B Mitra"/>
      <charset val="178"/>
    </font>
    <font>
      <sz val="14"/>
      <color rgb="FF680000"/>
      <name val="B Mitra"/>
      <charset val="178"/>
    </font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4"/>
      <color theme="1"/>
      <name val="B Mitra"/>
      <charset val="178"/>
    </font>
    <font>
      <b/>
      <sz val="16"/>
      <color rgb="FFC00000"/>
      <name val="B Nazanin"/>
      <charset val="178"/>
    </font>
    <font>
      <b/>
      <sz val="18"/>
      <color rgb="FF0000CC"/>
      <name val="B Titr"/>
      <charset val="178"/>
    </font>
    <font>
      <b/>
      <sz val="18"/>
      <color rgb="FF680000"/>
      <name val="B Roya"/>
      <charset val="178"/>
    </font>
    <font>
      <b/>
      <sz val="16"/>
      <color rgb="FF0000CC"/>
      <name val="B Nazanin"/>
      <charset val="178"/>
    </font>
    <font>
      <sz val="16"/>
      <color rgb="FFC00000"/>
      <name val="B Titr"/>
      <charset val="178"/>
    </font>
    <font>
      <sz val="18"/>
      <color rgb="FFC00000"/>
      <name val="B Nazanin"/>
      <charset val="178"/>
    </font>
    <font>
      <sz val="18"/>
      <color rgb="FF680000"/>
      <name val="B Mitra"/>
      <charset val="178"/>
    </font>
    <font>
      <sz val="11"/>
      <color indexed="8"/>
      <name val="Calibri"/>
      <family val="2"/>
      <charset val="178"/>
    </font>
    <font>
      <sz val="18"/>
      <color rgb="FF680000"/>
      <name val="B Roya"/>
      <charset val="178"/>
    </font>
    <font>
      <b/>
      <sz val="16"/>
      <color rgb="FF680000"/>
      <name val="B Titr"/>
      <charset val="178"/>
    </font>
    <font>
      <sz val="16"/>
      <color rgb="FFC00000"/>
      <name val="B Roya"/>
      <charset val="178"/>
    </font>
    <font>
      <b/>
      <sz val="14"/>
      <color rgb="FFC00000"/>
      <name val="B Titr"/>
      <charset val="178"/>
    </font>
    <font>
      <sz val="18"/>
      <color rgb="FF540000"/>
      <name val="B Nazanin"/>
      <charset val="178"/>
    </font>
    <font>
      <b/>
      <sz val="18"/>
      <color rgb="FF540000"/>
      <name val="B Roya"/>
      <charset val="178"/>
    </font>
    <font>
      <sz val="16"/>
      <color rgb="FF680000"/>
      <name val="B Titr"/>
      <charset val="178"/>
    </font>
    <font>
      <sz val="18"/>
      <color rgb="FFC00000"/>
      <name val="B Mitra"/>
      <charset val="178"/>
    </font>
    <font>
      <sz val="14"/>
      <color rgb="FF000099"/>
      <name val="B Titr"/>
      <charset val="178"/>
    </font>
    <font>
      <sz val="18"/>
      <color rgb="FF680000"/>
      <name val="B Titr"/>
      <charset val="178"/>
    </font>
    <font>
      <sz val="18"/>
      <color theme="1"/>
      <name val="B Nazanin"/>
      <charset val="178"/>
    </font>
    <font>
      <sz val="12"/>
      <color theme="1"/>
      <name val="B Koodak"/>
      <charset val="178"/>
    </font>
    <font>
      <b/>
      <sz val="8"/>
      <color theme="1"/>
      <name val="B Zar"/>
      <charset val="178"/>
    </font>
    <font>
      <b/>
      <sz val="12"/>
      <color rgb="FF0000CC"/>
      <name val="B Titr"/>
      <charset val="178"/>
    </font>
    <font>
      <sz val="10"/>
      <color theme="1"/>
      <name val="B Mitra"/>
      <charset val="178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DEE6EF"/>
      </patternFill>
    </fill>
    <fill>
      <patternFill patternType="solid">
        <fgColor rgb="FFB5EEA6"/>
        <bgColor rgb="FFDEE6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5EEA6"/>
        <bgColor indexed="64"/>
      </patternFill>
    </fill>
    <fill>
      <patternFill patternType="solid">
        <fgColor theme="6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dotted">
        <color auto="1"/>
      </bottom>
      <diagonal/>
    </border>
    <border>
      <left/>
      <right style="dotted">
        <color auto="1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5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 wrapText="1"/>
    </xf>
    <xf numFmtId="165" fontId="4" fillId="4" borderId="0" xfId="1" applyNumberFormat="1" applyFont="1" applyFill="1" applyBorder="1" applyAlignment="1">
      <alignment horizontal="right" vertical="center" indent="1"/>
    </xf>
    <xf numFmtId="165" fontId="4" fillId="4" borderId="1" xfId="1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4" fontId="4" fillId="4" borderId="8" xfId="1" applyNumberFormat="1" applyFont="1" applyFill="1" applyBorder="1" applyAlignment="1">
      <alignment horizontal="center" vertical="center"/>
    </xf>
    <xf numFmtId="164" fontId="4" fillId="4" borderId="10" xfId="1" applyNumberFormat="1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right" vertical="center" indent="1"/>
    </xf>
    <xf numFmtId="165" fontId="4" fillId="4" borderId="3" xfId="1" applyNumberFormat="1" applyFont="1" applyFill="1" applyBorder="1" applyAlignment="1">
      <alignment horizontal="center" vertical="center"/>
    </xf>
    <xf numFmtId="2" fontId="4" fillId="4" borderId="5" xfId="1" applyNumberFormat="1" applyFont="1" applyFill="1" applyBorder="1" applyAlignment="1">
      <alignment horizontal="center" vertical="center"/>
    </xf>
    <xf numFmtId="2" fontId="4" fillId="4" borderId="7" xfId="1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0" fontId="1" fillId="4" borderId="0" xfId="2" applyFill="1"/>
    <xf numFmtId="0" fontId="7" fillId="4" borderId="0" xfId="2" applyFont="1" applyFill="1"/>
    <xf numFmtId="0" fontId="8" fillId="4" borderId="0" xfId="2" applyFont="1" applyFill="1" applyAlignment="1">
      <alignment horizontal="right" vertical="center" indent="1"/>
    </xf>
    <xf numFmtId="0" fontId="11" fillId="7" borderId="21" xfId="3" applyFont="1" applyFill="1" applyBorder="1" applyAlignment="1">
      <alignment horizontal="center" vertical="center" wrapText="1" readingOrder="2"/>
    </xf>
    <xf numFmtId="0" fontId="17" fillId="7" borderId="21" xfId="3" applyFont="1" applyFill="1" applyBorder="1" applyAlignment="1">
      <alignment horizontal="center" vertical="center" wrapText="1" readingOrder="2"/>
    </xf>
    <xf numFmtId="0" fontId="11" fillId="7" borderId="1" xfId="3" applyFont="1" applyFill="1" applyBorder="1" applyAlignment="1">
      <alignment horizontal="center" vertical="center" wrapText="1" readingOrder="2"/>
    </xf>
    <xf numFmtId="0" fontId="17" fillId="7" borderId="1" xfId="3" applyFont="1" applyFill="1" applyBorder="1" applyAlignment="1">
      <alignment horizontal="center" vertical="center" wrapText="1" readingOrder="2"/>
    </xf>
    <xf numFmtId="0" fontId="17" fillId="7" borderId="25" xfId="3" applyFont="1" applyFill="1" applyBorder="1" applyAlignment="1">
      <alignment horizontal="center" vertical="center" wrapText="1" readingOrder="2"/>
    </xf>
    <xf numFmtId="3" fontId="12" fillId="5" borderId="26" xfId="3" applyNumberFormat="1" applyFont="1" applyFill="1" applyBorder="1" applyAlignment="1">
      <alignment horizontal="center" vertical="center" wrapText="1"/>
    </xf>
    <xf numFmtId="0" fontId="13" fillId="8" borderId="24" xfId="3" applyFont="1" applyFill="1" applyBorder="1" applyAlignment="1">
      <alignment horizontal="center" vertical="center" wrapText="1" readingOrder="2"/>
    </xf>
    <xf numFmtId="0" fontId="17" fillId="7" borderId="27" xfId="3" applyFont="1" applyFill="1" applyBorder="1" applyAlignment="1">
      <alignment horizontal="center" vertical="center" wrapText="1" readingOrder="2"/>
    </xf>
    <xf numFmtId="0" fontId="16" fillId="7" borderId="28" xfId="4" applyFont="1" applyFill="1" applyBorder="1" applyAlignment="1">
      <alignment horizontal="center" vertical="top" wrapText="1"/>
    </xf>
    <xf numFmtId="0" fontId="16" fillId="7" borderId="29" xfId="4" applyFont="1" applyFill="1" applyBorder="1" applyAlignment="1">
      <alignment horizontal="center" vertical="top" wrapText="1"/>
    </xf>
    <xf numFmtId="9" fontId="18" fillId="4" borderId="15" xfId="5" applyFont="1" applyFill="1" applyBorder="1" applyAlignment="1">
      <alignment horizontal="center" vertical="center" readingOrder="1"/>
    </xf>
    <xf numFmtId="0" fontId="19" fillId="4" borderId="30" xfId="3" applyFont="1" applyFill="1" applyBorder="1" applyAlignment="1">
      <alignment horizontal="center" vertical="center" readingOrder="2"/>
    </xf>
    <xf numFmtId="166" fontId="20" fillId="4" borderId="31" xfId="3" applyNumberFormat="1" applyFont="1" applyFill="1" applyBorder="1" applyAlignment="1">
      <alignment horizontal="right" vertical="center" indent="1" readingOrder="2"/>
    </xf>
    <xf numFmtId="9" fontId="21" fillId="9" borderId="32" xfId="5" applyFont="1" applyFill="1" applyBorder="1" applyAlignment="1">
      <alignment horizontal="center" vertical="center" readingOrder="1"/>
    </xf>
    <xf numFmtId="9" fontId="21" fillId="9" borderId="31" xfId="5" applyFont="1" applyFill="1" applyBorder="1" applyAlignment="1">
      <alignment horizontal="center" vertical="center" readingOrder="1"/>
    </xf>
    <xf numFmtId="3" fontId="22" fillId="10" borderId="33" xfId="3" applyNumberFormat="1" applyFont="1" applyFill="1" applyBorder="1" applyAlignment="1">
      <alignment horizontal="right" vertical="center" indent="2" readingOrder="2"/>
    </xf>
    <xf numFmtId="3" fontId="20" fillId="4" borderId="31" xfId="3" applyNumberFormat="1" applyFont="1" applyFill="1" applyBorder="1" applyAlignment="1">
      <alignment horizontal="right" vertical="center" indent="1" readingOrder="2"/>
    </xf>
    <xf numFmtId="3" fontId="23" fillId="4" borderId="32" xfId="3" applyNumberFormat="1" applyFont="1" applyFill="1" applyBorder="1" applyAlignment="1">
      <alignment horizontal="center" vertical="center" readingOrder="2"/>
    </xf>
    <xf numFmtId="9" fontId="21" fillId="9" borderId="34" xfId="5" applyFont="1" applyFill="1" applyBorder="1" applyAlignment="1">
      <alignment horizontal="center" vertical="center" readingOrder="1"/>
    </xf>
    <xf numFmtId="3" fontId="22" fillId="8" borderId="33" xfId="3" applyNumberFormat="1" applyFont="1" applyFill="1" applyBorder="1" applyAlignment="1">
      <alignment horizontal="right" vertical="center" indent="1" readingOrder="2"/>
    </xf>
    <xf numFmtId="3" fontId="24" fillId="4" borderId="35" xfId="3" applyNumberFormat="1" applyFont="1" applyFill="1" applyBorder="1" applyAlignment="1">
      <alignment horizontal="right" vertical="center" indent="1" readingOrder="2"/>
    </xf>
    <xf numFmtId="3" fontId="24" fillId="4" borderId="31" xfId="3" applyNumberFormat="1" applyFont="1" applyFill="1" applyBorder="1" applyAlignment="1">
      <alignment horizontal="right" vertical="center" indent="1" readingOrder="2"/>
    </xf>
    <xf numFmtId="9" fontId="26" fillId="4" borderId="33" xfId="6" applyFont="1" applyFill="1" applyBorder="1" applyAlignment="1">
      <alignment horizontal="center" vertical="center"/>
    </xf>
    <xf numFmtId="4" fontId="27" fillId="4" borderId="31" xfId="3" applyNumberFormat="1" applyFont="1" applyFill="1" applyBorder="1" applyAlignment="1">
      <alignment horizontal="center" vertical="center" shrinkToFit="1"/>
    </xf>
    <xf numFmtId="3" fontId="28" fillId="4" borderId="31" xfId="3" applyNumberFormat="1" applyFont="1" applyFill="1" applyBorder="1" applyAlignment="1">
      <alignment horizontal="right" vertical="center" indent="1" shrinkToFit="1"/>
    </xf>
    <xf numFmtId="4" fontId="27" fillId="4" borderId="0" xfId="3" applyNumberFormat="1" applyFont="1" applyFill="1" applyAlignment="1">
      <alignment horizontal="center" vertical="center" shrinkToFit="1"/>
    </xf>
    <xf numFmtId="0" fontId="19" fillId="4" borderId="6" xfId="3" applyFont="1" applyFill="1" applyBorder="1" applyAlignment="1">
      <alignment horizontal="center" vertical="center" readingOrder="2"/>
    </xf>
    <xf numFmtId="166" fontId="20" fillId="4" borderId="0" xfId="3" applyNumberFormat="1" applyFont="1" applyFill="1" applyAlignment="1">
      <alignment horizontal="right" vertical="center" indent="1" readingOrder="2"/>
    </xf>
    <xf numFmtId="166" fontId="30" fillId="4" borderId="0" xfId="3" applyNumberFormat="1" applyFont="1" applyFill="1" applyAlignment="1">
      <alignment horizontal="right" vertical="center" indent="1" readingOrder="2"/>
    </xf>
    <xf numFmtId="3" fontId="30" fillId="4" borderId="0" xfId="3" applyNumberFormat="1" applyFont="1" applyFill="1" applyAlignment="1">
      <alignment horizontal="right" vertical="center" indent="1" readingOrder="2"/>
    </xf>
    <xf numFmtId="9" fontId="21" fillId="4" borderId="36" xfId="5" applyFont="1" applyFill="1" applyBorder="1" applyAlignment="1">
      <alignment horizontal="center" vertical="center" readingOrder="1"/>
    </xf>
    <xf numFmtId="9" fontId="21" fillId="4" borderId="0" xfId="5" applyFont="1" applyFill="1" applyBorder="1" applyAlignment="1">
      <alignment horizontal="center" vertical="center" readingOrder="1"/>
    </xf>
    <xf numFmtId="3" fontId="22" fillId="10" borderId="37" xfId="3" applyNumberFormat="1" applyFont="1" applyFill="1" applyBorder="1" applyAlignment="1">
      <alignment horizontal="right" vertical="center" indent="2" readingOrder="2"/>
    </xf>
    <xf numFmtId="3" fontId="20" fillId="4" borderId="0" xfId="3" applyNumberFormat="1" applyFont="1" applyFill="1" applyAlignment="1">
      <alignment horizontal="right" vertical="center" indent="1" readingOrder="2"/>
    </xf>
    <xf numFmtId="166" fontId="23" fillId="4" borderId="36" xfId="3" applyNumberFormat="1" applyFont="1" applyFill="1" applyBorder="1" applyAlignment="1">
      <alignment horizontal="center" vertical="center" readingOrder="2"/>
    </xf>
    <xf numFmtId="9" fontId="21" fillId="4" borderId="38" xfId="5" applyFont="1" applyFill="1" applyBorder="1" applyAlignment="1">
      <alignment horizontal="center" vertical="center" readingOrder="1"/>
    </xf>
    <xf numFmtId="3" fontId="22" fillId="8" borderId="37" xfId="3" applyNumberFormat="1" applyFont="1" applyFill="1" applyBorder="1" applyAlignment="1">
      <alignment horizontal="right" vertical="center" indent="1" readingOrder="2"/>
    </xf>
    <xf numFmtId="3" fontId="24" fillId="4" borderId="10" xfId="3" applyNumberFormat="1" applyFont="1" applyFill="1" applyBorder="1" applyAlignment="1">
      <alignment horizontal="right" vertical="center" indent="1" readingOrder="2"/>
    </xf>
    <xf numFmtId="3" fontId="24" fillId="4" borderId="0" xfId="3" applyNumberFormat="1" applyFont="1" applyFill="1" applyAlignment="1">
      <alignment horizontal="right" vertical="center" indent="1" readingOrder="2"/>
    </xf>
    <xf numFmtId="9" fontId="26" fillId="4" borderId="37" xfId="6" applyFont="1" applyFill="1" applyBorder="1" applyAlignment="1">
      <alignment horizontal="center" vertical="center"/>
    </xf>
    <xf numFmtId="3" fontId="28" fillId="4" borderId="0" xfId="3" applyNumberFormat="1" applyFont="1" applyFill="1" applyAlignment="1">
      <alignment horizontal="right" vertical="center" indent="1" shrinkToFit="1"/>
    </xf>
    <xf numFmtId="0" fontId="19" fillId="4" borderId="39" xfId="3" applyFont="1" applyFill="1" applyBorder="1" applyAlignment="1">
      <alignment horizontal="center" vertical="center" readingOrder="2"/>
    </xf>
    <xf numFmtId="166" fontId="20" fillId="4" borderId="40" xfId="3" applyNumberFormat="1" applyFont="1" applyFill="1" applyBorder="1" applyAlignment="1">
      <alignment horizontal="right" vertical="center" indent="1" readingOrder="2"/>
    </xf>
    <xf numFmtId="166" fontId="30" fillId="4" borderId="40" xfId="3" applyNumberFormat="1" applyFont="1" applyFill="1" applyBorder="1" applyAlignment="1">
      <alignment horizontal="right" vertical="center" indent="1" readingOrder="2"/>
    </xf>
    <xf numFmtId="3" fontId="30" fillId="4" borderId="40" xfId="3" applyNumberFormat="1" applyFont="1" applyFill="1" applyBorder="1" applyAlignment="1">
      <alignment horizontal="right" vertical="center" indent="1" readingOrder="2"/>
    </xf>
    <xf numFmtId="9" fontId="21" fillId="4" borderId="41" xfId="5" applyFont="1" applyFill="1" applyBorder="1" applyAlignment="1">
      <alignment horizontal="center" vertical="center" readingOrder="1"/>
    </xf>
    <xf numFmtId="9" fontId="21" fillId="4" borderId="40" xfId="5" applyFont="1" applyFill="1" applyBorder="1" applyAlignment="1">
      <alignment horizontal="center" vertical="center" readingOrder="1"/>
    </xf>
    <xf numFmtId="3" fontId="22" fillId="10" borderId="42" xfId="3" applyNumberFormat="1" applyFont="1" applyFill="1" applyBorder="1" applyAlignment="1">
      <alignment horizontal="right" vertical="center" indent="2" readingOrder="2"/>
    </xf>
    <xf numFmtId="3" fontId="20" fillId="4" borderId="40" xfId="3" applyNumberFormat="1" applyFont="1" applyFill="1" applyBorder="1" applyAlignment="1">
      <alignment horizontal="right" vertical="center" indent="1" readingOrder="2"/>
    </xf>
    <xf numFmtId="166" fontId="23" fillId="4" borderId="41" xfId="3" applyNumberFormat="1" applyFont="1" applyFill="1" applyBorder="1" applyAlignment="1">
      <alignment horizontal="center" vertical="center" readingOrder="2"/>
    </xf>
    <xf numFmtId="9" fontId="21" fillId="4" borderId="43" xfId="5" applyFont="1" applyFill="1" applyBorder="1" applyAlignment="1">
      <alignment horizontal="center" vertical="center" readingOrder="1"/>
    </xf>
    <xf numFmtId="3" fontId="22" fillId="8" borderId="42" xfId="3" applyNumberFormat="1" applyFont="1" applyFill="1" applyBorder="1" applyAlignment="1">
      <alignment horizontal="right" vertical="center" indent="1" readingOrder="2"/>
    </xf>
    <xf numFmtId="3" fontId="24" fillId="4" borderId="44" xfId="3" applyNumberFormat="1" applyFont="1" applyFill="1" applyBorder="1" applyAlignment="1">
      <alignment horizontal="right" vertical="center" indent="1" readingOrder="2"/>
    </xf>
    <xf numFmtId="3" fontId="24" fillId="4" borderId="40" xfId="3" applyNumberFormat="1" applyFont="1" applyFill="1" applyBorder="1" applyAlignment="1">
      <alignment horizontal="right" vertical="center" indent="1" readingOrder="2"/>
    </xf>
    <xf numFmtId="9" fontId="26" fillId="4" borderId="42" xfId="6" applyFont="1" applyFill="1" applyBorder="1" applyAlignment="1">
      <alignment horizontal="center" vertical="center"/>
    </xf>
    <xf numFmtId="4" fontId="27" fillId="4" borderId="40" xfId="3" applyNumberFormat="1" applyFont="1" applyFill="1" applyBorder="1" applyAlignment="1">
      <alignment horizontal="center" vertical="center" shrinkToFit="1"/>
    </xf>
    <xf numFmtId="3" fontId="28" fillId="4" borderId="40" xfId="3" applyNumberFormat="1" applyFont="1" applyFill="1" applyBorder="1" applyAlignment="1">
      <alignment horizontal="right" vertical="center" indent="1" shrinkToFit="1"/>
    </xf>
    <xf numFmtId="166" fontId="30" fillId="4" borderId="31" xfId="3" applyNumberFormat="1" applyFont="1" applyFill="1" applyBorder="1" applyAlignment="1">
      <alignment horizontal="right" vertical="center" indent="1" readingOrder="2"/>
    </xf>
    <xf numFmtId="3" fontId="30" fillId="4" borderId="31" xfId="3" applyNumberFormat="1" applyFont="1" applyFill="1" applyBorder="1" applyAlignment="1">
      <alignment horizontal="right" vertical="center" indent="1" readingOrder="2"/>
    </xf>
    <xf numFmtId="9" fontId="21" fillId="4" borderId="32" xfId="5" applyFont="1" applyFill="1" applyBorder="1" applyAlignment="1">
      <alignment horizontal="center" vertical="center" readingOrder="1"/>
    </xf>
    <xf numFmtId="9" fontId="21" fillId="4" borderId="31" xfId="5" applyFont="1" applyFill="1" applyBorder="1" applyAlignment="1">
      <alignment horizontal="center" vertical="center" readingOrder="1"/>
    </xf>
    <xf numFmtId="166" fontId="23" fillId="4" borderId="32" xfId="3" applyNumberFormat="1" applyFont="1" applyFill="1" applyBorder="1" applyAlignment="1">
      <alignment horizontal="center" vertical="center" readingOrder="2"/>
    </xf>
    <xf numFmtId="9" fontId="21" fillId="4" borderId="34" xfId="5" applyFont="1" applyFill="1" applyBorder="1" applyAlignment="1">
      <alignment horizontal="center" vertical="center" readingOrder="1"/>
    </xf>
    <xf numFmtId="0" fontId="19" fillId="4" borderId="45" xfId="3" applyFont="1" applyFill="1" applyBorder="1" applyAlignment="1">
      <alignment horizontal="center" vertical="center" readingOrder="2"/>
    </xf>
    <xf numFmtId="166" fontId="20" fillId="4" borderId="46" xfId="3" applyNumberFormat="1" applyFont="1" applyFill="1" applyBorder="1" applyAlignment="1">
      <alignment horizontal="right" vertical="center" indent="1" readingOrder="2"/>
    </xf>
    <xf numFmtId="166" fontId="30" fillId="4" borderId="46" xfId="3" applyNumberFormat="1" applyFont="1" applyFill="1" applyBorder="1" applyAlignment="1">
      <alignment horizontal="right" vertical="center" indent="1" readingOrder="2"/>
    </xf>
    <xf numFmtId="3" fontId="30" fillId="4" borderId="46" xfId="3" applyNumberFormat="1" applyFont="1" applyFill="1" applyBorder="1" applyAlignment="1">
      <alignment horizontal="right" vertical="center" indent="1" readingOrder="2"/>
    </xf>
    <xf numFmtId="9" fontId="21" fillId="4" borderId="47" xfId="5" applyFont="1" applyFill="1" applyBorder="1" applyAlignment="1">
      <alignment horizontal="center" vertical="center" readingOrder="1"/>
    </xf>
    <xf numFmtId="9" fontId="21" fillId="4" borderId="46" xfId="5" applyFont="1" applyFill="1" applyBorder="1" applyAlignment="1">
      <alignment horizontal="center" vertical="center" readingOrder="1"/>
    </xf>
    <xf numFmtId="3" fontId="22" fillId="10" borderId="48" xfId="3" applyNumberFormat="1" applyFont="1" applyFill="1" applyBorder="1" applyAlignment="1">
      <alignment horizontal="right" vertical="center" indent="2" readingOrder="2"/>
    </xf>
    <xf numFmtId="3" fontId="20" fillId="4" borderId="46" xfId="3" applyNumberFormat="1" applyFont="1" applyFill="1" applyBorder="1" applyAlignment="1">
      <alignment horizontal="right" vertical="center" indent="1" readingOrder="2"/>
    </xf>
    <xf numFmtId="166" fontId="23" fillId="4" borderId="47" xfId="3" applyNumberFormat="1" applyFont="1" applyFill="1" applyBorder="1" applyAlignment="1">
      <alignment horizontal="center" vertical="center" readingOrder="2"/>
    </xf>
    <xf numFmtId="9" fontId="21" fillId="4" borderId="49" xfId="5" applyFont="1" applyFill="1" applyBorder="1" applyAlignment="1">
      <alignment horizontal="center" vertical="center" readingOrder="1"/>
    </xf>
    <xf numFmtId="3" fontId="22" fillId="8" borderId="48" xfId="3" applyNumberFormat="1" applyFont="1" applyFill="1" applyBorder="1" applyAlignment="1">
      <alignment horizontal="right" vertical="center" indent="1" readingOrder="2"/>
    </xf>
    <xf numFmtId="3" fontId="24" fillId="4" borderId="50" xfId="3" applyNumberFormat="1" applyFont="1" applyFill="1" applyBorder="1" applyAlignment="1">
      <alignment horizontal="right" vertical="center" indent="1" readingOrder="2"/>
    </xf>
    <xf numFmtId="3" fontId="24" fillId="4" borderId="46" xfId="3" applyNumberFormat="1" applyFont="1" applyFill="1" applyBorder="1" applyAlignment="1">
      <alignment horizontal="right" vertical="center" indent="1" readingOrder="2"/>
    </xf>
    <xf numFmtId="9" fontId="26" fillId="4" borderId="48" xfId="6" applyFont="1" applyFill="1" applyBorder="1" applyAlignment="1">
      <alignment horizontal="center" vertical="center"/>
    </xf>
    <xf numFmtId="4" fontId="27" fillId="4" borderId="46" xfId="3" applyNumberFormat="1" applyFont="1" applyFill="1" applyBorder="1" applyAlignment="1">
      <alignment horizontal="center" vertical="center" shrinkToFit="1"/>
    </xf>
    <xf numFmtId="3" fontId="28" fillId="4" borderId="46" xfId="3" applyNumberFormat="1" applyFont="1" applyFill="1" applyBorder="1" applyAlignment="1">
      <alignment horizontal="right" vertical="center" indent="1" shrinkToFit="1"/>
    </xf>
    <xf numFmtId="166" fontId="22" fillId="10" borderId="37" xfId="3" applyNumberFormat="1" applyFont="1" applyFill="1" applyBorder="1" applyAlignment="1">
      <alignment horizontal="right" vertical="center" indent="2" readingOrder="2"/>
    </xf>
    <xf numFmtId="166" fontId="22" fillId="8" borderId="37" xfId="3" applyNumberFormat="1" applyFont="1" applyFill="1" applyBorder="1" applyAlignment="1">
      <alignment horizontal="right" vertical="center" indent="1" readingOrder="2"/>
    </xf>
    <xf numFmtId="166" fontId="24" fillId="4" borderId="10" xfId="3" applyNumberFormat="1" applyFont="1" applyFill="1" applyBorder="1" applyAlignment="1">
      <alignment horizontal="right" vertical="center" indent="1" readingOrder="2"/>
    </xf>
    <xf numFmtId="166" fontId="24" fillId="4" borderId="0" xfId="3" applyNumberFormat="1" applyFont="1" applyFill="1" applyAlignment="1">
      <alignment horizontal="right" vertical="center" indent="1" readingOrder="2"/>
    </xf>
    <xf numFmtId="0" fontId="19" fillId="11" borderId="4" xfId="3" applyFont="1" applyFill="1" applyBorder="1" applyAlignment="1">
      <alignment horizontal="center" vertical="center" readingOrder="2"/>
    </xf>
    <xf numFmtId="3" fontId="31" fillId="11" borderId="2" xfId="3" applyNumberFormat="1" applyFont="1" applyFill="1" applyBorder="1" applyAlignment="1">
      <alignment horizontal="center" vertical="center" shrinkToFit="1" readingOrder="2"/>
    </xf>
    <xf numFmtId="3" fontId="30" fillId="11" borderId="2" xfId="3" applyNumberFormat="1" applyFont="1" applyFill="1" applyBorder="1" applyAlignment="1">
      <alignment horizontal="center" vertical="center" shrinkToFit="1" readingOrder="2"/>
    </xf>
    <xf numFmtId="3" fontId="30" fillId="11" borderId="51" xfId="3" applyNumberFormat="1" applyFont="1" applyFill="1" applyBorder="1" applyAlignment="1">
      <alignment horizontal="center" vertical="center" shrinkToFit="1" readingOrder="2"/>
    </xf>
    <xf numFmtId="3" fontId="32" fillId="10" borderId="52" xfId="3" applyNumberFormat="1" applyFont="1" applyFill="1" applyBorder="1" applyAlignment="1">
      <alignment horizontal="center" vertical="center" readingOrder="2"/>
    </xf>
    <xf numFmtId="3" fontId="23" fillId="11" borderId="51" xfId="3" applyNumberFormat="1" applyFont="1" applyFill="1" applyBorder="1" applyAlignment="1">
      <alignment horizontal="center" vertical="center" shrinkToFit="1" readingOrder="2"/>
    </xf>
    <xf numFmtId="3" fontId="30" fillId="11" borderId="53" xfId="3" applyNumberFormat="1" applyFont="1" applyFill="1" applyBorder="1" applyAlignment="1">
      <alignment horizontal="center" vertical="center" shrinkToFit="1" readingOrder="2"/>
    </xf>
    <xf numFmtId="3" fontId="32" fillId="8" borderId="52" xfId="3" applyNumberFormat="1" applyFont="1" applyFill="1" applyBorder="1" applyAlignment="1">
      <alignment horizontal="center" vertical="center" readingOrder="2"/>
    </xf>
    <xf numFmtId="3" fontId="33" fillId="11" borderId="11" xfId="3" applyNumberFormat="1" applyFont="1" applyFill="1" applyBorder="1" applyAlignment="1">
      <alignment horizontal="right" vertical="center" indent="1" readingOrder="2"/>
    </xf>
    <xf numFmtId="3" fontId="33" fillId="11" borderId="2" xfId="3" applyNumberFormat="1" applyFont="1" applyFill="1" applyBorder="1" applyAlignment="1">
      <alignment horizontal="right" vertical="center" indent="1" readingOrder="2"/>
    </xf>
    <xf numFmtId="9" fontId="26" fillId="11" borderId="52" xfId="6" applyFont="1" applyFill="1" applyBorder="1" applyAlignment="1">
      <alignment horizontal="center" vertical="center"/>
    </xf>
    <xf numFmtId="4" fontId="27" fillId="11" borderId="2" xfId="3" applyNumberFormat="1" applyFont="1" applyFill="1" applyBorder="1" applyAlignment="1">
      <alignment horizontal="center" vertical="center" shrinkToFit="1"/>
    </xf>
    <xf numFmtId="3" fontId="29" fillId="11" borderId="2" xfId="3" applyNumberFormat="1" applyFont="1" applyFill="1" applyBorder="1" applyAlignment="1">
      <alignment horizontal="center" vertical="center" shrinkToFit="1"/>
    </xf>
    <xf numFmtId="3" fontId="36" fillId="4" borderId="31" xfId="3" applyNumberFormat="1" applyFont="1" applyFill="1" applyBorder="1" applyAlignment="1">
      <alignment horizontal="right" vertical="center" indent="1" readingOrder="2"/>
    </xf>
    <xf numFmtId="3" fontId="36" fillId="4" borderId="0" xfId="3" applyNumberFormat="1" applyFont="1" applyFill="1" applyAlignment="1">
      <alignment horizontal="right" vertical="center" indent="1" readingOrder="2"/>
    </xf>
    <xf numFmtId="3" fontId="36" fillId="4" borderId="40" xfId="3" applyNumberFormat="1" applyFont="1" applyFill="1" applyBorder="1" applyAlignment="1">
      <alignment horizontal="right" vertical="center" indent="1" readingOrder="2"/>
    </xf>
    <xf numFmtId="3" fontId="36" fillId="4" borderId="46" xfId="3" applyNumberFormat="1" applyFont="1" applyFill="1" applyBorder="1" applyAlignment="1">
      <alignment horizontal="right" vertical="center" indent="1" readingOrder="2"/>
    </xf>
    <xf numFmtId="43" fontId="5" fillId="3" borderId="7" xfId="0" applyNumberFormat="1" applyFont="1" applyFill="1" applyBorder="1" applyAlignment="1">
      <alignment horizontal="center" vertical="center"/>
    </xf>
    <xf numFmtId="0" fontId="19" fillId="4" borderId="7" xfId="3" applyFont="1" applyFill="1" applyBorder="1" applyAlignment="1">
      <alignment horizontal="center" vertical="center" readingOrder="2"/>
    </xf>
    <xf numFmtId="3" fontId="20" fillId="4" borderId="21" xfId="3" applyNumberFormat="1" applyFont="1" applyFill="1" applyBorder="1" applyAlignment="1">
      <alignment horizontal="right" vertical="center" indent="1" readingOrder="2"/>
    </xf>
    <xf numFmtId="166" fontId="30" fillId="4" borderId="21" xfId="3" applyNumberFormat="1" applyFont="1" applyFill="1" applyBorder="1" applyAlignment="1">
      <alignment horizontal="right" vertical="center" indent="1" readingOrder="2"/>
    </xf>
    <xf numFmtId="166" fontId="36" fillId="4" borderId="21" xfId="3" applyNumberFormat="1" applyFont="1" applyFill="1" applyBorder="1" applyAlignment="1">
      <alignment horizontal="right" vertical="center" indent="1" readingOrder="2"/>
    </xf>
    <xf numFmtId="9" fontId="21" fillId="4" borderId="25" xfId="5" applyFont="1" applyFill="1" applyBorder="1" applyAlignment="1">
      <alignment horizontal="center" vertical="center" readingOrder="1"/>
    </xf>
    <xf numFmtId="9" fontId="21" fillId="4" borderId="21" xfId="5" applyFont="1" applyFill="1" applyBorder="1" applyAlignment="1">
      <alignment horizontal="center" vertical="center" readingOrder="1"/>
    </xf>
    <xf numFmtId="3" fontId="22" fillId="10" borderId="54" xfId="3" applyNumberFormat="1" applyFont="1" applyFill="1" applyBorder="1" applyAlignment="1">
      <alignment horizontal="right" vertical="center" indent="2" readingOrder="2"/>
    </xf>
    <xf numFmtId="3" fontId="24" fillId="4" borderId="27" xfId="3" applyNumberFormat="1" applyFont="1" applyFill="1" applyBorder="1" applyAlignment="1">
      <alignment horizontal="right" vertical="center" indent="1" readingOrder="2"/>
    </xf>
    <xf numFmtId="3" fontId="24" fillId="4" borderId="21" xfId="3" applyNumberFormat="1" applyFont="1" applyFill="1" applyBorder="1" applyAlignment="1">
      <alignment horizontal="right" vertical="center" indent="1" readingOrder="2"/>
    </xf>
    <xf numFmtId="166" fontId="23" fillId="4" borderId="25" xfId="3" applyNumberFormat="1" applyFont="1" applyFill="1" applyBorder="1" applyAlignment="1">
      <alignment horizontal="center" vertical="center" readingOrder="2"/>
    </xf>
    <xf numFmtId="9" fontId="21" fillId="4" borderId="26" xfId="5" applyFont="1" applyFill="1" applyBorder="1" applyAlignment="1">
      <alignment horizontal="center" vertical="center" readingOrder="1"/>
    </xf>
    <xf numFmtId="3" fontId="22" fillId="8" borderId="54" xfId="3" applyNumberFormat="1" applyFont="1" applyFill="1" applyBorder="1" applyAlignment="1">
      <alignment horizontal="right" vertical="center" indent="1" readingOrder="2"/>
    </xf>
    <xf numFmtId="4" fontId="27" fillId="4" borderId="21" xfId="3" applyNumberFormat="1" applyFont="1" applyFill="1" applyBorder="1" applyAlignment="1">
      <alignment horizontal="center" vertical="center" shrinkToFit="1"/>
    </xf>
    <xf numFmtId="3" fontId="28" fillId="4" borderId="21" xfId="3" applyNumberFormat="1" applyFont="1" applyFill="1" applyBorder="1" applyAlignment="1">
      <alignment horizontal="right" vertical="center" indent="1" shrinkToFit="1"/>
    </xf>
    <xf numFmtId="0" fontId="19" fillId="4" borderId="5" xfId="3" applyFont="1" applyFill="1" applyBorder="1" applyAlignment="1">
      <alignment horizontal="center" vertical="center" readingOrder="2"/>
    </xf>
    <xf numFmtId="3" fontId="20" fillId="4" borderId="15" xfId="3" applyNumberFormat="1" applyFont="1" applyFill="1" applyBorder="1" applyAlignment="1">
      <alignment horizontal="right" vertical="center" indent="1" readingOrder="2"/>
    </xf>
    <xf numFmtId="166" fontId="30" fillId="4" borderId="15" xfId="3" applyNumberFormat="1" applyFont="1" applyFill="1" applyBorder="1" applyAlignment="1">
      <alignment horizontal="right" vertical="center" indent="1" readingOrder="2"/>
    </xf>
    <xf numFmtId="3" fontId="30" fillId="4" borderId="15" xfId="3" applyNumberFormat="1" applyFont="1" applyFill="1" applyBorder="1" applyAlignment="1">
      <alignment horizontal="right" vertical="center" indent="1" readingOrder="2"/>
    </xf>
    <xf numFmtId="166" fontId="36" fillId="4" borderId="15" xfId="3" applyNumberFormat="1" applyFont="1" applyFill="1" applyBorder="1" applyAlignment="1">
      <alignment horizontal="right" vertical="center" indent="1" readingOrder="2"/>
    </xf>
    <xf numFmtId="9" fontId="21" fillId="4" borderId="55" xfId="5" applyFont="1" applyFill="1" applyBorder="1" applyAlignment="1">
      <alignment horizontal="center" vertical="center" readingOrder="1"/>
    </xf>
    <xf numFmtId="9" fontId="21" fillId="4" borderId="15" xfId="5" applyFont="1" applyFill="1" applyBorder="1" applyAlignment="1">
      <alignment horizontal="center" vertical="center" readingOrder="1"/>
    </xf>
    <xf numFmtId="3" fontId="22" fillId="10" borderId="56" xfId="3" applyNumberFormat="1" applyFont="1" applyFill="1" applyBorder="1" applyAlignment="1">
      <alignment horizontal="right" vertical="center" indent="2" readingOrder="2"/>
    </xf>
    <xf numFmtId="3" fontId="24" fillId="4" borderId="19" xfId="3" applyNumberFormat="1" applyFont="1" applyFill="1" applyBorder="1" applyAlignment="1">
      <alignment horizontal="right" vertical="center" indent="1" readingOrder="2"/>
    </xf>
    <xf numFmtId="3" fontId="24" fillId="4" borderId="15" xfId="3" applyNumberFormat="1" applyFont="1" applyFill="1" applyBorder="1" applyAlignment="1">
      <alignment horizontal="right" vertical="center" indent="1" readingOrder="2"/>
    </xf>
    <xf numFmtId="166" fontId="23" fillId="4" borderId="55" xfId="3" applyNumberFormat="1" applyFont="1" applyFill="1" applyBorder="1" applyAlignment="1">
      <alignment horizontal="center" vertical="center" readingOrder="2"/>
    </xf>
    <xf numFmtId="9" fontId="21" fillId="4" borderId="57" xfId="5" applyFont="1" applyFill="1" applyBorder="1" applyAlignment="1">
      <alignment horizontal="center" vertical="center" readingOrder="1"/>
    </xf>
    <xf numFmtId="3" fontId="22" fillId="8" borderId="56" xfId="3" applyNumberFormat="1" applyFont="1" applyFill="1" applyBorder="1" applyAlignment="1">
      <alignment horizontal="right" vertical="center" indent="1" readingOrder="2"/>
    </xf>
    <xf numFmtId="4" fontId="27" fillId="4" borderId="15" xfId="3" applyNumberFormat="1" applyFont="1" applyFill="1" applyBorder="1" applyAlignment="1">
      <alignment horizontal="center" vertical="center" shrinkToFit="1"/>
    </xf>
    <xf numFmtId="3" fontId="28" fillId="4" borderId="15" xfId="3" applyNumberFormat="1" applyFont="1" applyFill="1" applyBorder="1" applyAlignment="1">
      <alignment horizontal="right" vertical="center" indent="1" shrinkToFit="1"/>
    </xf>
    <xf numFmtId="0" fontId="19" fillId="11" borderId="2" xfId="3" applyFont="1" applyFill="1" applyBorder="1" applyAlignment="1">
      <alignment horizontal="center" vertical="center" readingOrder="2"/>
    </xf>
    <xf numFmtId="0" fontId="19" fillId="4" borderId="3" xfId="3" applyFont="1" applyFill="1" applyBorder="1" applyAlignment="1">
      <alignment horizontal="center" vertical="center" readingOrder="2"/>
    </xf>
    <xf numFmtId="0" fontId="19" fillId="4" borderId="1" xfId="3" applyFont="1" applyFill="1" applyBorder="1" applyAlignment="1">
      <alignment horizontal="center" vertical="center" readingOrder="2"/>
    </xf>
    <xf numFmtId="0" fontId="1" fillId="4" borderId="2" xfId="2" applyFill="1" applyBorder="1" applyAlignment="1">
      <alignment shrinkToFit="1"/>
    </xf>
    <xf numFmtId="167" fontId="34" fillId="4" borderId="2" xfId="0" applyNumberFormat="1" applyFont="1" applyFill="1" applyBorder="1" applyAlignment="1">
      <alignment horizontal="right" vertical="center" indent="1"/>
    </xf>
    <xf numFmtId="9" fontId="18" fillId="4" borderId="51" xfId="5" applyFont="1" applyFill="1" applyBorder="1" applyAlignment="1">
      <alignment horizontal="center" vertical="center" readingOrder="1"/>
    </xf>
    <xf numFmtId="3" fontId="35" fillId="11" borderId="2" xfId="3" applyNumberFormat="1" applyFont="1" applyFill="1" applyBorder="1" applyAlignment="1">
      <alignment horizontal="right" vertical="center" shrinkToFit="1" readingOrder="2"/>
    </xf>
    <xf numFmtId="166" fontId="23" fillId="4" borderId="2" xfId="3" applyNumberFormat="1" applyFont="1" applyFill="1" applyBorder="1" applyAlignment="1">
      <alignment horizontal="center" vertical="center" shrinkToFit="1" readingOrder="2"/>
    </xf>
    <xf numFmtId="9" fontId="26" fillId="4" borderId="18" xfId="6" applyFont="1" applyFill="1" applyBorder="1" applyAlignment="1">
      <alignment horizontal="center" vertical="center"/>
    </xf>
    <xf numFmtId="9" fontId="26" fillId="4" borderId="54" xfId="6" applyFont="1" applyFill="1" applyBorder="1" applyAlignment="1">
      <alignment horizontal="center" vertical="center"/>
    </xf>
    <xf numFmtId="0" fontId="15" fillId="4" borderId="0" xfId="4" applyFill="1"/>
    <xf numFmtId="0" fontId="1" fillId="4" borderId="0" xfId="2" applyFill="1" applyAlignment="1">
      <alignment shrinkToFit="1"/>
    </xf>
    <xf numFmtId="43" fontId="2" fillId="4" borderId="0" xfId="1" applyFont="1" applyFill="1" applyAlignment="1">
      <alignment horizontal="center" vertical="center"/>
    </xf>
    <xf numFmtId="43" fontId="2" fillId="4" borderId="9" xfId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 vertical="center"/>
    </xf>
    <xf numFmtId="43" fontId="2" fillId="4" borderId="10" xfId="1" applyFont="1" applyFill="1" applyBorder="1" applyAlignment="1">
      <alignment horizontal="center" vertical="center"/>
    </xf>
    <xf numFmtId="43" fontId="2" fillId="4" borderId="0" xfId="1" applyFont="1" applyFill="1" applyBorder="1" applyAlignment="1">
      <alignment horizontal="center" vertical="center"/>
    </xf>
    <xf numFmtId="43" fontId="2" fillId="4" borderId="5" xfId="1" applyFont="1" applyFill="1" applyBorder="1" applyAlignment="1">
      <alignment horizontal="center" vertical="center"/>
    </xf>
    <xf numFmtId="43" fontId="2" fillId="4" borderId="6" xfId="1" applyFont="1" applyFill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9" fontId="1" fillId="4" borderId="1" xfId="7" applyFill="1" applyBorder="1" applyAlignment="1"/>
    <xf numFmtId="9" fontId="3" fillId="4" borderId="58" xfId="7" applyFont="1" applyFill="1" applyBorder="1" applyAlignment="1">
      <alignment horizontal="center" vertical="center"/>
    </xf>
    <xf numFmtId="166" fontId="35" fillId="11" borderId="2" xfId="3" applyNumberFormat="1" applyFont="1" applyFill="1" applyBorder="1" applyAlignment="1">
      <alignment horizontal="right" vertical="center" shrinkToFit="1" readingOrder="2"/>
    </xf>
    <xf numFmtId="0" fontId="38" fillId="4" borderId="58" xfId="0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6" fontId="20" fillId="4" borderId="2" xfId="3" applyNumberFormat="1" applyFont="1" applyFill="1" applyBorder="1" applyAlignment="1">
      <alignment horizontal="right" vertical="center" indent="1" readingOrder="2"/>
    </xf>
    <xf numFmtId="166" fontId="30" fillId="4" borderId="2" xfId="3" applyNumberFormat="1" applyFont="1" applyFill="1" applyBorder="1" applyAlignment="1">
      <alignment horizontal="right" vertical="center" indent="1" readingOrder="2"/>
    </xf>
    <xf numFmtId="3" fontId="30" fillId="4" borderId="2" xfId="3" applyNumberFormat="1" applyFont="1" applyFill="1" applyBorder="1" applyAlignment="1">
      <alignment horizontal="right" vertical="center" indent="1" readingOrder="2"/>
    </xf>
    <xf numFmtId="3" fontId="36" fillId="4" borderId="2" xfId="3" applyNumberFormat="1" applyFont="1" applyFill="1" applyBorder="1" applyAlignment="1">
      <alignment horizontal="right" vertical="center" indent="1" readingOrder="2"/>
    </xf>
    <xf numFmtId="9" fontId="21" fillId="4" borderId="51" xfId="5" applyFont="1" applyFill="1" applyBorder="1" applyAlignment="1">
      <alignment horizontal="center" vertical="center" readingOrder="1"/>
    </xf>
    <xf numFmtId="9" fontId="21" fillId="4" borderId="2" xfId="5" applyFont="1" applyFill="1" applyBorder="1" applyAlignment="1">
      <alignment horizontal="center" vertical="center" readingOrder="1"/>
    </xf>
    <xf numFmtId="3" fontId="22" fillId="10" borderId="52" xfId="3" applyNumberFormat="1" applyFont="1" applyFill="1" applyBorder="1" applyAlignment="1">
      <alignment horizontal="right" vertical="center" indent="2" readingOrder="2"/>
    </xf>
    <xf numFmtId="3" fontId="20" fillId="4" borderId="2" xfId="3" applyNumberFormat="1" applyFont="1" applyFill="1" applyBorder="1" applyAlignment="1">
      <alignment horizontal="right" vertical="center" indent="1" readingOrder="2"/>
    </xf>
    <xf numFmtId="3" fontId="24" fillId="4" borderId="11" xfId="3" applyNumberFormat="1" applyFont="1" applyFill="1" applyBorder="1" applyAlignment="1">
      <alignment horizontal="right" vertical="center" indent="1" readingOrder="2"/>
    </xf>
    <xf numFmtId="3" fontId="24" fillId="4" borderId="2" xfId="3" applyNumberFormat="1" applyFont="1" applyFill="1" applyBorder="1" applyAlignment="1">
      <alignment horizontal="right" vertical="center" indent="1" readingOrder="2"/>
    </xf>
    <xf numFmtId="166" fontId="23" fillId="4" borderId="51" xfId="3" applyNumberFormat="1" applyFont="1" applyFill="1" applyBorder="1" applyAlignment="1">
      <alignment horizontal="center" vertical="center" readingOrder="2"/>
    </xf>
    <xf numFmtId="9" fontId="21" fillId="4" borderId="53" xfId="5" applyFont="1" applyFill="1" applyBorder="1" applyAlignment="1">
      <alignment horizontal="center" vertical="center" readingOrder="1"/>
    </xf>
    <xf numFmtId="3" fontId="22" fillId="8" borderId="52" xfId="3" applyNumberFormat="1" applyFont="1" applyFill="1" applyBorder="1" applyAlignment="1">
      <alignment horizontal="right" vertical="center" indent="1" readingOrder="2"/>
    </xf>
    <xf numFmtId="9" fontId="26" fillId="4" borderId="52" xfId="6" applyFont="1" applyFill="1" applyBorder="1" applyAlignment="1">
      <alignment horizontal="center" vertical="center"/>
    </xf>
    <xf numFmtId="4" fontId="27" fillId="4" borderId="2" xfId="3" applyNumberFormat="1" applyFont="1" applyFill="1" applyBorder="1" applyAlignment="1">
      <alignment horizontal="center" vertical="center" shrinkToFit="1"/>
    </xf>
    <xf numFmtId="3" fontId="28" fillId="4" borderId="2" xfId="3" applyNumberFormat="1" applyFont="1" applyFill="1" applyBorder="1" applyAlignment="1">
      <alignment horizontal="right" vertical="center" indent="1" shrinkToFit="1"/>
    </xf>
    <xf numFmtId="0" fontId="39" fillId="4" borderId="4" xfId="3" applyFont="1" applyFill="1" applyBorder="1" applyAlignment="1">
      <alignment horizontal="center" vertical="center" readingOrder="2"/>
    </xf>
    <xf numFmtId="0" fontId="40" fillId="4" borderId="0" xfId="2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right" vertical="center" indent="1"/>
    </xf>
    <xf numFmtId="0" fontId="6" fillId="4" borderId="1" xfId="0" applyFont="1" applyFill="1" applyBorder="1" applyAlignment="1">
      <alignment horizontal="right" vertical="center" indent="1"/>
    </xf>
    <xf numFmtId="0" fontId="1" fillId="4" borderId="1" xfId="2" applyFill="1" applyBorder="1" applyAlignment="1">
      <alignment horizontal="center"/>
    </xf>
    <xf numFmtId="0" fontId="11" fillId="7" borderId="19" xfId="4" applyFont="1" applyFill="1" applyBorder="1" applyAlignment="1">
      <alignment horizontal="center" vertical="center" wrapText="1"/>
    </xf>
    <xf numFmtId="0" fontId="11" fillId="7" borderId="15" xfId="4" applyFont="1" applyFill="1" applyBorder="1" applyAlignment="1">
      <alignment horizontal="center" vertical="center" wrapText="1"/>
    </xf>
    <xf numFmtId="0" fontId="11" fillId="7" borderId="20" xfId="4" applyFont="1" applyFill="1" applyBorder="1" applyAlignment="1">
      <alignment horizontal="center" vertical="center" wrapText="1"/>
    </xf>
    <xf numFmtId="3" fontId="11" fillId="5" borderId="15" xfId="3" applyNumberFormat="1" applyFont="1" applyFill="1" applyBorder="1" applyAlignment="1">
      <alignment horizontal="center" vertical="center" wrapText="1"/>
    </xf>
    <xf numFmtId="3" fontId="11" fillId="5" borderId="19" xfId="3" applyNumberFormat="1" applyFont="1" applyFill="1" applyBorder="1" applyAlignment="1">
      <alignment horizontal="center" vertical="center" wrapText="1"/>
    </xf>
    <xf numFmtId="3" fontId="11" fillId="5" borderId="57" xfId="3" applyNumberFormat="1" applyFont="1" applyFill="1" applyBorder="1" applyAlignment="1">
      <alignment horizontal="center" vertical="center" wrapText="1"/>
    </xf>
    <xf numFmtId="166" fontId="20" fillId="4" borderId="35" xfId="3" applyNumberFormat="1" applyFont="1" applyFill="1" applyBorder="1" applyAlignment="1">
      <alignment horizontal="right" vertical="center" indent="1" readingOrder="2"/>
    </xf>
    <xf numFmtId="166" fontId="20" fillId="4" borderId="10" xfId="3" applyNumberFormat="1" applyFont="1" applyFill="1" applyBorder="1" applyAlignment="1">
      <alignment horizontal="right" vertical="center" indent="1" readingOrder="2"/>
    </xf>
    <xf numFmtId="166" fontId="20" fillId="4" borderId="9" xfId="3" applyNumberFormat="1" applyFont="1" applyFill="1" applyBorder="1" applyAlignment="1">
      <alignment horizontal="right" vertical="center" indent="1" readingOrder="2"/>
    </xf>
    <xf numFmtId="0" fontId="37" fillId="4" borderId="0" xfId="2" applyFont="1" applyFill="1" applyAlignment="1">
      <alignment horizontal="center" vertical="center" textRotation="180"/>
    </xf>
    <xf numFmtId="0" fontId="11" fillId="7" borderId="19" xfId="4" applyFont="1" applyFill="1" applyBorder="1" applyAlignment="1">
      <alignment horizontal="center" vertical="center"/>
    </xf>
    <xf numFmtId="0" fontId="11" fillId="7" borderId="15" xfId="4" applyFont="1" applyFill="1" applyBorder="1" applyAlignment="1">
      <alignment horizontal="center" vertical="center"/>
    </xf>
    <xf numFmtId="0" fontId="11" fillId="7" borderId="20" xfId="4" applyFont="1" applyFill="1" applyBorder="1" applyAlignment="1">
      <alignment horizontal="center" vertical="center"/>
    </xf>
    <xf numFmtId="3" fontId="10" fillId="5" borderId="5" xfId="3" applyNumberFormat="1" applyFont="1" applyFill="1" applyBorder="1" applyAlignment="1">
      <alignment horizontal="center" vertical="center" wrapText="1"/>
    </xf>
    <xf numFmtId="3" fontId="10" fillId="5" borderId="7" xfId="3" applyNumberFormat="1" applyFont="1" applyFill="1" applyBorder="1" applyAlignment="1">
      <alignment horizontal="center" vertical="center" wrapText="1"/>
    </xf>
    <xf numFmtId="3" fontId="12" fillId="5" borderId="16" xfId="3" applyNumberFormat="1" applyFont="1" applyFill="1" applyBorder="1" applyAlignment="1">
      <alignment horizontal="center" vertical="center" wrapText="1"/>
    </xf>
    <xf numFmtId="3" fontId="12" fillId="5" borderId="22" xfId="3" applyNumberFormat="1" applyFont="1" applyFill="1" applyBorder="1" applyAlignment="1">
      <alignment horizontal="center" vertical="center" wrapText="1"/>
    </xf>
    <xf numFmtId="3" fontId="12" fillId="5" borderId="17" xfId="3" applyNumberFormat="1" applyFont="1" applyFill="1" applyBorder="1" applyAlignment="1">
      <alignment horizontal="center" vertical="center" wrapText="1"/>
    </xf>
    <xf numFmtId="3" fontId="12" fillId="5" borderId="23" xfId="3" applyNumberFormat="1" applyFont="1" applyFill="1" applyBorder="1" applyAlignment="1">
      <alignment horizontal="center" vertical="center" wrapText="1"/>
    </xf>
    <xf numFmtId="3" fontId="13" fillId="6" borderId="18" xfId="3" applyNumberFormat="1" applyFont="1" applyFill="1" applyBorder="1" applyAlignment="1">
      <alignment horizontal="center" vertical="center" wrapText="1"/>
    </xf>
    <xf numFmtId="3" fontId="13" fillId="6" borderId="24" xfId="3" applyNumberFormat="1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 2 2" xfId="3" xr:uid="{5366C649-9A0D-4B10-ADF4-51CBD874BEC1}"/>
    <cellStyle name="Normal 4 2" xfId="4" xr:uid="{B583C205-759A-4461-B182-5957958A3B8A}"/>
    <cellStyle name="Normal 6 3" xfId="2" xr:uid="{87681260-4797-49F2-9D0F-E52D409325C0}"/>
    <cellStyle name="Percent" xfId="7" builtinId="5"/>
    <cellStyle name="Percent 2" xfId="6" xr:uid="{4966D635-4207-436F-9FB3-E3D2A26DDC6C}"/>
    <cellStyle name="Percent 5 2 2" xfId="5" xr:uid="{2FB2DC56-71FA-467A-963C-3A131623D3E2}"/>
  </cellStyles>
  <dxfs count="322"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602;&#1585;&#1607;%20&#1576;&#1575;&#159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700)_12-SABAK_Fazaye-Sabz$\02_%20Old%20in%20LapTop\_0%200000%20%200_Courses%2093-94\1393%2004-Irrigation\07%2093.08.10_Soil-Prpperties\0_13-Spring%201386\0_Drought%20Project\0_MEHDI_1\EXCEL\OMOUR\DATAENT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BF0E-80F9-45EE-8598-28C146232AA7}">
  <dimension ref="B1:Y41"/>
  <sheetViews>
    <sheetView rightToLeft="1" tabSelected="1" zoomScale="110" zoomScaleNormal="110" workbookViewId="0">
      <selection activeCell="H15" sqref="H15"/>
    </sheetView>
  </sheetViews>
  <sheetFormatPr defaultColWidth="9.28515625" defaultRowHeight="17.25" x14ac:dyDescent="0.25"/>
  <cols>
    <col min="1" max="1" width="9.28515625" style="3"/>
    <col min="2" max="2" width="8.7109375" style="3" bestFit="1" customWidth="1"/>
    <col min="3" max="5" width="11.42578125" style="3" customWidth="1"/>
    <col min="6" max="6" width="14.28515625" style="3" customWidth="1"/>
    <col min="7" max="7" width="11.42578125" style="3" customWidth="1"/>
    <col min="8" max="10" width="14.28515625" style="3" customWidth="1"/>
    <col min="11" max="11" width="11.42578125" style="3" customWidth="1"/>
    <col min="12" max="14" width="14.28515625" style="3" customWidth="1"/>
    <col min="15" max="25" width="10" style="3" customWidth="1"/>
    <col min="26" max="16384" width="9.28515625" style="3"/>
  </cols>
  <sheetData>
    <row r="1" spans="2:25" x14ac:dyDescent="0.25"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</row>
    <row r="2" spans="2:25" x14ac:dyDescent="0.25">
      <c r="C2" s="218" t="s">
        <v>8</v>
      </c>
      <c r="D2" s="218"/>
      <c r="E2" s="218"/>
      <c r="F2" s="218"/>
      <c r="G2" s="219" t="s">
        <v>9</v>
      </c>
      <c r="H2" s="219"/>
      <c r="I2" s="219"/>
      <c r="J2" s="219"/>
      <c r="K2" s="219" t="s">
        <v>10</v>
      </c>
      <c r="L2" s="219"/>
      <c r="M2" s="219"/>
      <c r="N2" s="219"/>
      <c r="O2" s="193" t="s">
        <v>52</v>
      </c>
      <c r="P2" s="191">
        <v>0.7</v>
      </c>
    </row>
    <row r="3" spans="2:25" ht="34.5" customHeight="1" x14ac:dyDescent="0.25">
      <c r="B3" s="216" t="s">
        <v>0</v>
      </c>
      <c r="C3" s="2" t="s">
        <v>1</v>
      </c>
      <c r="D3" s="2" t="s">
        <v>4</v>
      </c>
      <c r="E3" s="2" t="s">
        <v>6</v>
      </c>
      <c r="F3" s="5" t="s">
        <v>11</v>
      </c>
      <c r="G3" s="10" t="s">
        <v>1</v>
      </c>
      <c r="H3" s="2" t="s">
        <v>4</v>
      </c>
      <c r="I3" s="2" t="s">
        <v>6</v>
      </c>
      <c r="J3" s="5" t="s">
        <v>11</v>
      </c>
      <c r="K3" s="10" t="s">
        <v>1</v>
      </c>
      <c r="L3" s="2" t="s">
        <v>4</v>
      </c>
      <c r="M3" s="2" t="s">
        <v>6</v>
      </c>
      <c r="N3" s="5" t="s">
        <v>11</v>
      </c>
      <c r="O3" s="213" t="s">
        <v>51</v>
      </c>
      <c r="P3" s="214"/>
      <c r="Q3" s="214"/>
      <c r="R3" s="214"/>
      <c r="S3" s="214"/>
      <c r="T3" s="214"/>
      <c r="U3" s="214"/>
      <c r="V3" s="214"/>
      <c r="W3" s="214"/>
      <c r="X3" s="214"/>
      <c r="Y3" s="215"/>
    </row>
    <row r="4" spans="2:25" ht="34.5" x14ac:dyDescent="0.25">
      <c r="B4" s="217"/>
      <c r="C4" s="14" t="s">
        <v>2</v>
      </c>
      <c r="D4" s="1" t="s">
        <v>3</v>
      </c>
      <c r="E4" s="1" t="s">
        <v>3</v>
      </c>
      <c r="F4" s="6" t="s">
        <v>7</v>
      </c>
      <c r="G4" s="19" t="s">
        <v>2</v>
      </c>
      <c r="H4" s="1" t="s">
        <v>3</v>
      </c>
      <c r="I4" s="1" t="s">
        <v>3</v>
      </c>
      <c r="J4" s="6" t="s">
        <v>7</v>
      </c>
      <c r="K4" s="19" t="s">
        <v>2</v>
      </c>
      <c r="L4" s="1" t="s">
        <v>3</v>
      </c>
      <c r="M4" s="1" t="s">
        <v>3</v>
      </c>
      <c r="N4" s="6" t="s">
        <v>7</v>
      </c>
      <c r="O4" s="19" t="s">
        <v>40</v>
      </c>
      <c r="P4" s="14" t="s">
        <v>41</v>
      </c>
      <c r="Q4" s="14" t="s">
        <v>42</v>
      </c>
      <c r="R4" s="14" t="s">
        <v>43</v>
      </c>
      <c r="S4" s="14" t="s">
        <v>44</v>
      </c>
      <c r="T4" s="14" t="s">
        <v>45</v>
      </c>
      <c r="U4" s="14" t="s">
        <v>46</v>
      </c>
      <c r="V4" s="14" t="s">
        <v>47</v>
      </c>
      <c r="W4" s="14" t="s">
        <v>48</v>
      </c>
      <c r="X4" s="14" t="s">
        <v>49</v>
      </c>
      <c r="Y4" s="11" t="s">
        <v>50</v>
      </c>
    </row>
    <row r="5" spans="2:25" ht="18" customHeight="1" x14ac:dyDescent="0.25">
      <c r="B5" s="24">
        <v>1</v>
      </c>
      <c r="C5" s="15">
        <v>43.871776657116328</v>
      </c>
      <c r="D5" s="25">
        <v>592.16575829612327</v>
      </c>
      <c r="E5" s="15">
        <v>136.33003983317559</v>
      </c>
      <c r="F5" s="27">
        <f>E5*1000*1000/31/24/3600/C5</f>
        <v>1.1601947691739973</v>
      </c>
      <c r="G5" s="20">
        <v>10.386439999999999</v>
      </c>
      <c r="H5" s="25">
        <f>I5/(E5/D5)</f>
        <v>85.016320752372053</v>
      </c>
      <c r="I5" s="15">
        <f>J5*G5*$P$2*31*24*3600/1000/1000</f>
        <v>19.572692666307439</v>
      </c>
      <c r="J5" s="27">
        <v>1.005102570855229</v>
      </c>
      <c r="K5" s="20">
        <v>1.15334</v>
      </c>
      <c r="L5" s="26">
        <f>M5/(E5/D5)</f>
        <v>9.4404553799512474</v>
      </c>
      <c r="M5" s="15">
        <f>N5*K5*$P$2*31*24*3600/1000/1000</f>
        <v>2.17340776625668</v>
      </c>
      <c r="N5" s="27">
        <f>J5</f>
        <v>1.005102570855229</v>
      </c>
      <c r="O5" s="179">
        <v>1.0908299883589341</v>
      </c>
      <c r="P5" s="179">
        <v>1.0596278164878525</v>
      </c>
      <c r="Q5" s="179"/>
      <c r="R5" s="179">
        <v>1.141560143877359</v>
      </c>
      <c r="S5" s="179"/>
      <c r="T5" s="179">
        <v>1.3648787635169366</v>
      </c>
      <c r="U5" s="179">
        <v>1.010510573275442</v>
      </c>
      <c r="V5" s="179"/>
      <c r="W5" s="179">
        <v>1.0028237044658299</v>
      </c>
      <c r="X5" s="179"/>
      <c r="Y5" s="184"/>
    </row>
    <row r="6" spans="2:25" ht="18" customHeight="1" x14ac:dyDescent="0.25">
      <c r="B6" s="17">
        <v>2</v>
      </c>
      <c r="C6" s="16">
        <v>124.1817619095913</v>
      </c>
      <c r="D6" s="12">
        <v>1416.36743402197</v>
      </c>
      <c r="E6" s="16">
        <v>325.71664622223108</v>
      </c>
      <c r="F6" s="8">
        <f t="shared" ref="F6:F21" si="0">E6*1000*1000/31/24/3600/C6</f>
        <v>0.97927958454434316</v>
      </c>
      <c r="G6" s="21">
        <v>112.97668999999999</v>
      </c>
      <c r="H6" s="12">
        <f t="shared" ref="H6:H17" si="1">I6/(E6/D6)</f>
        <v>908.26850093205621</v>
      </c>
      <c r="I6" s="16">
        <f t="shared" ref="I6:I17" si="2">J6*G6*$P$2*31*24*3600/1000/1000</f>
        <v>208.87106190574403</v>
      </c>
      <c r="J6" s="8">
        <v>0.98608863124736801</v>
      </c>
      <c r="K6" s="21">
        <v>23.272738</v>
      </c>
      <c r="L6" s="7">
        <f t="shared" ref="L6:L17" si="3">M6/(E6/D6)</f>
        <v>187.09961192742063</v>
      </c>
      <c r="M6" s="16">
        <f t="shared" ref="M6:M17" si="4">N6*K6*$P$2*31*24*3600/1000/1000</f>
        <v>43.026588046739214</v>
      </c>
      <c r="N6" s="8">
        <f t="shared" ref="N6:N17" si="5">J6</f>
        <v>0.98608863124736801</v>
      </c>
      <c r="O6" s="179">
        <v>0.94678793101981906</v>
      </c>
      <c r="P6" s="179">
        <v>1.035151807534249</v>
      </c>
      <c r="Q6" s="179">
        <v>0.69320106385031721</v>
      </c>
      <c r="R6" s="179">
        <v>1.2511175384496691</v>
      </c>
      <c r="S6" s="179">
        <v>0.83016278346892658</v>
      </c>
      <c r="T6" s="179">
        <v>1.2234983477436228</v>
      </c>
      <c r="U6" s="179">
        <v>1.0126796227419925</v>
      </c>
      <c r="V6" s="179">
        <v>0.91486265590223692</v>
      </c>
      <c r="W6" s="179">
        <v>0.96919305038826131</v>
      </c>
      <c r="X6" s="179">
        <v>0.63882166870442258</v>
      </c>
      <c r="Y6" s="185"/>
    </row>
    <row r="7" spans="2:25" ht="18" customHeight="1" x14ac:dyDescent="0.25">
      <c r="B7" s="17">
        <v>3</v>
      </c>
      <c r="C7" s="16">
        <v>102.82180311608489</v>
      </c>
      <c r="D7" s="12">
        <v>1110.366441022275</v>
      </c>
      <c r="E7" s="16">
        <v>255.93614666738929</v>
      </c>
      <c r="F7" s="8">
        <f t="shared" si="0"/>
        <v>0.92933217876955587</v>
      </c>
      <c r="G7" s="21">
        <v>147.78485700000002</v>
      </c>
      <c r="H7" s="12">
        <f t="shared" si="1"/>
        <v>1032.9905308180469</v>
      </c>
      <c r="I7" s="16">
        <f t="shared" si="2"/>
        <v>238.10123057939956</v>
      </c>
      <c r="J7" s="8">
        <v>0.85932654578082768</v>
      </c>
      <c r="K7" s="21">
        <v>0</v>
      </c>
      <c r="L7" s="7">
        <f t="shared" si="3"/>
        <v>0</v>
      </c>
      <c r="M7" s="16">
        <f t="shared" si="4"/>
        <v>0</v>
      </c>
      <c r="N7" s="8">
        <f t="shared" si="5"/>
        <v>0.85932654578082768</v>
      </c>
      <c r="O7" s="179">
        <v>1.0746812147832523</v>
      </c>
      <c r="P7" s="179">
        <v>0.9046291651706091</v>
      </c>
      <c r="Q7" s="179">
        <v>1.128104886537882</v>
      </c>
      <c r="R7" s="179">
        <v>1.1198957768611781</v>
      </c>
      <c r="S7" s="179">
        <v>1.2400964869150246</v>
      </c>
      <c r="T7" s="179">
        <v>1.1514144911543094</v>
      </c>
      <c r="U7" s="179">
        <v>0.95172232020841141</v>
      </c>
      <c r="V7" s="179"/>
      <c r="W7" s="179">
        <v>0.77188482060997321</v>
      </c>
      <c r="X7" s="179">
        <v>0.58726419183529188</v>
      </c>
      <c r="Y7" s="185"/>
    </row>
    <row r="8" spans="2:25" ht="18" customHeight="1" x14ac:dyDescent="0.25">
      <c r="B8" s="17">
        <v>4</v>
      </c>
      <c r="C8" s="16">
        <v>60.116223804079112</v>
      </c>
      <c r="D8" s="12">
        <v>640.84225388086134</v>
      </c>
      <c r="E8" s="16">
        <v>147.3988462303391</v>
      </c>
      <c r="F8" s="8">
        <f t="shared" si="0"/>
        <v>0.91543382443966026</v>
      </c>
      <c r="G8" s="21">
        <v>67.013619999999989</v>
      </c>
      <c r="H8" s="12">
        <f t="shared" si="1"/>
        <v>470.71332035269404</v>
      </c>
      <c r="I8" s="16">
        <f t="shared" si="2"/>
        <v>108.2678301954446</v>
      </c>
      <c r="J8" s="8">
        <v>0.861713462865772</v>
      </c>
      <c r="K8" s="21">
        <v>12.292322</v>
      </c>
      <c r="L8" s="7">
        <f t="shared" si="3"/>
        <v>86.343040466467428</v>
      </c>
      <c r="M8" s="16">
        <f t="shared" si="4"/>
        <v>19.859590199779216</v>
      </c>
      <c r="N8" s="8">
        <f t="shared" si="5"/>
        <v>0.861713462865772</v>
      </c>
      <c r="O8" s="179">
        <v>1.0893134369699027</v>
      </c>
      <c r="P8" s="179">
        <v>1.1457823436947285</v>
      </c>
      <c r="Q8" s="179">
        <v>0.8465558460122139</v>
      </c>
      <c r="R8" s="179">
        <v>1.1570246951577474</v>
      </c>
      <c r="S8" s="179">
        <v>0.90277183114511717</v>
      </c>
      <c r="T8" s="179">
        <v>1.1817249507274574</v>
      </c>
      <c r="U8" s="179">
        <v>0.95354773602009013</v>
      </c>
      <c r="V8" s="179"/>
      <c r="W8" s="179">
        <v>0.85938907759655436</v>
      </c>
      <c r="X8" s="179"/>
      <c r="Y8" s="185"/>
    </row>
    <row r="9" spans="2:25" ht="18" customHeight="1" x14ac:dyDescent="0.25">
      <c r="B9" s="17">
        <v>5</v>
      </c>
      <c r="C9" s="16">
        <v>52.672953621769501</v>
      </c>
      <c r="D9" s="12">
        <v>579.61528766263905</v>
      </c>
      <c r="E9" s="16">
        <v>133.37671427845939</v>
      </c>
      <c r="F9" s="8">
        <f t="shared" si="0"/>
        <v>0.94540284766385707</v>
      </c>
      <c r="G9" s="21">
        <v>46.409061999999999</v>
      </c>
      <c r="H9" s="12">
        <f t="shared" si="1"/>
        <v>342.26889049594757</v>
      </c>
      <c r="I9" s="16">
        <f t="shared" si="2"/>
        <v>78.760344983609144</v>
      </c>
      <c r="J9" s="8">
        <v>0.90517248225714897</v>
      </c>
      <c r="K9" s="21">
        <v>65.252426999999997</v>
      </c>
      <c r="L9" s="7">
        <f t="shared" si="3"/>
        <v>481.23954307582875</v>
      </c>
      <c r="M9" s="16">
        <f t="shared" si="4"/>
        <v>110.73922721251661</v>
      </c>
      <c r="N9" s="8">
        <f t="shared" si="5"/>
        <v>0.90517248225714897</v>
      </c>
      <c r="O9" s="179">
        <v>1.0651893898887086</v>
      </c>
      <c r="P9" s="179">
        <v>1.070973582640673</v>
      </c>
      <c r="Q9" s="179">
        <v>0.80660443493244205</v>
      </c>
      <c r="R9" s="179">
        <v>1.0821871681391566</v>
      </c>
      <c r="S9" s="179">
        <v>1.1007821521109811</v>
      </c>
      <c r="T9" s="179">
        <v>1.0895481124296584</v>
      </c>
      <c r="U9" s="179">
        <v>0.91942313332833914</v>
      </c>
      <c r="V9" s="179"/>
      <c r="W9" s="179">
        <v>0.87654663202093241</v>
      </c>
      <c r="X9" s="179"/>
      <c r="Y9" s="185"/>
    </row>
    <row r="10" spans="2:25" ht="18" customHeight="1" x14ac:dyDescent="0.25">
      <c r="B10" s="17">
        <v>6</v>
      </c>
      <c r="C10" s="16">
        <v>83.623541015700667</v>
      </c>
      <c r="D10" s="12">
        <v>946.5486803341413</v>
      </c>
      <c r="E10" s="16">
        <v>217.67173639906471</v>
      </c>
      <c r="F10" s="8">
        <f t="shared" si="0"/>
        <v>0.97184734312187271</v>
      </c>
      <c r="G10" s="21">
        <v>150.228093</v>
      </c>
      <c r="H10" s="12">
        <f t="shared" si="1"/>
        <v>1145.3864335984892</v>
      </c>
      <c r="I10" s="16">
        <f t="shared" si="2"/>
        <v>263.39718075704599</v>
      </c>
      <c r="J10" s="8">
        <v>0.93516122582321826</v>
      </c>
      <c r="K10" s="21">
        <v>5.157133</v>
      </c>
      <c r="L10" s="7">
        <f t="shared" si="3"/>
        <v>39.319610976244476</v>
      </c>
      <c r="M10" s="16">
        <f t="shared" si="4"/>
        <v>9.0420790536769076</v>
      </c>
      <c r="N10" s="8">
        <f t="shared" si="5"/>
        <v>0.93516122582321826</v>
      </c>
      <c r="O10" s="179">
        <v>1.2366005534517495</v>
      </c>
      <c r="P10" s="179">
        <v>1.0846159102524136</v>
      </c>
      <c r="Q10" s="179">
        <v>0.84193721668377342</v>
      </c>
      <c r="R10" s="179">
        <v>1.1064715867982919</v>
      </c>
      <c r="S10" s="179">
        <v>0.67620835445468497</v>
      </c>
      <c r="T10" s="179">
        <v>1.1420451987681963</v>
      </c>
      <c r="U10" s="179">
        <v>0.95303295664028376</v>
      </c>
      <c r="V10" s="179">
        <v>1.0316580266909641</v>
      </c>
      <c r="W10" s="179">
        <v>0.88179739309498828</v>
      </c>
      <c r="X10" s="179"/>
      <c r="Y10" s="185"/>
    </row>
    <row r="11" spans="2:25" ht="18" customHeight="1" x14ac:dyDescent="0.25">
      <c r="B11" s="17">
        <v>7</v>
      </c>
      <c r="C11" s="16">
        <v>335.02762817527099</v>
      </c>
      <c r="D11" s="12">
        <v>2765.1432824698641</v>
      </c>
      <c r="E11" s="16">
        <v>637.24697234970495</v>
      </c>
      <c r="F11" s="8">
        <f t="shared" si="0"/>
        <v>0.71015266582214576</v>
      </c>
      <c r="G11" s="21">
        <v>285.439525</v>
      </c>
      <c r="H11" s="12">
        <f t="shared" si="1"/>
        <v>1615.1700534978856</v>
      </c>
      <c r="I11" s="16">
        <f t="shared" si="2"/>
        <v>372.22744765041159</v>
      </c>
      <c r="J11" s="8">
        <v>0.69553791329457482</v>
      </c>
      <c r="K11" s="21">
        <v>0</v>
      </c>
      <c r="L11" s="7">
        <f t="shared" si="3"/>
        <v>0</v>
      </c>
      <c r="M11" s="16">
        <f t="shared" si="4"/>
        <v>0</v>
      </c>
      <c r="N11" s="8">
        <f t="shared" si="5"/>
        <v>0.69553791329457482</v>
      </c>
      <c r="O11" s="179">
        <v>1.0456141191630135</v>
      </c>
      <c r="P11" s="179">
        <v>0.92525615031941877</v>
      </c>
      <c r="Q11" s="179">
        <v>0.86016860807196482</v>
      </c>
      <c r="R11" s="179">
        <v>1.0192636677718057</v>
      </c>
      <c r="S11" s="179">
        <v>0.82549795780720081</v>
      </c>
      <c r="T11" s="179">
        <v>0.97252326079831419</v>
      </c>
      <c r="U11" s="179">
        <v>0.86749811528039</v>
      </c>
      <c r="V11" s="179">
        <v>0.74361741767437428</v>
      </c>
      <c r="W11" s="179">
        <v>0.56222595724690128</v>
      </c>
      <c r="X11" s="179">
        <v>0.56986527375379337</v>
      </c>
      <c r="Y11" s="185">
        <v>0.45514023857526881</v>
      </c>
    </row>
    <row r="12" spans="2:25" ht="18" customHeight="1" x14ac:dyDescent="0.25">
      <c r="B12" s="17">
        <v>8</v>
      </c>
      <c r="C12" s="16">
        <v>94.7596580134242</v>
      </c>
      <c r="D12" s="12">
        <v>878.39226417666225</v>
      </c>
      <c r="E12" s="16">
        <v>202.33147828431649</v>
      </c>
      <c r="F12" s="8">
        <f t="shared" si="0"/>
        <v>0.79719494025946447</v>
      </c>
      <c r="G12" s="21">
        <v>162.43614499999998</v>
      </c>
      <c r="H12" s="12">
        <f t="shared" si="1"/>
        <v>1004.5352733534196</v>
      </c>
      <c r="I12" s="16">
        <f t="shared" si="2"/>
        <v>231.3876329920181</v>
      </c>
      <c r="J12" s="8">
        <v>0.75977323970878197</v>
      </c>
      <c r="K12" s="21">
        <v>0</v>
      </c>
      <c r="L12" s="7">
        <f t="shared" si="3"/>
        <v>0</v>
      </c>
      <c r="M12" s="16">
        <f t="shared" si="4"/>
        <v>0</v>
      </c>
      <c r="N12" s="8">
        <f t="shared" si="5"/>
        <v>0.75977323970878197</v>
      </c>
      <c r="O12" s="179">
        <v>1.164434606048973</v>
      </c>
      <c r="P12" s="179">
        <v>1.1392112728189525</v>
      </c>
      <c r="Q12" s="179">
        <v>1.125085339031441</v>
      </c>
      <c r="R12" s="179">
        <v>1.1091364904587167</v>
      </c>
      <c r="S12" s="179">
        <v>0.62254756017356327</v>
      </c>
      <c r="T12" s="179">
        <v>1.2194799383420272</v>
      </c>
      <c r="U12" s="179">
        <v>0.80651770218206087</v>
      </c>
      <c r="V12" s="179"/>
      <c r="W12" s="179">
        <v>0.75413340715538513</v>
      </c>
      <c r="X12" s="179">
        <v>0.66202216520039081</v>
      </c>
      <c r="Y12" s="185">
        <v>0.46157641107078051</v>
      </c>
    </row>
    <row r="13" spans="2:25" ht="18" customHeight="1" x14ac:dyDescent="0.25">
      <c r="B13" s="17">
        <v>9</v>
      </c>
      <c r="C13" s="16">
        <v>289.47211037856698</v>
      </c>
      <c r="D13" s="12">
        <v>2598.795147517314</v>
      </c>
      <c r="E13" s="16">
        <v>598.5456341501208</v>
      </c>
      <c r="F13" s="8">
        <f t="shared" si="0"/>
        <v>0.77199609531576885</v>
      </c>
      <c r="G13" s="21">
        <v>357.86860200000001</v>
      </c>
      <c r="H13" s="12">
        <f t="shared" si="1"/>
        <v>1735.1600182362515</v>
      </c>
      <c r="I13" s="16">
        <f t="shared" si="2"/>
        <v>399.63613694573939</v>
      </c>
      <c r="J13" s="8">
        <f>0.794157086830346*0.75</f>
        <v>0.59561781512275958</v>
      </c>
      <c r="K13" s="21">
        <v>0</v>
      </c>
      <c r="L13" s="7">
        <f t="shared" si="3"/>
        <v>0</v>
      </c>
      <c r="M13" s="16">
        <f t="shared" si="4"/>
        <v>0</v>
      </c>
      <c r="N13" s="8">
        <f t="shared" si="5"/>
        <v>0.59561781512275958</v>
      </c>
      <c r="O13" s="179">
        <v>1.1652190159303448</v>
      </c>
      <c r="P13" s="179">
        <v>0.99296283926793916</v>
      </c>
      <c r="Q13" s="179">
        <v>0.8864409877859214</v>
      </c>
      <c r="R13" s="179">
        <v>1.0015168799838807</v>
      </c>
      <c r="S13" s="179">
        <v>1.0958137082510708</v>
      </c>
      <c r="T13" s="179">
        <v>1.1150936640281</v>
      </c>
      <c r="U13" s="179">
        <v>0.88674023728373452</v>
      </c>
      <c r="V13" s="179">
        <v>0.94516880877731113</v>
      </c>
      <c r="W13" s="179">
        <v>0.73723400587137244</v>
      </c>
      <c r="X13" s="179">
        <v>0.54789073923833964</v>
      </c>
      <c r="Y13" s="185"/>
    </row>
    <row r="14" spans="2:25" ht="18" customHeight="1" x14ac:dyDescent="0.25">
      <c r="B14" s="17">
        <v>10</v>
      </c>
      <c r="C14" s="16">
        <v>150.62832334020399</v>
      </c>
      <c r="D14" s="12">
        <v>1578.6839753242109</v>
      </c>
      <c r="E14" s="16">
        <v>362.67210659306278</v>
      </c>
      <c r="F14" s="8">
        <f t="shared" si="0"/>
        <v>0.89894283796642749</v>
      </c>
      <c r="G14" s="21">
        <v>39.023788000000003</v>
      </c>
      <c r="H14" s="12">
        <f t="shared" si="1"/>
        <v>299.59795648434647</v>
      </c>
      <c r="I14" s="16">
        <f t="shared" si="2"/>
        <v>68.826835330890262</v>
      </c>
      <c r="J14" s="8">
        <v>0.94070813805889131</v>
      </c>
      <c r="K14" s="21">
        <v>0</v>
      </c>
      <c r="L14" s="7">
        <f t="shared" si="3"/>
        <v>0</v>
      </c>
      <c r="M14" s="16">
        <f t="shared" si="4"/>
        <v>0</v>
      </c>
      <c r="N14" s="8">
        <f t="shared" si="5"/>
        <v>0.94070813805889131</v>
      </c>
      <c r="O14" s="179">
        <v>1.0701538899511363</v>
      </c>
      <c r="P14" s="179">
        <v>0.83150026979321934</v>
      </c>
      <c r="Q14" s="179">
        <v>1.0808712615608373</v>
      </c>
      <c r="R14" s="179">
        <v>1.1393087276317948</v>
      </c>
      <c r="S14" s="179">
        <v>0.743579594114117</v>
      </c>
      <c r="T14" s="179">
        <v>0.91962253041321962</v>
      </c>
      <c r="U14" s="179">
        <v>0.93668464393916173</v>
      </c>
      <c r="V14" s="179"/>
      <c r="W14" s="179"/>
      <c r="X14" s="179">
        <v>0.52016027265745002</v>
      </c>
      <c r="Y14" s="185"/>
    </row>
    <row r="15" spans="2:25" ht="18" customHeight="1" x14ac:dyDescent="0.25">
      <c r="B15" s="17">
        <v>11</v>
      </c>
      <c r="C15" s="16">
        <v>127.618583502101</v>
      </c>
      <c r="D15" s="12">
        <v>1424.0588774545499</v>
      </c>
      <c r="E15" s="16">
        <v>327.58873207146809</v>
      </c>
      <c r="F15" s="8">
        <f t="shared" si="0"/>
        <v>0.95838409766091381</v>
      </c>
      <c r="G15" s="21">
        <v>152.21254500000001</v>
      </c>
      <c r="H15" s="12">
        <f t="shared" si="1"/>
        <v>1074.5683757867778</v>
      </c>
      <c r="I15" s="16">
        <f t="shared" si="2"/>
        <v>247.1923719736246</v>
      </c>
      <c r="J15" s="8">
        <v>0.86618596226041034</v>
      </c>
      <c r="K15" s="21">
        <v>0</v>
      </c>
      <c r="L15" s="7">
        <f t="shared" si="3"/>
        <v>0</v>
      </c>
      <c r="M15" s="16">
        <f t="shared" si="4"/>
        <v>0</v>
      </c>
      <c r="N15" s="8">
        <f t="shared" si="5"/>
        <v>0.86618596226041034</v>
      </c>
      <c r="O15" s="179">
        <v>1.1537571102139135</v>
      </c>
      <c r="P15" s="179">
        <v>1.0897128084789405</v>
      </c>
      <c r="Q15" s="179">
        <v>1.094399866627527</v>
      </c>
      <c r="R15" s="179">
        <v>1.1993997107302437</v>
      </c>
      <c r="S15" s="179">
        <v>1.305151456871537</v>
      </c>
      <c r="T15" s="179">
        <v>1.2592738313665679</v>
      </c>
      <c r="U15" s="179">
        <v>0.96390597888610841</v>
      </c>
      <c r="V15" s="179"/>
      <c r="W15" s="179">
        <v>0.81598050900352936</v>
      </c>
      <c r="X15" s="179">
        <v>0.6436975953028361</v>
      </c>
      <c r="Y15" s="185"/>
    </row>
    <row r="16" spans="2:25" ht="18" customHeight="1" x14ac:dyDescent="0.25">
      <c r="B16" s="17">
        <v>12</v>
      </c>
      <c r="C16" s="16">
        <v>87.246562354088667</v>
      </c>
      <c r="D16" s="12">
        <v>842.78468808366517</v>
      </c>
      <c r="E16" s="16">
        <v>193.64750242985599</v>
      </c>
      <c r="F16" s="8">
        <f t="shared" si="0"/>
        <v>0.82868244666019186</v>
      </c>
      <c r="G16" s="21">
        <v>344.33336099999997</v>
      </c>
      <c r="H16" s="12">
        <f t="shared" si="1"/>
        <v>2523.9451294927289</v>
      </c>
      <c r="I16" s="16">
        <f t="shared" si="2"/>
        <v>579.92946182684625</v>
      </c>
      <c r="J16" s="8">
        <v>0.89830247138587516</v>
      </c>
      <c r="K16" s="21">
        <v>243.74626099999998</v>
      </c>
      <c r="L16" s="7">
        <f t="shared" si="3"/>
        <v>1786.6470634630534</v>
      </c>
      <c r="M16" s="16">
        <f t="shared" si="4"/>
        <v>410.51972876957456</v>
      </c>
      <c r="N16" s="8">
        <f t="shared" si="5"/>
        <v>0.89830247138587516</v>
      </c>
      <c r="O16" s="179">
        <v>1.2197323450979152</v>
      </c>
      <c r="P16" s="179">
        <v>1.0515806736803965</v>
      </c>
      <c r="Q16" s="179">
        <v>0.80099242448584218</v>
      </c>
      <c r="R16" s="179">
        <v>0.88219060102910396</v>
      </c>
      <c r="S16" s="179">
        <v>0.83779536340357641</v>
      </c>
      <c r="T16" s="179">
        <v>0.8099105393185525</v>
      </c>
      <c r="U16" s="179">
        <v>0.88128913792631236</v>
      </c>
      <c r="V16" s="179"/>
      <c r="W16" s="179"/>
      <c r="X16" s="179">
        <v>0.61016403101007299</v>
      </c>
      <c r="Y16" s="185"/>
    </row>
    <row r="17" spans="2:25" ht="18" customHeight="1" x14ac:dyDescent="0.25">
      <c r="B17" s="17">
        <v>13</v>
      </c>
      <c r="C17" s="16">
        <v>8.3469744157026273</v>
      </c>
      <c r="D17" s="12">
        <v>107.3416506478211</v>
      </c>
      <c r="E17" s="16">
        <v>24.745046472340078</v>
      </c>
      <c r="F17" s="28">
        <f t="shared" si="0"/>
        <v>1.1068372205756745</v>
      </c>
      <c r="G17" s="21">
        <v>60</v>
      </c>
      <c r="H17" s="12">
        <f t="shared" si="1"/>
        <v>467.59972956961201</v>
      </c>
      <c r="I17" s="7">
        <f t="shared" si="2"/>
        <v>107.79391754107122</v>
      </c>
      <c r="J17" s="8">
        <v>0.95822948260752017</v>
      </c>
      <c r="K17" s="21">
        <v>1.2316750000000001</v>
      </c>
      <c r="L17" s="7">
        <f t="shared" si="3"/>
        <v>9.5988482819608638</v>
      </c>
      <c r="M17" s="16">
        <f t="shared" si="4"/>
        <v>2.2127845564566484</v>
      </c>
      <c r="N17" s="8">
        <f t="shared" si="5"/>
        <v>0.95822948260752017</v>
      </c>
      <c r="O17" s="180">
        <v>1.0409038036930143</v>
      </c>
      <c r="P17" s="181">
        <v>1.2275593553382675</v>
      </c>
      <c r="Q17" s="181"/>
      <c r="R17" s="181">
        <v>1.2816128362558579</v>
      </c>
      <c r="S17" s="181"/>
      <c r="T17" s="181">
        <v>1.3788065687483568</v>
      </c>
      <c r="U17" s="181">
        <v>0.97417729157711763</v>
      </c>
      <c r="V17" s="181"/>
      <c r="W17" s="181"/>
      <c r="X17" s="181"/>
      <c r="Y17" s="186"/>
    </row>
    <row r="18" spans="2:25" ht="18" customHeight="1" x14ac:dyDescent="0.25">
      <c r="B18" s="24">
        <v>7</v>
      </c>
      <c r="C18" s="20">
        <v>37.451700000000002</v>
      </c>
      <c r="D18" s="25">
        <v>303.13743084926034</v>
      </c>
      <c r="E18" s="15">
        <v>69.967993684354909</v>
      </c>
      <c r="F18" s="8">
        <f t="shared" si="0"/>
        <v>0.69751322862304332</v>
      </c>
      <c r="G18" s="20"/>
      <c r="H18" s="25"/>
      <c r="I18" s="26"/>
      <c r="J18" s="27"/>
      <c r="K18" s="20"/>
      <c r="L18" s="26"/>
      <c r="M18" s="26"/>
      <c r="N18" s="27"/>
      <c r="O18" s="179"/>
      <c r="P18" s="179"/>
      <c r="Q18" s="179"/>
      <c r="R18" s="179"/>
      <c r="S18" s="179"/>
      <c r="T18" s="179"/>
      <c r="U18" s="179">
        <v>0.95046680082899304</v>
      </c>
      <c r="V18" s="179">
        <v>0.73622010808341543</v>
      </c>
      <c r="W18" s="179">
        <v>0.68247724700866053</v>
      </c>
      <c r="X18" s="179"/>
      <c r="Y18" s="185"/>
    </row>
    <row r="19" spans="2:25" ht="18" customHeight="1" x14ac:dyDescent="0.25">
      <c r="B19" s="17">
        <v>10</v>
      </c>
      <c r="C19" s="21">
        <v>1.3428</v>
      </c>
      <c r="D19" s="12">
        <v>13.45320526228749</v>
      </c>
      <c r="E19" s="16">
        <v>3.0873456480123531</v>
      </c>
      <c r="F19" s="8">
        <f t="shared" si="0"/>
        <v>0.85841734705442641</v>
      </c>
      <c r="G19" s="21"/>
      <c r="H19" s="12"/>
      <c r="I19" s="7"/>
      <c r="J19" s="8"/>
      <c r="K19" s="21"/>
      <c r="L19" s="7"/>
      <c r="M19" s="7"/>
      <c r="N19" s="8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85"/>
    </row>
    <row r="20" spans="2:25" ht="18" customHeight="1" x14ac:dyDescent="0.25">
      <c r="B20" s="17">
        <v>11</v>
      </c>
      <c r="C20" s="21">
        <v>1.3333999999999999</v>
      </c>
      <c r="D20" s="12">
        <v>14.985507467264741</v>
      </c>
      <c r="E20" s="16">
        <v>3.4252528986800002</v>
      </c>
      <c r="F20" s="8">
        <f t="shared" si="0"/>
        <v>0.95908424187885588</v>
      </c>
      <c r="G20" s="21"/>
      <c r="H20" s="12"/>
      <c r="I20" s="7"/>
      <c r="J20" s="8"/>
      <c r="K20" s="21"/>
      <c r="L20" s="7"/>
      <c r="M20" s="7"/>
      <c r="N20" s="8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5"/>
    </row>
    <row r="21" spans="2:25" ht="18" customHeight="1" x14ac:dyDescent="0.25">
      <c r="B21" s="18">
        <v>12</v>
      </c>
      <c r="C21" s="22">
        <v>5.4</v>
      </c>
      <c r="D21" s="13">
        <v>64.941089553119994</v>
      </c>
      <c r="E21" s="194">
        <v>14.953650744000001</v>
      </c>
      <c r="F21" s="28">
        <f t="shared" si="0"/>
        <v>1.0338988135536971</v>
      </c>
      <c r="G21" s="22"/>
      <c r="H21" s="13"/>
      <c r="I21" s="4"/>
      <c r="J21" s="28"/>
      <c r="K21" s="22"/>
      <c r="L21" s="4"/>
      <c r="M21" s="4"/>
      <c r="N21" s="28"/>
      <c r="O21" s="182"/>
      <c r="P21" s="183"/>
      <c r="Q21" s="183"/>
      <c r="R21" s="183"/>
      <c r="S21" s="183"/>
      <c r="T21" s="183"/>
      <c r="U21" s="183"/>
      <c r="V21" s="183"/>
      <c r="W21" s="183"/>
      <c r="X21" s="183"/>
      <c r="Y21" s="185"/>
    </row>
    <row r="22" spans="2:25" ht="18" customHeight="1" x14ac:dyDescent="0.25">
      <c r="B22" s="29" t="s">
        <v>5</v>
      </c>
      <c r="C22" s="30">
        <f>SUM(C5:C21)</f>
        <v>1605.9158003037003</v>
      </c>
      <c r="D22" s="31">
        <f>SUM(D5:D21)</f>
        <v>15877.622974024031</v>
      </c>
      <c r="E22" s="31">
        <f>SUM(E5:E21)</f>
        <v>3654.6418449565754</v>
      </c>
      <c r="F22" s="32">
        <f>SUMPRODUCT(F5:F21,C5:C21)/C22</f>
        <v>0.84966282106685342</v>
      </c>
      <c r="G22" s="33">
        <f>SUM(G5:G21)</f>
        <v>1936.1127280000001</v>
      </c>
      <c r="H22" s="31">
        <f>SUM(H5:H21)</f>
        <v>12705.220533370626</v>
      </c>
      <c r="I22" s="31">
        <f>SUM(I5:I21)</f>
        <v>2923.9641453481518</v>
      </c>
      <c r="J22" s="137">
        <f>SUMPRODUCT(J5:J21,C5:C21)/C22</f>
        <v>0.77752256679463438</v>
      </c>
      <c r="K22" s="33">
        <f>SUM(K5:K21)</f>
        <v>352.10589599999997</v>
      </c>
      <c r="L22" s="31">
        <f>SUM(L5:L21)</f>
        <v>2599.6881735709267</v>
      </c>
      <c r="M22" s="31">
        <f>SUM(M5:M21)</f>
        <v>597.57340560499983</v>
      </c>
      <c r="N22" s="187">
        <f>SUMPRODUCT(N5:N21,C5:C21)/C22</f>
        <v>0.77752256679463438</v>
      </c>
      <c r="O22" s="188"/>
      <c r="P22" s="189"/>
      <c r="Q22" s="189"/>
      <c r="R22" s="189"/>
      <c r="S22" s="189"/>
      <c r="T22" s="189"/>
      <c r="U22" s="189"/>
      <c r="V22" s="189"/>
      <c r="W22" s="189"/>
      <c r="X22" s="189"/>
      <c r="Y22" s="9"/>
    </row>
    <row r="26" spans="2:25" ht="18" customHeight="1" x14ac:dyDescent="0.25">
      <c r="B26" s="17">
        <v>7</v>
      </c>
      <c r="C26" s="16">
        <v>193.36149999999998</v>
      </c>
      <c r="D26" s="12">
        <v>1358.68</v>
      </c>
      <c r="E26" s="16">
        <v>314.15339999999998</v>
      </c>
      <c r="F26" s="8">
        <f t="shared" ref="F26" si="6">E26*1000*1000/31/24/3600/C26</f>
        <v>0.60659150168120202</v>
      </c>
      <c r="G26" s="21">
        <v>0</v>
      </c>
      <c r="H26" s="12">
        <f t="shared" ref="H26" si="7">I26/(E26/D26)</f>
        <v>0</v>
      </c>
      <c r="I26" s="16">
        <f t="shared" ref="I26" si="8">J26*G26*$P$2*31*24*3600/1000/1000</f>
        <v>0</v>
      </c>
      <c r="J26" s="8">
        <v>0.69553791329457482</v>
      </c>
      <c r="K26" s="21">
        <v>0</v>
      </c>
      <c r="L26" s="7">
        <f t="shared" ref="L26" si="9">M26/(E26/D26)</f>
        <v>0</v>
      </c>
      <c r="M26" s="16">
        <f t="shared" ref="M26" si="10">N26*K26*$P$2*31*24*3600/1000/1000</f>
        <v>0</v>
      </c>
      <c r="N26" s="8">
        <f t="shared" ref="N26" si="11">J26</f>
        <v>0.69553791329457482</v>
      </c>
      <c r="O26" s="179">
        <v>1.2710308502149961</v>
      </c>
      <c r="P26" s="179">
        <v>1.0049456581739753</v>
      </c>
      <c r="Q26" s="179">
        <v>0.94140397385909746</v>
      </c>
      <c r="R26" s="179">
        <v>1.1269591033664792</v>
      </c>
      <c r="S26" s="179">
        <v>0.78188119461087235</v>
      </c>
      <c r="T26" s="179">
        <v>0.78150070186726273</v>
      </c>
      <c r="U26" s="179">
        <v>1.0111593587656318</v>
      </c>
      <c r="V26" s="179">
        <v>0.77614645423079798</v>
      </c>
      <c r="W26" s="179">
        <v>0.54356501380218025</v>
      </c>
      <c r="X26" s="179">
        <v>0.53346268737329439</v>
      </c>
      <c r="Y26" s="185">
        <v>0.30937637131913698</v>
      </c>
    </row>
    <row r="27" spans="2:25" x14ac:dyDescent="0.25">
      <c r="O27" s="23"/>
    </row>
    <row r="28" spans="2:25" x14ac:dyDescent="0.25">
      <c r="J28" s="23"/>
      <c r="M28" s="23"/>
      <c r="O28" s="23"/>
      <c r="R28" s="23"/>
    </row>
    <row r="29" spans="2:25" x14ac:dyDescent="0.25">
      <c r="J29" s="23"/>
      <c r="M29" s="23"/>
      <c r="O29" s="23"/>
      <c r="R29" s="23"/>
    </row>
    <row r="30" spans="2:25" x14ac:dyDescent="0.25">
      <c r="J30" s="23"/>
      <c r="M30" s="23"/>
      <c r="O30" s="23"/>
      <c r="R30" s="23"/>
    </row>
    <row r="31" spans="2:25" x14ac:dyDescent="0.25">
      <c r="J31" s="23"/>
      <c r="M31" s="23"/>
      <c r="O31" s="23"/>
      <c r="P31" s="23"/>
      <c r="R31" s="23"/>
    </row>
    <row r="32" spans="2:25" x14ac:dyDescent="0.25">
      <c r="J32" s="23"/>
      <c r="M32" s="23"/>
      <c r="O32" s="23"/>
      <c r="P32" s="23"/>
      <c r="R32" s="23"/>
    </row>
    <row r="33" spans="10:18" x14ac:dyDescent="0.25">
      <c r="J33" s="23"/>
      <c r="M33" s="23"/>
      <c r="O33" s="23"/>
      <c r="P33" s="23"/>
      <c r="R33" s="23"/>
    </row>
    <row r="34" spans="10:18" x14ac:dyDescent="0.25">
      <c r="J34" s="23"/>
      <c r="M34" s="23"/>
      <c r="O34" s="23"/>
      <c r="P34" s="23"/>
      <c r="R34" s="23"/>
    </row>
    <row r="35" spans="10:18" x14ac:dyDescent="0.25">
      <c r="J35" s="23"/>
      <c r="O35" s="23"/>
      <c r="P35" s="23"/>
      <c r="R35" s="23"/>
    </row>
    <row r="36" spans="10:18" x14ac:dyDescent="0.25">
      <c r="J36" s="23"/>
      <c r="O36" s="23"/>
      <c r="P36" s="23"/>
      <c r="R36" s="23"/>
    </row>
    <row r="37" spans="10:18" x14ac:dyDescent="0.25">
      <c r="J37" s="23"/>
      <c r="O37" s="23"/>
      <c r="P37" s="23">
        <f>(0.55*0.75)+(0.79*0.25)</f>
        <v>0.6100000000000001</v>
      </c>
      <c r="R37" s="23"/>
    </row>
    <row r="38" spans="10:18" x14ac:dyDescent="0.25">
      <c r="J38" s="23"/>
      <c r="O38" s="23"/>
      <c r="R38" s="23"/>
    </row>
    <row r="39" spans="10:18" x14ac:dyDescent="0.25">
      <c r="J39" s="23"/>
      <c r="R39" s="23"/>
    </row>
    <row r="40" spans="10:18" x14ac:dyDescent="0.25">
      <c r="R40" s="23"/>
    </row>
    <row r="41" spans="10:18" x14ac:dyDescent="0.25">
      <c r="R41" s="23"/>
    </row>
  </sheetData>
  <mergeCells count="6">
    <mergeCell ref="O3:Y3"/>
    <mergeCell ref="B3:B4"/>
    <mergeCell ref="C2:F2"/>
    <mergeCell ref="C1:N1"/>
    <mergeCell ref="G2:J2"/>
    <mergeCell ref="K2:N2"/>
  </mergeCells>
  <pageMargins left="0.7" right="0.7" top="0.75" bottom="0.75" header="0.3" footer="0.3"/>
  <pageSetup orientation="portrait" r:id="rId1"/>
  <ignoredErrors>
    <ignoredError sqref="F22 J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AE07-82BA-4169-A86F-7D42BB7E1BDE}">
  <sheetPr>
    <tabColor rgb="FF00B0F0"/>
    <pageSetUpPr fitToPage="1"/>
  </sheetPr>
  <dimension ref="B1:W48"/>
  <sheetViews>
    <sheetView rightToLeft="1" zoomScale="85" zoomScaleNormal="85" workbookViewId="0">
      <pane ySplit="4" topLeftCell="A5" activePane="bottomLeft" state="frozen"/>
      <selection activeCell="C1" sqref="C1"/>
      <selection pane="bottomLeft" activeCell="F19" sqref="F19"/>
    </sheetView>
  </sheetViews>
  <sheetFormatPr defaultColWidth="9.28515625" defaultRowHeight="15" x14ac:dyDescent="0.25"/>
  <cols>
    <col min="1" max="1" width="9.28515625" style="34" customWidth="1"/>
    <col min="2" max="2" width="3" style="34" customWidth="1"/>
    <col min="3" max="3" width="21.140625" style="34" bestFit="1" customWidth="1"/>
    <col min="4" max="8" width="11.42578125" style="34" customWidth="1"/>
    <col min="9" max="9" width="8.5703125" style="34" customWidth="1"/>
    <col min="10" max="10" width="10" style="34" customWidth="1"/>
    <col min="11" max="11" width="15.5703125" style="34" customWidth="1"/>
    <col min="12" max="12" width="10.28515625" style="34" customWidth="1"/>
    <col min="13" max="14" width="8.42578125" style="34" customWidth="1"/>
    <col min="15" max="15" width="9.7109375" style="34" customWidth="1"/>
    <col min="16" max="16" width="11.7109375" style="34" customWidth="1"/>
    <col min="17" max="17" width="9.42578125" style="34" bestFit="1" customWidth="1"/>
    <col min="18" max="18" width="11.28515625" style="34" customWidth="1"/>
    <col min="19" max="19" width="10.5703125" style="34" customWidth="1"/>
    <col min="20" max="20" width="11.5703125" style="34" customWidth="1"/>
    <col min="21" max="22" width="10.5703125" style="34" customWidth="1"/>
    <col min="23" max="23" width="12.7109375" style="34" customWidth="1"/>
    <col min="24" max="16384" width="9.28515625" style="34"/>
  </cols>
  <sheetData>
    <row r="1" spans="3:23" ht="10.5" customHeight="1" x14ac:dyDescent="0.25"/>
    <row r="2" spans="3:23" ht="24.75" customHeight="1" x14ac:dyDescent="0.6">
      <c r="C2" s="35"/>
      <c r="D2" s="35"/>
      <c r="E2" s="36" t="s">
        <v>12</v>
      </c>
      <c r="I2" s="35"/>
      <c r="J2" s="35"/>
      <c r="L2" s="220" t="s">
        <v>52</v>
      </c>
      <c r="M2" s="220"/>
      <c r="N2" s="190">
        <v>0.7</v>
      </c>
    </row>
    <row r="3" spans="3:23" ht="24" customHeight="1" x14ac:dyDescent="0.25">
      <c r="C3" s="234" t="s">
        <v>13</v>
      </c>
      <c r="D3" s="225" t="s">
        <v>14</v>
      </c>
      <c r="E3" s="224"/>
      <c r="F3" s="224"/>
      <c r="G3" s="224"/>
      <c r="H3" s="226"/>
      <c r="I3" s="236" t="s">
        <v>15</v>
      </c>
      <c r="J3" s="238" t="s">
        <v>16</v>
      </c>
      <c r="K3" s="240" t="s">
        <v>17</v>
      </c>
      <c r="L3" s="231" t="s">
        <v>18</v>
      </c>
      <c r="M3" s="232"/>
      <c r="N3" s="232"/>
      <c r="O3" s="232"/>
      <c r="P3" s="232"/>
      <c r="Q3" s="232"/>
      <c r="R3" s="233"/>
      <c r="S3" s="221" t="s">
        <v>19</v>
      </c>
      <c r="T3" s="222"/>
      <c r="U3" s="223"/>
      <c r="V3" s="224" t="s">
        <v>20</v>
      </c>
      <c r="W3" s="224"/>
    </row>
    <row r="4" spans="3:23" ht="41.25" customHeight="1" x14ac:dyDescent="0.25">
      <c r="C4" s="235"/>
      <c r="D4" s="37" t="s">
        <v>21</v>
      </c>
      <c r="E4" s="37" t="s">
        <v>38</v>
      </c>
      <c r="F4" s="38" t="s">
        <v>22</v>
      </c>
      <c r="G4" s="38" t="s">
        <v>23</v>
      </c>
      <c r="H4" s="38" t="s">
        <v>24</v>
      </c>
      <c r="I4" s="237"/>
      <c r="J4" s="239"/>
      <c r="K4" s="241"/>
      <c r="L4" s="39" t="s">
        <v>25</v>
      </c>
      <c r="M4" s="40" t="s">
        <v>22</v>
      </c>
      <c r="N4" s="40" t="s">
        <v>23</v>
      </c>
      <c r="O4" s="40" t="s">
        <v>24</v>
      </c>
      <c r="P4" s="41" t="s">
        <v>26</v>
      </c>
      <c r="Q4" s="42" t="s">
        <v>27</v>
      </c>
      <c r="R4" s="43" t="s">
        <v>28</v>
      </c>
      <c r="S4" s="44" t="s">
        <v>29</v>
      </c>
      <c r="T4" s="38" t="s">
        <v>30</v>
      </c>
      <c r="U4" s="45" t="s">
        <v>31</v>
      </c>
      <c r="V4" s="46" t="s">
        <v>32</v>
      </c>
      <c r="W4" s="46" t="s">
        <v>33</v>
      </c>
    </row>
    <row r="5" spans="3:23" ht="19.5" customHeight="1" x14ac:dyDescent="0.6">
      <c r="C5" s="35"/>
      <c r="D5" s="35"/>
      <c r="E5" s="36"/>
      <c r="I5" s="35"/>
      <c r="J5" s="35"/>
      <c r="T5" s="47"/>
    </row>
    <row r="6" spans="3:23" ht="22.5" customHeight="1" x14ac:dyDescent="0.25">
      <c r="C6" s="48">
        <v>1</v>
      </c>
      <c r="D6" s="49">
        <v>42.587899999999998</v>
      </c>
      <c r="E6" s="49">
        <f>هیدرومدول!C5</f>
        <v>43.871776657116328</v>
      </c>
      <c r="F6" s="94">
        <f>هیدرومدول!K5*$N$2</f>
        <v>0.807338</v>
      </c>
      <c r="G6" s="95">
        <f>هیدرومدول!G5*$N$2</f>
        <v>7.2705079999999986</v>
      </c>
      <c r="H6" s="133">
        <v>0</v>
      </c>
      <c r="I6" s="50">
        <v>0.1</v>
      </c>
      <c r="J6" s="51">
        <v>0.05</v>
      </c>
      <c r="K6" s="52">
        <f>SUM(E6:H6)*(1+I6)*(1+J6)</f>
        <v>60.001814168969368</v>
      </c>
      <c r="L6" s="53">
        <f>هیدرومدول!E5*1000/31/24/3600*1000</f>
        <v>50.899805791956233</v>
      </c>
      <c r="M6" s="57">
        <f>F6*هیدرومدول!N5</f>
        <v>0.81145749934911893</v>
      </c>
      <c r="N6" s="58">
        <f>G6*هیدرومدول!J5</f>
        <v>7.3076062822235084</v>
      </c>
      <c r="O6" s="58">
        <f>H6*هیدرومدول!N5</f>
        <v>0</v>
      </c>
      <c r="P6" s="54">
        <f t="shared" ref="P6:P22" si="0">SUM(L6:O6)*(J6+I6)</f>
        <v>8.8528304360293308</v>
      </c>
      <c r="Q6" s="55">
        <v>0.05</v>
      </c>
      <c r="R6" s="56">
        <f t="shared" ref="R6:R22" si="1">SUM(L6:O6)*(1+J6)*(1+Q6)*(1+I6)</f>
        <v>71.575134075297143</v>
      </c>
      <c r="S6" s="57">
        <f>R6*3600*24*31/1000/1000</f>
        <v>191.70683910727587</v>
      </c>
      <c r="T6" s="58">
        <f>S6/U6</f>
        <v>832.7014786280987</v>
      </c>
      <c r="U6" s="59">
        <f>(هیدرومدول!E5/هیدرومدول!D5)</f>
        <v>0.23022276773558609</v>
      </c>
      <c r="V6" s="60">
        <f t="shared" ref="V6:V22" si="2">R6/K6</f>
        <v>1.1928828330712882</v>
      </c>
      <c r="W6" s="61">
        <f t="shared" ref="W6:W22" si="3">T6*1000/K6</f>
        <v>13877.938361716069</v>
      </c>
    </row>
    <row r="7" spans="3:23" ht="22.5" customHeight="1" x14ac:dyDescent="0.25">
      <c r="C7" s="63">
        <v>2</v>
      </c>
      <c r="D7" s="64">
        <v>124.5886</v>
      </c>
      <c r="E7" s="64">
        <f>هیدرومدول!C6</f>
        <v>124.1817619095913</v>
      </c>
      <c r="F7" s="65">
        <f>هیدرومدول!K6*$N$2</f>
        <v>16.290916599999999</v>
      </c>
      <c r="G7" s="66">
        <f>هیدرومدول!G6*$N$2</f>
        <v>79.083682999999994</v>
      </c>
      <c r="H7" s="134">
        <v>0</v>
      </c>
      <c r="I7" s="67">
        <f t="shared" ref="I7:J18" si="4">I6</f>
        <v>0.1</v>
      </c>
      <c r="J7" s="68">
        <f>J6</f>
        <v>0.05</v>
      </c>
      <c r="K7" s="69">
        <f t="shared" ref="K7:K22" si="5">SUM(E7:H7)*(1+I7)*(1+J7)</f>
        <v>253.58759754357797</v>
      </c>
      <c r="L7" s="70">
        <f>هیدرومدول!E6*1000/31/24/3600*1000</f>
        <v>121.60866421080911</v>
      </c>
      <c r="M7" s="74">
        <f>F7*هیدرومدول!N6</f>
        <v>16.064287651859026</v>
      </c>
      <c r="N7" s="75">
        <f>G7*هیدرومدول!J6</f>
        <v>77.983520723470747</v>
      </c>
      <c r="O7" s="75">
        <f>H7*هیدرومدول!N6</f>
        <v>0</v>
      </c>
      <c r="P7" s="71">
        <f t="shared" si="0"/>
        <v>32.348470887920833</v>
      </c>
      <c r="Q7" s="72">
        <f t="shared" ref="Q7:Q18" si="6">Q6</f>
        <v>0.05</v>
      </c>
      <c r="R7" s="73">
        <f t="shared" si="1"/>
        <v>261.53738712883995</v>
      </c>
      <c r="S7" s="74">
        <f t="shared" ref="S7:S22" si="7">R7*3600*24*31/1000/1000</f>
        <v>700.5017376858849</v>
      </c>
      <c r="T7" s="75">
        <f t="shared" ref="T7:T22" si="8">S7/U7</f>
        <v>3046.1072844804753</v>
      </c>
      <c r="U7" s="76">
        <f>(هیدرومدول!E6/هیدرومدول!D6)</f>
        <v>0.22996620678951499</v>
      </c>
      <c r="V7" s="62">
        <f t="shared" si="2"/>
        <v>1.0313492838856042</v>
      </c>
      <c r="W7" s="77">
        <f t="shared" si="3"/>
        <v>12012.051511931748</v>
      </c>
    </row>
    <row r="8" spans="3:23" ht="22.5" customHeight="1" x14ac:dyDescent="0.25">
      <c r="C8" s="63">
        <v>3</v>
      </c>
      <c r="D8" s="64">
        <v>103.5865</v>
      </c>
      <c r="E8" s="64">
        <f>هیدرومدول!C7</f>
        <v>102.82180311608489</v>
      </c>
      <c r="F8" s="65">
        <f>هیدرومدول!K7*$N$2</f>
        <v>0</v>
      </c>
      <c r="G8" s="66">
        <f>هیدرومدول!G7*$N$2</f>
        <v>103.4493999</v>
      </c>
      <c r="H8" s="134">
        <v>7.1359824143999893</v>
      </c>
      <c r="I8" s="67">
        <f t="shared" si="4"/>
        <v>0.1</v>
      </c>
      <c r="J8" s="68">
        <f t="shared" si="4"/>
        <v>0.05</v>
      </c>
      <c r="K8" s="69">
        <f t="shared" si="5"/>
        <v>246.48529917221003</v>
      </c>
      <c r="L8" s="70">
        <f>هیدرومدول!E7*1000/31/24/3600*1000</f>
        <v>95.555610314885485</v>
      </c>
      <c r="M8" s="74">
        <f>F8*هیدرومدول!N7</f>
        <v>0</v>
      </c>
      <c r="N8" s="75">
        <f>G8*هیدرومدول!J7</f>
        <v>88.896815479166506</v>
      </c>
      <c r="O8" s="75">
        <f>H8*هیدرومدول!N7</f>
        <v>6.1321391189190733</v>
      </c>
      <c r="P8" s="71">
        <f t="shared" si="0"/>
        <v>28.587684736945661</v>
      </c>
      <c r="Q8" s="72">
        <f t="shared" si="6"/>
        <v>0.05</v>
      </c>
      <c r="R8" s="73">
        <f t="shared" si="1"/>
        <v>231.13143109820567</v>
      </c>
      <c r="S8" s="74">
        <f t="shared" si="7"/>
        <v>619.06242505343414</v>
      </c>
      <c r="T8" s="75">
        <f t="shared" si="8"/>
        <v>2685.7720202004803</v>
      </c>
      <c r="U8" s="76">
        <f>(هیدرومدول!E7/هیدرومدول!D7)</f>
        <v>0.23049701180788384</v>
      </c>
      <c r="V8" s="62">
        <f t="shared" si="2"/>
        <v>0.93770878780370104</v>
      </c>
      <c r="W8" s="77">
        <f t="shared" si="3"/>
        <v>10896.276691633573</v>
      </c>
    </row>
    <row r="9" spans="3:23" ht="22.5" customHeight="1" x14ac:dyDescent="0.25">
      <c r="C9" s="78">
        <v>4</v>
      </c>
      <c r="D9" s="79">
        <v>51.905000000000001</v>
      </c>
      <c r="E9" s="79">
        <f>هیدرومدول!C8</f>
        <v>60.116223804079112</v>
      </c>
      <c r="F9" s="80">
        <f>هیدرومدول!K8*$N$2</f>
        <v>8.6046253999999998</v>
      </c>
      <c r="G9" s="81">
        <f>هیدرومدول!G8*$N$2</f>
        <v>46.909533999999987</v>
      </c>
      <c r="H9" s="135">
        <v>0</v>
      </c>
      <c r="I9" s="82">
        <f t="shared" si="4"/>
        <v>0.1</v>
      </c>
      <c r="J9" s="83">
        <f t="shared" si="4"/>
        <v>0.05</v>
      </c>
      <c r="K9" s="84">
        <f t="shared" si="5"/>
        <v>133.55309260071138</v>
      </c>
      <c r="L9" s="85">
        <f>هیدرومدول!E8*1000/31/24/3600*1000</f>
        <v>55.032424667838683</v>
      </c>
      <c r="M9" s="89">
        <f>F9*هیدرومدول!N8</f>
        <v>7.414721550096778</v>
      </c>
      <c r="N9" s="90">
        <f>G9*هیدرومدول!J8</f>
        <v>40.422576984559655</v>
      </c>
      <c r="O9" s="90">
        <f>H9*هیدرومدول!N8</f>
        <v>0</v>
      </c>
      <c r="P9" s="86">
        <f t="shared" si="0"/>
        <v>15.43045848037427</v>
      </c>
      <c r="Q9" s="87">
        <f t="shared" si="6"/>
        <v>0.05</v>
      </c>
      <c r="R9" s="88">
        <f t="shared" si="1"/>
        <v>124.75525681382598</v>
      </c>
      <c r="S9" s="89">
        <f t="shared" si="7"/>
        <v>334.14447985015147</v>
      </c>
      <c r="T9" s="90">
        <f t="shared" si="8"/>
        <v>1452.7515449774528</v>
      </c>
      <c r="U9" s="91">
        <f>(هیدرومدول!E8/هیدرومدول!D8)</f>
        <v>0.23000800171603844</v>
      </c>
      <c r="V9" s="92">
        <f t="shared" si="2"/>
        <v>0.93412480672994513</v>
      </c>
      <c r="W9" s="93">
        <f t="shared" si="3"/>
        <v>10877.708008760215</v>
      </c>
    </row>
    <row r="10" spans="3:23" ht="22.5" customHeight="1" x14ac:dyDescent="0.25">
      <c r="C10" s="48">
        <v>5</v>
      </c>
      <c r="D10" s="49">
        <v>44.6798</v>
      </c>
      <c r="E10" s="49">
        <f>هیدرومدول!C9</f>
        <v>52.672953621769501</v>
      </c>
      <c r="F10" s="94">
        <f>هیدرومدول!K9*$N$2</f>
        <v>45.676698899999998</v>
      </c>
      <c r="G10" s="95">
        <f>هیدرومدول!G9*$N$2</f>
        <v>32.486343399999996</v>
      </c>
      <c r="H10" s="133">
        <v>9.0382270467999906</v>
      </c>
      <c r="I10" s="96">
        <f t="shared" si="4"/>
        <v>0.1</v>
      </c>
      <c r="J10" s="97">
        <f t="shared" si="4"/>
        <v>0.05</v>
      </c>
      <c r="K10" s="52">
        <f t="shared" si="5"/>
        <v>161.55472752869775</v>
      </c>
      <c r="L10" s="53">
        <f>هیدرومدول!E9*1000/31/24/3600*1000</f>
        <v>49.797160348887161</v>
      </c>
      <c r="M10" s="57">
        <f>F10*هیدرومدول!N9</f>
        <v>41.345290924625381</v>
      </c>
      <c r="N10" s="58">
        <f>G10*هیدرومدول!J9</f>
        <v>29.405744094836145</v>
      </c>
      <c r="O10" s="58">
        <f>H10*هیدرومدول!N9</f>
        <v>8.1811544111556476</v>
      </c>
      <c r="P10" s="98">
        <f t="shared" si="0"/>
        <v>19.309402466925654</v>
      </c>
      <c r="Q10" s="99">
        <f t="shared" si="6"/>
        <v>0.05</v>
      </c>
      <c r="R10" s="56">
        <f t="shared" si="1"/>
        <v>156.1165189450939</v>
      </c>
      <c r="S10" s="57">
        <f t="shared" si="7"/>
        <v>418.14248434253955</v>
      </c>
      <c r="T10" s="58">
        <f t="shared" si="8"/>
        <v>1817.1221090375407</v>
      </c>
      <c r="U10" s="59">
        <f>(هیدرومدول!E9/هیدرومدول!D9)</f>
        <v>0.23011248515599947</v>
      </c>
      <c r="V10" s="60">
        <f t="shared" si="2"/>
        <v>0.96633828878428929</v>
      </c>
      <c r="W10" s="61">
        <f t="shared" si="3"/>
        <v>11247.718570877205</v>
      </c>
    </row>
    <row r="11" spans="3:23" ht="22.5" customHeight="1" x14ac:dyDescent="0.25">
      <c r="C11" s="63">
        <v>6</v>
      </c>
      <c r="D11" s="64">
        <v>78.962400000000002</v>
      </c>
      <c r="E11" s="64">
        <f>هیدرومدول!C10</f>
        <v>83.623541015700667</v>
      </c>
      <c r="F11" s="65">
        <f>هیدرومدول!K10*$N$2</f>
        <v>3.6099930999999996</v>
      </c>
      <c r="G11" s="66">
        <f>هیدرومدول!G10*$N$2</f>
        <v>105.1596651</v>
      </c>
      <c r="H11" s="134">
        <v>0</v>
      </c>
      <c r="I11" s="67">
        <f t="shared" si="4"/>
        <v>0.1</v>
      </c>
      <c r="J11" s="68">
        <f t="shared" si="4"/>
        <v>0.05</v>
      </c>
      <c r="K11" s="69">
        <f t="shared" si="5"/>
        <v>222.2141450941343</v>
      </c>
      <c r="L11" s="70">
        <f>هیدرومدول!E10*1000/31/24/3600*1000</f>
        <v>81.269316158551632</v>
      </c>
      <c r="M11" s="74">
        <f>F11*هیدرومدول!N10</f>
        <v>3.3759255726093595</v>
      </c>
      <c r="N11" s="75">
        <f>G11*هیدرومدول!J10</f>
        <v>98.341241322075106</v>
      </c>
      <c r="O11" s="75">
        <f>H11*هیدرومدول!N10</f>
        <v>0</v>
      </c>
      <c r="P11" s="71">
        <f t="shared" si="0"/>
        <v>27.447972457985419</v>
      </c>
      <c r="Q11" s="72">
        <f t="shared" si="6"/>
        <v>0.05</v>
      </c>
      <c r="R11" s="73">
        <f t="shared" si="1"/>
        <v>221.91685732281212</v>
      </c>
      <c r="S11" s="74">
        <f t="shared" si="7"/>
        <v>594.38211065342</v>
      </c>
      <c r="T11" s="75">
        <f t="shared" si="8"/>
        <v>2584.6791676332386</v>
      </c>
      <c r="U11" s="76">
        <f>(هیدرومدول!E10/هیدرومدول!D10)</f>
        <v>0.22996359397197022</v>
      </c>
      <c r="V11" s="62">
        <f t="shared" si="2"/>
        <v>0.99866215640234679</v>
      </c>
      <c r="W11" s="77">
        <f t="shared" si="3"/>
        <v>11631.479024606277</v>
      </c>
    </row>
    <row r="12" spans="3:23" ht="22.5" customHeight="1" x14ac:dyDescent="0.25">
      <c r="C12" s="63">
        <v>7</v>
      </c>
      <c r="D12" s="64">
        <v>452.69810000000001</v>
      </c>
      <c r="E12" s="64">
        <f>هیدرومدول!C11</f>
        <v>335.02762817527099</v>
      </c>
      <c r="F12" s="65">
        <f>هیدرومدول!K11*$N$2</f>
        <v>0</v>
      </c>
      <c r="G12" s="66">
        <f>هیدرومدول!G11*$N$2</f>
        <v>199.80766749999998</v>
      </c>
      <c r="H12" s="134">
        <v>0</v>
      </c>
      <c r="I12" s="67">
        <f t="shared" si="4"/>
        <v>0.1</v>
      </c>
      <c r="J12" s="68">
        <f t="shared" si="4"/>
        <v>0.05</v>
      </c>
      <c r="K12" s="69">
        <f t="shared" si="5"/>
        <v>617.73476650493808</v>
      </c>
      <c r="L12" s="70">
        <f>هیدرومدول!E11*1000/31/24/3600*1000</f>
        <v>237.92076327273932</v>
      </c>
      <c r="M12" s="74">
        <f>F12*هیدرومدول!N11</f>
        <v>0</v>
      </c>
      <c r="N12" s="75">
        <f>G12*هیدرومدول!J11</f>
        <v>138.97380811320622</v>
      </c>
      <c r="O12" s="75">
        <f>H12*هیدرومدول!N11</f>
        <v>0</v>
      </c>
      <c r="P12" s="71">
        <f t="shared" si="0"/>
        <v>56.534185707891837</v>
      </c>
      <c r="Q12" s="72">
        <f t="shared" si="6"/>
        <v>0.05</v>
      </c>
      <c r="R12" s="73">
        <f t="shared" si="1"/>
        <v>457.07889144830551</v>
      </c>
      <c r="S12" s="74">
        <f t="shared" si="7"/>
        <v>1224.2401028551412</v>
      </c>
      <c r="T12" s="75">
        <f t="shared" si="8"/>
        <v>5312.224998194888</v>
      </c>
      <c r="U12" s="76">
        <f>(هیدرومدول!E11/هیدرومدول!D11)</f>
        <v>0.23045712545517974</v>
      </c>
      <c r="V12" s="62">
        <f t="shared" si="2"/>
        <v>0.73992741906756787</v>
      </c>
      <c r="W12" s="77">
        <f t="shared" si="3"/>
        <v>8599.5240777053186</v>
      </c>
    </row>
    <row r="13" spans="3:23" s="177" customFormat="1" ht="22.5" customHeight="1" x14ac:dyDescent="0.25">
      <c r="C13" s="78">
        <v>8</v>
      </c>
      <c r="D13" s="79">
        <v>111.2728</v>
      </c>
      <c r="E13" s="79">
        <f>هیدرومدول!C12</f>
        <v>94.7596580134242</v>
      </c>
      <c r="F13" s="80">
        <f>هیدرومدول!K12*$N$2</f>
        <v>0</v>
      </c>
      <c r="G13" s="81">
        <f>هیدرومدول!G12*$N$2</f>
        <v>113.70530149999998</v>
      </c>
      <c r="H13" s="135">
        <v>0</v>
      </c>
      <c r="I13" s="82">
        <f t="shared" si="4"/>
        <v>0.1</v>
      </c>
      <c r="J13" s="83">
        <f t="shared" si="4"/>
        <v>0.05</v>
      </c>
      <c r="K13" s="84">
        <f t="shared" si="5"/>
        <v>240.77702823800493</v>
      </c>
      <c r="L13" s="85">
        <f>هیدرومدول!E12*1000/31/24/3600*1000</f>
        <v>75.541919909019001</v>
      </c>
      <c r="M13" s="89">
        <f>F13*هیدرومدول!N12</f>
        <v>0</v>
      </c>
      <c r="N13" s="90">
        <f>G13*هیدرومدول!J12</f>
        <v>86.390245292718802</v>
      </c>
      <c r="O13" s="90">
        <f>H13*هیدرومدول!N12</f>
        <v>0</v>
      </c>
      <c r="P13" s="86">
        <f t="shared" si="0"/>
        <v>24.289824780260673</v>
      </c>
      <c r="Q13" s="87">
        <f t="shared" si="6"/>
        <v>0.05</v>
      </c>
      <c r="R13" s="88">
        <f t="shared" si="1"/>
        <v>196.38323334840754</v>
      </c>
      <c r="S13" s="89">
        <f t="shared" si="7"/>
        <v>525.99285220037484</v>
      </c>
      <c r="T13" s="90">
        <f t="shared" si="8"/>
        <v>2283.5203711396071</v>
      </c>
      <c r="U13" s="91">
        <f>(هیدرومدول!E12/هیدرومدول!D12)</f>
        <v>0.23034296468214749</v>
      </c>
      <c r="V13" s="92">
        <f t="shared" si="2"/>
        <v>0.81562279751324651</v>
      </c>
      <c r="W13" s="93">
        <f t="shared" si="3"/>
        <v>9483.9627677536464</v>
      </c>
    </row>
    <row r="14" spans="3:23" s="177" customFormat="1" ht="22.15" customHeight="1" x14ac:dyDescent="0.25">
      <c r="C14" s="48">
        <v>9</v>
      </c>
      <c r="D14" s="49">
        <v>386.35109999999997</v>
      </c>
      <c r="E14" s="49">
        <f>هیدرومدول!C13</f>
        <v>289.47211037856698</v>
      </c>
      <c r="F14" s="94">
        <f>هیدرومدول!K13*$N$2</f>
        <v>0</v>
      </c>
      <c r="G14" s="95">
        <f>هیدرومدول!G13*$N$2</f>
        <v>250.50802139999999</v>
      </c>
      <c r="H14" s="133">
        <v>0</v>
      </c>
      <c r="I14" s="96">
        <f t="shared" si="4"/>
        <v>0.1</v>
      </c>
      <c r="J14" s="97">
        <f t="shared" si="4"/>
        <v>0.05</v>
      </c>
      <c r="K14" s="52">
        <f t="shared" si="5"/>
        <v>623.67705220424489</v>
      </c>
      <c r="L14" s="53">
        <f>هیدرومدول!E13*1000/31/24/3600*1000</f>
        <v>223.471338915069</v>
      </c>
      <c r="M14" s="57">
        <f>F14*هیدرومدول!N13</f>
        <v>0</v>
      </c>
      <c r="N14" s="58">
        <f>G14*هیدرومدول!J13</f>
        <v>149.20704037699349</v>
      </c>
      <c r="O14" s="58">
        <f>H14*هیدرومدول!N13</f>
        <v>0</v>
      </c>
      <c r="P14" s="98">
        <f t="shared" si="0"/>
        <v>55.901756893809377</v>
      </c>
      <c r="Q14" s="99">
        <f t="shared" si="6"/>
        <v>0.05</v>
      </c>
      <c r="R14" s="56">
        <f t="shared" si="1"/>
        <v>451.96570448644883</v>
      </c>
      <c r="S14" s="57">
        <f t="shared" si="7"/>
        <v>1210.5449428965044</v>
      </c>
      <c r="T14" s="58">
        <f t="shared" si="8"/>
        <v>5256.0041272676362</v>
      </c>
      <c r="U14" s="59">
        <f>(هیدرومدول!E13/هیدرومدول!D13)</f>
        <v>0.23031658910165526</v>
      </c>
      <c r="V14" s="60">
        <f t="shared" si="2"/>
        <v>0.72467906729785658</v>
      </c>
      <c r="W14" s="61">
        <f t="shared" si="3"/>
        <v>8427.4451155313218</v>
      </c>
    </row>
    <row r="15" spans="3:23" s="177" customFormat="1" ht="22.5" customHeight="1" x14ac:dyDescent="0.25">
      <c r="C15" s="63">
        <v>10</v>
      </c>
      <c r="D15" s="64">
        <v>152.72399999999999</v>
      </c>
      <c r="E15" s="64">
        <f>هیدرومدول!C14</f>
        <v>150.62832334020399</v>
      </c>
      <c r="F15" s="65">
        <f>هیدرومدول!K14*$N$2</f>
        <v>0</v>
      </c>
      <c r="G15" s="66">
        <f>هیدرومدول!G14*$N$2</f>
        <v>27.3166516</v>
      </c>
      <c r="H15" s="134">
        <v>0</v>
      </c>
      <c r="I15" s="67">
        <f t="shared" si="4"/>
        <v>0.1</v>
      </c>
      <c r="J15" s="68">
        <f t="shared" si="4"/>
        <v>0.05</v>
      </c>
      <c r="K15" s="69">
        <f t="shared" si="5"/>
        <v>205.52644605593565</v>
      </c>
      <c r="L15" s="70">
        <f>هیدرومدول!E14*1000/31/24/3600*1000</f>
        <v>135.40625246156762</v>
      </c>
      <c r="M15" s="74">
        <f>F15*هیدرومدول!N14</f>
        <v>0</v>
      </c>
      <c r="N15" s="75">
        <f>G15*هیدرومدول!J14</f>
        <v>25.696996464639433</v>
      </c>
      <c r="O15" s="75">
        <f>H15*هیدرومدول!N14</f>
        <v>0</v>
      </c>
      <c r="P15" s="71">
        <f t="shared" si="0"/>
        <v>24.165487338931062</v>
      </c>
      <c r="Q15" s="72">
        <f t="shared" si="6"/>
        <v>0.05</v>
      </c>
      <c r="R15" s="73">
        <f t="shared" si="1"/>
        <v>195.37796513525763</v>
      </c>
      <c r="S15" s="74">
        <f t="shared" si="7"/>
        <v>523.30034181827398</v>
      </c>
      <c r="T15" s="75">
        <f t="shared" si="8"/>
        <v>2277.8864128008277</v>
      </c>
      <c r="U15" s="76">
        <f>(هیدرومدول!E14/هیدرومدول!D14)</f>
        <v>0.22973065683939789</v>
      </c>
      <c r="V15" s="62">
        <f t="shared" si="2"/>
        <v>0.95062201913462741</v>
      </c>
      <c r="W15" s="77">
        <f t="shared" si="3"/>
        <v>11083.179106696969</v>
      </c>
    </row>
    <row r="16" spans="3:23" s="177" customFormat="1" ht="22.5" customHeight="1" x14ac:dyDescent="0.25">
      <c r="C16" s="63">
        <v>11</v>
      </c>
      <c r="D16" s="64">
        <v>106.37909999999999</v>
      </c>
      <c r="E16" s="64">
        <f>هیدرومدول!C15</f>
        <v>127.618583502101</v>
      </c>
      <c r="F16" s="65">
        <f>هیدرومدول!K15*$N$2</f>
        <v>0</v>
      </c>
      <c r="G16" s="66">
        <f>هیدرومدول!G15*$N$2</f>
        <v>106.5487815</v>
      </c>
      <c r="H16" s="134">
        <v>0</v>
      </c>
      <c r="I16" s="67">
        <f t="shared" si="4"/>
        <v>0.1</v>
      </c>
      <c r="J16" s="68">
        <f t="shared" si="4"/>
        <v>0.05</v>
      </c>
      <c r="K16" s="69">
        <f t="shared" si="5"/>
        <v>270.46330657742669</v>
      </c>
      <c r="L16" s="70">
        <f>هیدرومدول!E15*1000/31/24/3600*1000</f>
        <v>122.30762099442506</v>
      </c>
      <c r="M16" s="74">
        <f>F16*هیدرومدول!N15</f>
        <v>0</v>
      </c>
      <c r="N16" s="75">
        <f>G16*هیدرومدول!J15</f>
        <v>92.291058831251704</v>
      </c>
      <c r="O16" s="75">
        <f>H16*هیدرومدول!N15</f>
        <v>0</v>
      </c>
      <c r="P16" s="71">
        <f t="shared" si="0"/>
        <v>32.189801973851516</v>
      </c>
      <c r="Q16" s="72">
        <f t="shared" si="6"/>
        <v>0.05</v>
      </c>
      <c r="R16" s="73">
        <f t="shared" si="1"/>
        <v>260.25454895858951</v>
      </c>
      <c r="S16" s="74">
        <f t="shared" si="7"/>
        <v>697.06578393068605</v>
      </c>
      <c r="T16" s="75">
        <f t="shared" si="8"/>
        <v>3030.2102013684198</v>
      </c>
      <c r="U16" s="76">
        <f>(هیدرومدول!E15/هیدرومدول!D15)</f>
        <v>0.2300387556004849</v>
      </c>
      <c r="V16" s="62">
        <f t="shared" si="2"/>
        <v>0.96225455590252251</v>
      </c>
      <c r="W16" s="77">
        <f t="shared" si="3"/>
        <v>11203.775623814421</v>
      </c>
    </row>
    <row r="17" spans="2:23" ht="22.5" customHeight="1" x14ac:dyDescent="0.25">
      <c r="C17" s="78">
        <v>12</v>
      </c>
      <c r="D17" s="79">
        <v>85.039299999999997</v>
      </c>
      <c r="E17" s="79">
        <f>هیدرومدول!C16</f>
        <v>87.246562354088667</v>
      </c>
      <c r="F17" s="80">
        <f>هیدرومدول!K16*$N$2</f>
        <v>170.62238269999997</v>
      </c>
      <c r="G17" s="81">
        <f>هیدرومدول!G16*$N$2</f>
        <v>241.03335269999997</v>
      </c>
      <c r="H17" s="135">
        <v>13.5202111015999</v>
      </c>
      <c r="I17" s="82">
        <f t="shared" si="4"/>
        <v>0.1</v>
      </c>
      <c r="J17" s="83">
        <f t="shared" si="4"/>
        <v>0.05</v>
      </c>
      <c r="K17" s="84">
        <f>SUM(E17:H17)*(1+I17)*(1+J17)</f>
        <v>591.84799772832025</v>
      </c>
      <c r="L17" s="85">
        <f>هیدرومدول!E16*1000/31/24/3600*1000</f>
        <v>72.299694754277184</v>
      </c>
      <c r="M17" s="89">
        <f>F17*هیدرومدول!N16</f>
        <v>153.27050805315656</v>
      </c>
      <c r="N17" s="90">
        <f>G17*هیدرومدول!J16</f>
        <v>216.52085641683328</v>
      </c>
      <c r="O17" s="90">
        <f>H17*هیدرومدول!N16</f>
        <v>12.145239046225935</v>
      </c>
      <c r="P17" s="86">
        <f t="shared" si="0"/>
        <v>68.135444740573959</v>
      </c>
      <c r="Q17" s="87">
        <f t="shared" si="6"/>
        <v>0.05</v>
      </c>
      <c r="R17" s="88">
        <f t="shared" si="1"/>
        <v>550.87507072754045</v>
      </c>
      <c r="S17" s="89">
        <f t="shared" si="7"/>
        <v>1475.4637894366444</v>
      </c>
      <c r="T17" s="90">
        <f t="shared" si="8"/>
        <v>6421.4527631696747</v>
      </c>
      <c r="U17" s="91">
        <f>(هیدرومدول!E16/هیدرومدول!D16)</f>
        <v>0.22977102594278762</v>
      </c>
      <c r="V17" s="92">
        <f t="shared" si="2"/>
        <v>0.93077119943288567</v>
      </c>
      <c r="W17" s="93">
        <f t="shared" si="3"/>
        <v>10849.834396360253</v>
      </c>
    </row>
    <row r="18" spans="2:23" ht="22.5" customHeight="1" x14ac:dyDescent="0.25">
      <c r="C18" s="100">
        <v>13</v>
      </c>
      <c r="D18" s="101">
        <v>7.2237</v>
      </c>
      <c r="E18" s="101">
        <f>هیدرومدول!C17</f>
        <v>8.3469744157026273</v>
      </c>
      <c r="F18" s="102">
        <f>هیدرومدول!K17*$N$2</f>
        <v>0.86217250000000001</v>
      </c>
      <c r="G18" s="103">
        <f>هیدرومدول!G17*$N$2</f>
        <v>42</v>
      </c>
      <c r="H18" s="136">
        <v>0</v>
      </c>
      <c r="I18" s="104">
        <f t="shared" si="4"/>
        <v>0.1</v>
      </c>
      <c r="J18" s="105">
        <f t="shared" si="4"/>
        <v>0.05</v>
      </c>
      <c r="K18" s="106">
        <f t="shared" si="5"/>
        <v>59.146564687636541</v>
      </c>
      <c r="L18" s="107">
        <f>هیدرومدول!E17*1000/31/24/3600*1000</f>
        <v>9.2387419624925631</v>
      </c>
      <c r="M18" s="111">
        <f>F18*هیدرومدول!N17</f>
        <v>0.82615910859343222</v>
      </c>
      <c r="N18" s="112">
        <f>G18*هیدرومدول!J17</f>
        <v>40.245638269515844</v>
      </c>
      <c r="O18" s="112">
        <f>H18*هیدرومدول!N17</f>
        <v>0</v>
      </c>
      <c r="P18" s="108">
        <f t="shared" si="0"/>
        <v>7.5465809010902767</v>
      </c>
      <c r="Q18" s="109">
        <f t="shared" si="6"/>
        <v>0.05</v>
      </c>
      <c r="R18" s="110">
        <f t="shared" si="1"/>
        <v>61.014106585314885</v>
      </c>
      <c r="S18" s="111">
        <f t="shared" si="7"/>
        <v>163.42018307810739</v>
      </c>
      <c r="T18" s="112">
        <f t="shared" si="8"/>
        <v>708.90116211264012</v>
      </c>
      <c r="U18" s="113">
        <f>(هیدرومدول!E17/هیدرومدول!D17)</f>
        <v>0.23052604765252296</v>
      </c>
      <c r="V18" s="114">
        <f t="shared" si="2"/>
        <v>1.0315748160107212</v>
      </c>
      <c r="W18" s="115">
        <f t="shared" si="3"/>
        <v>11985.500186806663</v>
      </c>
    </row>
    <row r="19" spans="2:23" ht="22.5" customHeight="1" x14ac:dyDescent="0.25">
      <c r="B19" s="230" t="s">
        <v>37</v>
      </c>
      <c r="C19" s="63">
        <v>7</v>
      </c>
      <c r="D19" s="227">
        <v>33.664000000000001</v>
      </c>
      <c r="E19" s="64">
        <f>هیدرومدول!C18</f>
        <v>37.451700000000002</v>
      </c>
      <c r="F19" s="65">
        <f>هیدرومدول!K18*$N$2</f>
        <v>0</v>
      </c>
      <c r="G19" s="66">
        <f>هیدرومدول!G18*$N$2</f>
        <v>0</v>
      </c>
      <c r="H19" s="134">
        <v>0</v>
      </c>
      <c r="I19" s="67">
        <v>0</v>
      </c>
      <c r="J19" s="68">
        <v>0</v>
      </c>
      <c r="K19" s="116">
        <f t="shared" si="5"/>
        <v>37.451700000000002</v>
      </c>
      <c r="L19" s="64">
        <f>هیدرومدول!E18*1000/31/24/3600*1000</f>
        <v>26.123056184421639</v>
      </c>
      <c r="M19" s="74">
        <f>F19*هیدرومدول!N18</f>
        <v>0</v>
      </c>
      <c r="N19" s="75">
        <f>G19*هیدرومدول!J18</f>
        <v>0</v>
      </c>
      <c r="O19" s="75">
        <f>H19*هیدرومدول!N18</f>
        <v>0</v>
      </c>
      <c r="P19" s="71">
        <f t="shared" si="0"/>
        <v>0</v>
      </c>
      <c r="Q19" s="72">
        <v>0.05</v>
      </c>
      <c r="R19" s="117">
        <f t="shared" si="1"/>
        <v>27.429208993642721</v>
      </c>
      <c r="S19" s="118">
        <f t="shared" si="7"/>
        <v>73.466393368572668</v>
      </c>
      <c r="T19" s="119">
        <f t="shared" si="8"/>
        <v>318.29430239172342</v>
      </c>
      <c r="U19" s="76">
        <f>(هیدرومدول!E18/هیدرومدول!D18)</f>
        <v>0.23081278180769285</v>
      </c>
      <c r="V19" s="62">
        <f t="shared" si="2"/>
        <v>0.73238889005419561</v>
      </c>
      <c r="W19" s="77">
        <f t="shared" si="3"/>
        <v>8498.7945111095996</v>
      </c>
    </row>
    <row r="20" spans="2:23" ht="22.5" customHeight="1" x14ac:dyDescent="0.25">
      <c r="B20" s="230"/>
      <c r="C20" s="63">
        <v>10</v>
      </c>
      <c r="D20" s="228"/>
      <c r="E20" s="64">
        <f>هیدرومدول!C19</f>
        <v>1.3428</v>
      </c>
      <c r="F20" s="65">
        <f>هیدرومدول!K19*$N$2</f>
        <v>0</v>
      </c>
      <c r="G20" s="66">
        <f>هیدرومدول!G19*$N$2</f>
        <v>0</v>
      </c>
      <c r="H20" s="134">
        <v>0</v>
      </c>
      <c r="I20" s="67">
        <v>0</v>
      </c>
      <c r="J20" s="68">
        <v>0</v>
      </c>
      <c r="K20" s="116">
        <f t="shared" si="5"/>
        <v>1.3428</v>
      </c>
      <c r="L20" s="64">
        <f>هیدرومدول!E19*1000/31/24/3600*1000</f>
        <v>1.1526828136246838</v>
      </c>
      <c r="M20" s="74">
        <f>F20*هیدرومدول!N19</f>
        <v>0</v>
      </c>
      <c r="N20" s="75">
        <f>G20*هیدرومدول!J19</f>
        <v>0</v>
      </c>
      <c r="O20" s="75">
        <f>H20*هیدرومدول!N19</f>
        <v>0</v>
      </c>
      <c r="P20" s="71">
        <f t="shared" si="0"/>
        <v>0</v>
      </c>
      <c r="Q20" s="72">
        <f t="shared" ref="Q20:Q22" si="9">Q19</f>
        <v>0.05</v>
      </c>
      <c r="R20" s="117">
        <f t="shared" si="1"/>
        <v>1.210316954305918</v>
      </c>
      <c r="S20" s="118">
        <f t="shared" si="7"/>
        <v>3.2417129304129708</v>
      </c>
      <c r="T20" s="119">
        <f t="shared" si="8"/>
        <v>14.125865525401863</v>
      </c>
      <c r="U20" s="76">
        <f>(هیدرومدول!E19/هیدرومدول!D19)</f>
        <v>0.22948773826167002</v>
      </c>
      <c r="V20" s="62">
        <f t="shared" si="2"/>
        <v>0.90133821440714779</v>
      </c>
      <c r="W20" s="77">
        <f t="shared" si="3"/>
        <v>10519.709208669841</v>
      </c>
    </row>
    <row r="21" spans="2:23" ht="22.5" customHeight="1" x14ac:dyDescent="0.25">
      <c r="B21" s="230"/>
      <c r="C21" s="63">
        <v>11</v>
      </c>
      <c r="D21" s="228"/>
      <c r="E21" s="64">
        <f>هیدرومدول!C20</f>
        <v>1.3333999999999999</v>
      </c>
      <c r="F21" s="65">
        <f>هیدرومدول!K20*$N$2</f>
        <v>0</v>
      </c>
      <c r="G21" s="66">
        <f>هیدرومدول!G20*$N$2</f>
        <v>0</v>
      </c>
      <c r="H21" s="134">
        <v>0</v>
      </c>
      <c r="I21" s="67">
        <v>0</v>
      </c>
      <c r="J21" s="68">
        <v>0</v>
      </c>
      <c r="K21" s="116">
        <f t="shared" si="5"/>
        <v>1.3333999999999999</v>
      </c>
      <c r="L21" s="64">
        <f>هیدرومدول!E20*1000/31/24/3600*1000</f>
        <v>1.2788429281212665</v>
      </c>
      <c r="M21" s="74">
        <f>F21*هیدرومدول!N20</f>
        <v>0</v>
      </c>
      <c r="N21" s="75">
        <f>G21*هیدرومدول!J20</f>
        <v>0</v>
      </c>
      <c r="O21" s="75">
        <f>H21*هیدرومدول!N20</f>
        <v>0</v>
      </c>
      <c r="P21" s="71">
        <f t="shared" si="0"/>
        <v>0</v>
      </c>
      <c r="Q21" s="72">
        <f>Q20</f>
        <v>0.05</v>
      </c>
      <c r="R21" s="117">
        <f t="shared" si="1"/>
        <v>1.34278507452733</v>
      </c>
      <c r="S21" s="118">
        <f t="shared" si="7"/>
        <v>3.5965155436140002</v>
      </c>
      <c r="T21" s="119">
        <f t="shared" si="8"/>
        <v>15.734782840627977</v>
      </c>
      <c r="U21" s="76">
        <f>(هیدرومدول!E20/هیدرومدول!D20)</f>
        <v>0.22857103145571361</v>
      </c>
      <c r="V21" s="62">
        <f t="shared" si="2"/>
        <v>1.007038453972799</v>
      </c>
      <c r="W21" s="77">
        <f t="shared" si="3"/>
        <v>11800.497105615703</v>
      </c>
    </row>
    <row r="22" spans="2:23" ht="22.5" customHeight="1" x14ac:dyDescent="0.25">
      <c r="B22" s="230"/>
      <c r="C22" s="63">
        <v>12</v>
      </c>
      <c r="D22" s="229"/>
      <c r="E22" s="64">
        <f>هیدرومدول!C21</f>
        <v>5.4</v>
      </c>
      <c r="F22" s="65">
        <f>هیدرومدول!K21*$N$2</f>
        <v>0</v>
      </c>
      <c r="G22" s="66">
        <f>هیدرومدول!G21*$N$2</f>
        <v>0</v>
      </c>
      <c r="H22" s="134">
        <v>0</v>
      </c>
      <c r="I22" s="67">
        <v>0</v>
      </c>
      <c r="J22" s="68">
        <v>0</v>
      </c>
      <c r="K22" s="116">
        <f t="shared" si="5"/>
        <v>5.4</v>
      </c>
      <c r="L22" s="64">
        <f>هیدرومدول!E21*1000/31/24/3600*1000</f>
        <v>5.5830535931899643</v>
      </c>
      <c r="M22" s="74">
        <f>F22*هیدرومدول!N21</f>
        <v>0</v>
      </c>
      <c r="N22" s="75">
        <f>G22*هیدرومدول!J21</f>
        <v>0</v>
      </c>
      <c r="O22" s="75">
        <f>H22*هیدرومدول!N21</f>
        <v>0</v>
      </c>
      <c r="P22" s="71">
        <f t="shared" si="0"/>
        <v>0</v>
      </c>
      <c r="Q22" s="72">
        <f t="shared" si="9"/>
        <v>0.05</v>
      </c>
      <c r="R22" s="117">
        <f t="shared" si="1"/>
        <v>5.8622062728494626</v>
      </c>
      <c r="S22" s="118">
        <f t="shared" si="7"/>
        <v>15.7013332812</v>
      </c>
      <c r="T22" s="119">
        <f t="shared" si="8"/>
        <v>68.188144030775987</v>
      </c>
      <c r="U22" s="76">
        <f>(هیدرومدول!E21/هیدرومدول!D21)</f>
        <v>0.23026485768718638</v>
      </c>
      <c r="V22" s="62">
        <f t="shared" si="2"/>
        <v>1.0855937542313818</v>
      </c>
      <c r="W22" s="77">
        <f t="shared" si="3"/>
        <v>12627.434079773331</v>
      </c>
    </row>
    <row r="23" spans="2:23" ht="22.5" customHeight="1" x14ac:dyDescent="0.25">
      <c r="C23" s="120" t="s">
        <v>34</v>
      </c>
      <c r="D23" s="121">
        <f>SUM(D6:D22)</f>
        <v>1781.6622999999997</v>
      </c>
      <c r="E23" s="121">
        <f>SUM(E6:E22)</f>
        <v>1605.9158003037003</v>
      </c>
      <c r="F23" s="122">
        <f>SUM(F6:F22)</f>
        <v>246.47412719999997</v>
      </c>
      <c r="G23" s="122">
        <f>SUM(G6:G22)</f>
        <v>1355.2789095999999</v>
      </c>
      <c r="H23" s="122">
        <f>SUM(H6:H22)</f>
        <v>29.694420562799877</v>
      </c>
      <c r="I23" s="123">
        <f>SUM($E23:$H23)*(I24)</f>
        <v>314.55836322148787</v>
      </c>
      <c r="J23" s="122">
        <f>SUM($E23:$I23)*(J24)</f>
        <v>172.56121145992168</v>
      </c>
      <c r="K23" s="124">
        <f t="shared" ref="K23:P23" si="10">SUM(K6:K22)</f>
        <v>3732.0977381048083</v>
      </c>
      <c r="L23" s="122">
        <f t="shared" si="10"/>
        <v>1364.4869492818759</v>
      </c>
      <c r="M23" s="122">
        <f t="shared" si="10"/>
        <v>223.10835036028965</v>
      </c>
      <c r="N23" s="122">
        <f t="shared" si="10"/>
        <v>1091.6831486514905</v>
      </c>
      <c r="O23" s="122">
        <f t="shared" si="10"/>
        <v>26.458532576300655</v>
      </c>
      <c r="P23" s="125">
        <f t="shared" si="10"/>
        <v>400.73990180258994</v>
      </c>
      <c r="Q23" s="126">
        <f>SUM($L23:$P23)*(Q24)</f>
        <v>155.32384413362732</v>
      </c>
      <c r="R23" s="127">
        <f>SUM(R6:R22)</f>
        <v>3275.8266233692648</v>
      </c>
      <c r="S23" s="128">
        <f>SUM(S6:S22)</f>
        <v>8773.9740280322385</v>
      </c>
      <c r="T23" s="129">
        <f>SUM(T6:T22)</f>
        <v>38125.676735799505</v>
      </c>
      <c r="U23" s="130">
        <f>SUMPRODUCT(U6:U22,K6:K22)/K23</f>
        <v>0.23015563950975268</v>
      </c>
      <c r="V23" s="131">
        <f>SUMPRODUCT(V6:V22,K6:K22)/K23</f>
        <v>0.87774406064530297</v>
      </c>
      <c r="W23" s="132">
        <f>ROUND(SUMPRODUCT(W6:W22,K6:K22)/K23,-1)</f>
        <v>10220</v>
      </c>
    </row>
    <row r="24" spans="2:23" s="178" customFormat="1" ht="22.5" customHeight="1" x14ac:dyDescent="0.25">
      <c r="C24" s="170"/>
      <c r="D24" s="170"/>
      <c r="E24" s="171" t="s">
        <v>35</v>
      </c>
      <c r="F24" s="171"/>
      <c r="G24" s="171" t="s">
        <v>36</v>
      </c>
      <c r="H24" s="171"/>
      <c r="I24" s="172">
        <f>SUMPRODUCT(I6:I22,$E6:$E22)/$E23</f>
        <v>9.7164988351731152E-2</v>
      </c>
      <c r="J24" s="172">
        <f>SUMPRODUCT(J6:J22,$E6:$E22)/$E23</f>
        <v>4.8582494175865576E-2</v>
      </c>
      <c r="K24" s="170"/>
      <c r="L24" s="173">
        <f>L23/1000*3600*24*31/U23/1000/1000</f>
        <v>15.879001934261593</v>
      </c>
      <c r="M24" s="170"/>
      <c r="N24" s="170"/>
      <c r="O24" s="170"/>
      <c r="P24" s="170"/>
      <c r="Q24" s="172">
        <f>SUMPRODUCT(Q6:Q22,$E6:$E22)/$E23</f>
        <v>0.05</v>
      </c>
      <c r="R24" s="174">
        <f>R23/L23</f>
        <v>2.4007753427713761</v>
      </c>
      <c r="S24" s="170"/>
      <c r="T24" s="192">
        <f>T23/1000</f>
        <v>38.125676735799502</v>
      </c>
      <c r="U24" s="170"/>
      <c r="V24" s="170"/>
      <c r="W24" s="192">
        <f>W23*K23/1000/1000</f>
        <v>38.142038883431148</v>
      </c>
    </row>
    <row r="25" spans="2:23" ht="22.5" customHeight="1" x14ac:dyDescent="0.25"/>
    <row r="26" spans="2:23" ht="22.5" customHeight="1" x14ac:dyDescent="0.25"/>
    <row r="27" spans="2:23" ht="22.5" customHeight="1" x14ac:dyDescent="0.25"/>
    <row r="28" spans="2:23" ht="22.5" customHeight="1" x14ac:dyDescent="0.25">
      <c r="B28" s="230" t="s">
        <v>39</v>
      </c>
      <c r="C28" s="152">
        <v>14</v>
      </c>
      <c r="D28" s="168"/>
      <c r="E28" s="153">
        <v>3468.5660086580087</v>
      </c>
      <c r="F28" s="154">
        <v>0</v>
      </c>
      <c r="G28" s="155">
        <v>7000</v>
      </c>
      <c r="H28" s="156">
        <v>0</v>
      </c>
      <c r="I28" s="157">
        <f>I27</f>
        <v>0</v>
      </c>
      <c r="J28" s="158">
        <f>J27</f>
        <v>0</v>
      </c>
      <c r="K28" s="159">
        <f>SUM(E28:H28)*(1+I28)*(1+J28)</f>
        <v>10468.566008658008</v>
      </c>
      <c r="L28" s="153">
        <v>342.71609354415631</v>
      </c>
      <c r="M28" s="160">
        <v>0</v>
      </c>
      <c r="N28" s="161">
        <v>965.88209081128764</v>
      </c>
      <c r="O28" s="161">
        <v>0</v>
      </c>
      <c r="P28" s="162">
        <f t="shared" ref="P28:P29" si="11">SUM(L28:O28)*(J28+I28)</f>
        <v>0</v>
      </c>
      <c r="Q28" s="163">
        <f>Q8</f>
        <v>0.05</v>
      </c>
      <c r="R28" s="164">
        <f>SUM(L28:O28)*(1+J28)*(1+Q28)*(1+I28)</f>
        <v>1374.0280935732162</v>
      </c>
      <c r="S28" s="160">
        <f t="shared" ref="S28" si="12">R28*3600*24*31/1000/1000</f>
        <v>3680.1968458265023</v>
      </c>
      <c r="T28" s="161">
        <f t="shared" ref="T28" si="13">S28/U28</f>
        <v>16000.855851419574</v>
      </c>
      <c r="U28" s="175">
        <v>0.23</v>
      </c>
      <c r="V28" s="165">
        <f>R28/K28</f>
        <v>0.13125275156471564</v>
      </c>
      <c r="W28" s="166">
        <f>T28*1000/K28</f>
        <v>1528.4668251779751</v>
      </c>
    </row>
    <row r="29" spans="2:23" ht="22.5" customHeight="1" x14ac:dyDescent="0.25">
      <c r="B29" s="230"/>
      <c r="C29" s="138">
        <v>15</v>
      </c>
      <c r="D29" s="169"/>
      <c r="E29" s="139">
        <v>181</v>
      </c>
      <c r="F29" s="140">
        <v>0</v>
      </c>
      <c r="G29" s="140">
        <v>0</v>
      </c>
      <c r="H29" s="141">
        <v>0</v>
      </c>
      <c r="I29" s="142">
        <f t="shared" ref="I29:J29" si="14">I28</f>
        <v>0</v>
      </c>
      <c r="J29" s="143">
        <f t="shared" si="14"/>
        <v>0</v>
      </c>
      <c r="K29" s="144">
        <f>SUM(E29:H29)*(1+I29)*(1+J29)</f>
        <v>181</v>
      </c>
      <c r="L29" s="139">
        <v>17.883936121340351</v>
      </c>
      <c r="M29" s="145">
        <v>0</v>
      </c>
      <c r="N29" s="146">
        <v>0</v>
      </c>
      <c r="O29" s="146">
        <v>0</v>
      </c>
      <c r="P29" s="147">
        <f t="shared" si="11"/>
        <v>0</v>
      </c>
      <c r="Q29" s="148">
        <f>Q28</f>
        <v>0.05</v>
      </c>
      <c r="R29" s="149">
        <f>SUM(L29:O29)*(1+J29)*(1+Q29)*(1+I29)</f>
        <v>18.77813292740737</v>
      </c>
      <c r="S29" s="145">
        <f t="shared" ref="S29" si="15">R29*3600*24*31/1000/1000</f>
        <v>50.295351232767899</v>
      </c>
      <c r="T29" s="146">
        <f t="shared" ref="T29" si="16">S29/U29</f>
        <v>218.67544014246911</v>
      </c>
      <c r="U29" s="176">
        <v>0.23</v>
      </c>
      <c r="V29" s="150">
        <f>R29/K29</f>
        <v>0.10374659075915674</v>
      </c>
      <c r="W29" s="151">
        <f>T29*1000/K29</f>
        <v>1208.1516029970669</v>
      </c>
    </row>
    <row r="30" spans="2:23" ht="22.5" customHeight="1" x14ac:dyDescent="0.25">
      <c r="C30" s="120" t="s">
        <v>34</v>
      </c>
      <c r="D30" s="167"/>
      <c r="E30" s="121">
        <f>SUM(E28:E29)</f>
        <v>3649.5660086580087</v>
      </c>
      <c r="F30" s="122">
        <f>SUM(F28:F29)</f>
        <v>0</v>
      </c>
      <c r="G30" s="122">
        <f>SUM(G28:G29)</f>
        <v>7000</v>
      </c>
      <c r="H30" s="122">
        <f>SUM(H28:H29)</f>
        <v>0</v>
      </c>
      <c r="I30" s="123">
        <f>SUM($E30:$H30)*(I31)</f>
        <v>0</v>
      </c>
      <c r="J30" s="122">
        <f>SUM($E30:$I30)*(J31)</f>
        <v>0</v>
      </c>
      <c r="K30" s="124">
        <f t="shared" ref="K30:P30" si="17">SUM(K28:K29)</f>
        <v>10649.566008658008</v>
      </c>
      <c r="L30" s="122">
        <f t="shared" si="17"/>
        <v>360.60002966549666</v>
      </c>
      <c r="M30" s="122">
        <f t="shared" si="17"/>
        <v>0</v>
      </c>
      <c r="N30" s="122">
        <f t="shared" si="17"/>
        <v>965.88209081128764</v>
      </c>
      <c r="O30" s="122">
        <f t="shared" si="17"/>
        <v>0</v>
      </c>
      <c r="P30" s="125">
        <f t="shared" si="17"/>
        <v>0</v>
      </c>
      <c r="Q30" s="126">
        <f>SUM($L30:$P30)*(Q31)</f>
        <v>66.324106023839221</v>
      </c>
      <c r="R30" s="127">
        <f>SUM(R28:R29)</f>
        <v>1392.8062265006236</v>
      </c>
      <c r="S30" s="128">
        <f>SUM(S28:S29)</f>
        <v>3730.4921970592704</v>
      </c>
      <c r="T30" s="129">
        <f>SUM(T28:T29)</f>
        <v>16219.531291562043</v>
      </c>
      <c r="U30" s="130">
        <f>SUMPRODUCT(U28:U29,K28:K29)/K30</f>
        <v>0.23</v>
      </c>
      <c r="V30" s="131">
        <f>SUMPRODUCT(V28:V29,K28:K29)/K30</f>
        <v>0.1307852569173508</v>
      </c>
      <c r="W30" s="132">
        <f>ROUND(SUMPRODUCT(W28:W29,K28:K29)/K30,-1)</f>
        <v>1520</v>
      </c>
    </row>
    <row r="31" spans="2:23" s="178" customFormat="1" ht="22.5" customHeight="1" x14ac:dyDescent="0.25">
      <c r="C31" s="170"/>
      <c r="D31" s="170"/>
      <c r="E31" s="171" t="s">
        <v>35</v>
      </c>
      <c r="F31" s="171"/>
      <c r="G31" s="171" t="s">
        <v>36</v>
      </c>
      <c r="H31" s="171"/>
      <c r="I31" s="172">
        <f>SUMPRODUCT(I28:I29,$E28:$E29)/$E30</f>
        <v>0</v>
      </c>
      <c r="J31" s="172">
        <f>SUMPRODUCT(J28:J29,$E28:$E29)/$E30</f>
        <v>0</v>
      </c>
      <c r="K31" s="170"/>
      <c r="L31" s="192">
        <f>L30/1000*3600*24*31/U30/1000/1000</f>
        <v>4.1992657367655051</v>
      </c>
      <c r="M31" s="170"/>
      <c r="N31" s="170"/>
      <c r="O31" s="170"/>
      <c r="P31" s="170"/>
      <c r="Q31" s="172">
        <f>SUMPRODUCT(Q28:Q29,$E28:$E29)/$E30</f>
        <v>0.05</v>
      </c>
      <c r="R31" s="174">
        <f>R30/L30</f>
        <v>3.8624684190753733</v>
      </c>
      <c r="S31" s="170"/>
      <c r="T31" s="192">
        <f>T30/1000</f>
        <v>16.219531291562042</v>
      </c>
      <c r="U31" s="170"/>
      <c r="V31" s="170"/>
      <c r="W31" s="192">
        <f>W30*K30/1000/1000</f>
        <v>16.187340333160172</v>
      </c>
    </row>
    <row r="38" spans="3:23" ht="22.5" customHeight="1" x14ac:dyDescent="0.25">
      <c r="C38" s="211" t="s">
        <v>61</v>
      </c>
      <c r="D38" s="195">
        <v>452.69810000000001</v>
      </c>
      <c r="E38" s="195">
        <f>هیدرومدول!C11</f>
        <v>335.02762817527099</v>
      </c>
      <c r="F38" s="196">
        <f>هیدرومدول!K11*$N$2</f>
        <v>0</v>
      </c>
      <c r="G38" s="197">
        <f>هیدرومدول!G11*$N$2</f>
        <v>199.80766749999998</v>
      </c>
      <c r="H38" s="198">
        <v>0</v>
      </c>
      <c r="I38" s="199">
        <f>I6</f>
        <v>0.1</v>
      </c>
      <c r="J38" s="200">
        <f>J6</f>
        <v>0.05</v>
      </c>
      <c r="K38" s="201">
        <f t="shared" ref="K38" si="18">SUM(E38:H38)*(1+I38)*(1+J38)</f>
        <v>617.73476650493808</v>
      </c>
      <c r="L38" s="202">
        <f>هیدرومدول!E11*1000/31/24/3600*1000</f>
        <v>237.92076327273932</v>
      </c>
      <c r="M38" s="203">
        <f>F38*هیدرومدول!N11</f>
        <v>0</v>
      </c>
      <c r="N38" s="204">
        <f>G38*هیدرومدول!J11</f>
        <v>138.97380811320622</v>
      </c>
      <c r="O38" s="204">
        <f>H38*هیدرومدول!N11</f>
        <v>0</v>
      </c>
      <c r="P38" s="205">
        <f t="shared" ref="P38" si="19">SUM(L38:O38)*(J38+I38)</f>
        <v>56.534185707891837</v>
      </c>
      <c r="Q38" s="206">
        <f>Q6</f>
        <v>0.05</v>
      </c>
      <c r="R38" s="207">
        <f t="shared" ref="R38" si="20">SUM(L38:O38)*(1+J38)*(1+Q38)*(1+I38)</f>
        <v>457.07889144830551</v>
      </c>
      <c r="S38" s="203">
        <f t="shared" ref="S38" si="21">R38*3600*24*31/1000/1000</f>
        <v>1224.2401028551412</v>
      </c>
      <c r="T38" s="204">
        <f t="shared" ref="T38" si="22">S38/U38</f>
        <v>5312.224998194888</v>
      </c>
      <c r="U38" s="208">
        <f>(هیدرومدول!E11/هیدرومدول!D11)</f>
        <v>0.23045712545517974</v>
      </c>
      <c r="V38" s="209">
        <f t="shared" ref="V38" si="23">R38/K38</f>
        <v>0.73992741906756787</v>
      </c>
      <c r="W38" s="210">
        <f t="shared" ref="W38" si="24">T38*1000/K38</f>
        <v>8599.5240777053186</v>
      </c>
    </row>
    <row r="39" spans="3:23" ht="22.5" customHeight="1" x14ac:dyDescent="0.25">
      <c r="C39" s="211" t="s">
        <v>62</v>
      </c>
      <c r="D39" s="195"/>
      <c r="E39" s="195">
        <f>هیدرومدول!C26</f>
        <v>193.36149999999998</v>
      </c>
      <c r="F39" s="196">
        <f>هیدرومدول!K26*$N$2</f>
        <v>0</v>
      </c>
      <c r="G39" s="197">
        <f>هیدرومدول!G26*$N$2</f>
        <v>0</v>
      </c>
      <c r="H39" s="198">
        <v>0</v>
      </c>
      <c r="I39" s="199">
        <f>I7</f>
        <v>0.1</v>
      </c>
      <c r="J39" s="200">
        <f>J7</f>
        <v>0.05</v>
      </c>
      <c r="K39" s="201">
        <f t="shared" ref="K39" si="25">SUM(E39:H39)*(1+I39)*(1+J39)</f>
        <v>223.33253249999999</v>
      </c>
      <c r="L39" s="202">
        <f>هیدرومدول!E26*1000/31/24/3600*1000</f>
        <v>117.29144265232972</v>
      </c>
      <c r="M39" s="203">
        <f>F39*هیدرومدول!N26</f>
        <v>0</v>
      </c>
      <c r="N39" s="204">
        <f>G39*هیدرومدول!J26</f>
        <v>0</v>
      </c>
      <c r="O39" s="204">
        <f>H39*هیدرومدول!N26</f>
        <v>0</v>
      </c>
      <c r="P39" s="205">
        <f t="shared" ref="P39" si="26">SUM(L39:O39)*(J39+I39)</f>
        <v>17.593716397849462</v>
      </c>
      <c r="Q39" s="206">
        <f>Q7</f>
        <v>0.05</v>
      </c>
      <c r="R39" s="207">
        <f t="shared" ref="R39" si="27">SUM(L39:O39)*(1+J39)*(1+Q39)*(1+I39)</f>
        <v>142.2451970766129</v>
      </c>
      <c r="S39" s="203">
        <f t="shared" ref="S39" si="28">R39*3600*24*31/1000/1000</f>
        <v>380.98953585000004</v>
      </c>
      <c r="T39" s="204">
        <f t="shared" ref="T39" si="29">S39/U39</f>
        <v>1647.7391700000003</v>
      </c>
      <c r="U39" s="208">
        <f>(هیدرومدول!E26/هیدرومدول!D26)</f>
        <v>0.23121956604940086</v>
      </c>
      <c r="V39" s="209">
        <f t="shared" ref="V39" si="30">R39/K39</f>
        <v>0.63692107676526211</v>
      </c>
      <c r="W39" s="210">
        <f t="shared" ref="W39" si="31">T39*1000/K39</f>
        <v>7377.9630381435827</v>
      </c>
    </row>
    <row r="40" spans="3:23" x14ac:dyDescent="0.25">
      <c r="C40" s="212" t="s">
        <v>53</v>
      </c>
    </row>
    <row r="41" spans="3:23" x14ac:dyDescent="0.25">
      <c r="C41" s="212" t="s">
        <v>54</v>
      </c>
    </row>
    <row r="42" spans="3:23" x14ac:dyDescent="0.25">
      <c r="C42" s="212" t="s">
        <v>55</v>
      </c>
    </row>
    <row r="43" spans="3:23" x14ac:dyDescent="0.25">
      <c r="C43" s="212" t="s">
        <v>56</v>
      </c>
    </row>
    <row r="44" spans="3:23" x14ac:dyDescent="0.25">
      <c r="C44" s="212" t="s">
        <v>57</v>
      </c>
    </row>
    <row r="45" spans="3:23" x14ac:dyDescent="0.25">
      <c r="C45" s="212" t="s">
        <v>58</v>
      </c>
    </row>
    <row r="46" spans="3:23" x14ac:dyDescent="0.25">
      <c r="C46" s="212" t="s">
        <v>59</v>
      </c>
    </row>
    <row r="47" spans="3:23" x14ac:dyDescent="0.25">
      <c r="C47" s="212" t="s">
        <v>60</v>
      </c>
    </row>
    <row r="48" spans="3:23" x14ac:dyDescent="0.25">
      <c r="C48" s="212" t="s">
        <v>63</v>
      </c>
    </row>
  </sheetData>
  <mergeCells count="12">
    <mergeCell ref="B28:B29"/>
    <mergeCell ref="L3:R3"/>
    <mergeCell ref="B19:B22"/>
    <mergeCell ref="C3:C4"/>
    <mergeCell ref="I3:I4"/>
    <mergeCell ref="J3:J4"/>
    <mergeCell ref="K3:K4"/>
    <mergeCell ref="L2:M2"/>
    <mergeCell ref="S3:U3"/>
    <mergeCell ref="V3:W3"/>
    <mergeCell ref="D3:H3"/>
    <mergeCell ref="D19:D22"/>
  </mergeCells>
  <conditionalFormatting sqref="U3:W24 Q3:Q24 E4:J24 I3:J3 D3 D23">
    <cfRule type="expression" dxfId="321" priority="860">
      <formula>IF(#REF!&lt;&gt;#REF!,1,0)</formula>
    </cfRule>
  </conditionalFormatting>
  <conditionalFormatting sqref="U3:W24">
    <cfRule type="expression" dxfId="320" priority="858">
      <formula>IF(#REF!&lt;&gt;#REF!,1,0)</formula>
    </cfRule>
  </conditionalFormatting>
  <conditionalFormatting sqref="F19:K22 T18:W23 L3:S5 L23:S24 L6:L22 P6:S22 E4:E24 D3 C18:C22 C23:D24">
    <cfRule type="expression" dxfId="319" priority="861">
      <formula>IF(#REF!&lt;&gt;#REF!,1,0)</formula>
    </cfRule>
  </conditionalFormatting>
  <conditionalFormatting sqref="E4:J4 E17:G17 I17:L17 S14:V17 U4:W4 U6:V13 W6:W17 E7:L13 F6:K6 P7:Q13 P17:Q17">
    <cfRule type="expression" dxfId="318" priority="450">
      <formula>IF(#REF!&lt;&gt;#REF!,1,0)</formula>
    </cfRule>
  </conditionalFormatting>
  <conditionalFormatting sqref="S6:W17 S7:S22 U7:W22">
    <cfRule type="expression" dxfId="317" priority="449">
      <formula>IF(#REF!&lt;&gt;#REF!,1,0)</formula>
    </cfRule>
  </conditionalFormatting>
  <conditionalFormatting sqref="S14:V17 U4:W4 U6:W22">
    <cfRule type="expression" dxfId="316" priority="448">
      <formula>IF(#REF!&lt;&gt;#REF!,1,0)</formula>
    </cfRule>
  </conditionalFormatting>
  <conditionalFormatting sqref="P10:Q10">
    <cfRule type="expression" dxfId="315" priority="424">
      <formula>IF(#REF!&lt;&gt;#REF!,1,0)</formula>
    </cfRule>
  </conditionalFormatting>
  <conditionalFormatting sqref="P11:Q11">
    <cfRule type="expression" dxfId="314" priority="422">
      <formula>IF(#REF!&lt;&gt;#REF!,1,0)</formula>
    </cfRule>
  </conditionalFormatting>
  <conditionalFormatting sqref="R12">
    <cfRule type="expression" dxfId="313" priority="400">
      <formula>IF(#REF!&lt;&gt;#REF!,1,0)</formula>
    </cfRule>
  </conditionalFormatting>
  <conditionalFormatting sqref="L11 P11:Q11">
    <cfRule type="expression" dxfId="312" priority="423">
      <formula>IF(#REF!&lt;&gt;#REF!,1,0)</formula>
    </cfRule>
  </conditionalFormatting>
  <conditionalFormatting sqref="R13">
    <cfRule type="expression" dxfId="311" priority="399">
      <formula>IF(#REF!&lt;&gt;#REF!,1,0)</formula>
    </cfRule>
  </conditionalFormatting>
  <conditionalFormatting sqref="R13">
    <cfRule type="expression" dxfId="310" priority="398">
      <formula>IF(#REF!&lt;&gt;#REF!,1,0)</formula>
    </cfRule>
  </conditionalFormatting>
  <conditionalFormatting sqref="S6:U13 E6:K6 Q6 S7:S22 U7:U22">
    <cfRule type="expression" dxfId="309" priority="432">
      <formula>IF(#REF!&lt;&gt;#REF!,1,0)</formula>
    </cfRule>
  </conditionalFormatting>
  <conditionalFormatting sqref="E6:L6 L7:L22 P7:P22 P6:Q6 E7:E24 E7:G22">
    <cfRule type="expression" dxfId="308" priority="431">
      <formula>IF(#REF!&lt;&gt;#REF!,1,0)</formula>
    </cfRule>
  </conditionalFormatting>
  <conditionalFormatting sqref="S4 S6:U13 S7:S22 U7:U22">
    <cfRule type="expression" dxfId="307" priority="430">
      <formula>IF(#REF!&lt;&gt;#REF!,1,0)</formula>
    </cfRule>
  </conditionalFormatting>
  <conditionalFormatting sqref="P7:P22 P6:Q6 L6:L22">
    <cfRule type="expression" dxfId="306" priority="429">
      <formula>IF(#REF!&lt;&gt;#REF!,1,0)</formula>
    </cfRule>
  </conditionalFormatting>
  <conditionalFormatting sqref="P6:Q6 P7:P22">
    <cfRule type="expression" dxfId="305" priority="428">
      <formula>IF(#REF!&lt;&gt;#REF!,1,0)</formula>
    </cfRule>
  </conditionalFormatting>
  <conditionalFormatting sqref="S4 L4:Q4">
    <cfRule type="expression" dxfId="304" priority="427">
      <formula>IF(#REF!&lt;&gt;#REF!,1,0)</formula>
    </cfRule>
  </conditionalFormatting>
  <conditionalFormatting sqref="M4:Q4">
    <cfRule type="expression" dxfId="303" priority="426">
      <formula>IF(#REF!&lt;&gt;#REF!,1,0)</formula>
    </cfRule>
  </conditionalFormatting>
  <conditionalFormatting sqref="E4 L4">
    <cfRule type="expression" dxfId="302" priority="433">
      <formula>IF(#REF!&lt;&gt;#REF!,1,0)</formula>
    </cfRule>
  </conditionalFormatting>
  <conditionalFormatting sqref="L10 P10:Q10">
    <cfRule type="expression" dxfId="301" priority="425">
      <formula>IF(#REF!&lt;&gt;#REF!,1,0)</formula>
    </cfRule>
  </conditionalFormatting>
  <conditionalFormatting sqref="L12 P12:Q12">
    <cfRule type="expression" dxfId="300" priority="419">
      <formula>IF(#REF!&lt;&gt;#REF!,1,0)</formula>
    </cfRule>
  </conditionalFormatting>
  <conditionalFormatting sqref="P12:Q12">
    <cfRule type="expression" dxfId="299" priority="418">
      <formula>IF(#REF!&lt;&gt;#REF!,1,0)</formula>
    </cfRule>
  </conditionalFormatting>
  <conditionalFormatting sqref="L9 P9:Q9">
    <cfRule type="expression" dxfId="298" priority="421">
      <formula>IF(#REF!&lt;&gt;#REF!,1,0)</formula>
    </cfRule>
  </conditionalFormatting>
  <conditionalFormatting sqref="P9:Q9">
    <cfRule type="expression" dxfId="297" priority="420">
      <formula>IF(#REF!&lt;&gt;#REF!,1,0)</formula>
    </cfRule>
  </conditionalFormatting>
  <conditionalFormatting sqref="L13 P13:Q13">
    <cfRule type="expression" dxfId="296" priority="417">
      <formula>IF(#REF!&lt;&gt;#REF!,1,0)</formula>
    </cfRule>
  </conditionalFormatting>
  <conditionalFormatting sqref="P13:Q13">
    <cfRule type="expression" dxfId="295" priority="416">
      <formula>IF(#REF!&lt;&gt;#REF!,1,0)</formula>
    </cfRule>
  </conditionalFormatting>
  <conditionalFormatting sqref="L17 P17:Q17">
    <cfRule type="expression" dxfId="294" priority="415">
      <formula>IF(#REF!&lt;&gt;#REF!,1,0)</formula>
    </cfRule>
  </conditionalFormatting>
  <conditionalFormatting sqref="P17:Q17">
    <cfRule type="expression" dxfId="293" priority="414">
      <formula>IF(#REF!&lt;&gt;#REF!,1,0)</formula>
    </cfRule>
  </conditionalFormatting>
  <conditionalFormatting sqref="C17">
    <cfRule type="expression" dxfId="292" priority="434">
      <formula>IF(#REF!&lt;&gt;#REF!,1,0)</formula>
    </cfRule>
  </conditionalFormatting>
  <conditionalFormatting sqref="R7:R8">
    <cfRule type="expression" dxfId="291" priority="389">
      <formula>IF(#REF!&lt;&gt;#REF!,1,0)</formula>
    </cfRule>
  </conditionalFormatting>
  <conditionalFormatting sqref="R4">
    <cfRule type="expression" dxfId="290" priority="413">
      <formula>IF(#REF!&lt;&gt;#REF!,1,0)</formula>
    </cfRule>
  </conditionalFormatting>
  <conditionalFormatting sqref="R4">
    <cfRule type="expression" dxfId="289" priority="412">
      <formula>IF(#REF!&lt;&gt;#REF!,1,0)</formula>
    </cfRule>
  </conditionalFormatting>
  <conditionalFormatting sqref="R10">
    <cfRule type="expression" dxfId="288" priority="411">
      <formula>IF(#REF!&lt;&gt;#REF!,1,0)</formula>
    </cfRule>
  </conditionalFormatting>
  <conditionalFormatting sqref="R10">
    <cfRule type="expression" dxfId="287" priority="410">
      <formula>IF(#REF!&lt;&gt;#REF!,1,0)</formula>
    </cfRule>
  </conditionalFormatting>
  <conditionalFormatting sqref="R10">
    <cfRule type="expression" dxfId="286" priority="409">
      <formula>IF(#REF!&lt;&gt;#REF!,1,0)</formula>
    </cfRule>
  </conditionalFormatting>
  <conditionalFormatting sqref="R12">
    <cfRule type="expression" dxfId="285" priority="402">
      <formula>IF(#REF!&lt;&gt;#REF!,1,0)</formula>
    </cfRule>
  </conditionalFormatting>
  <conditionalFormatting sqref="R12">
    <cfRule type="expression" dxfId="284" priority="401">
      <formula>IF(#REF!&lt;&gt;#REF!,1,0)</formula>
    </cfRule>
  </conditionalFormatting>
  <conditionalFormatting sqref="R11">
    <cfRule type="expression" dxfId="283" priority="408">
      <formula>IF(#REF!&lt;&gt;#REF!,1,0)</formula>
    </cfRule>
  </conditionalFormatting>
  <conditionalFormatting sqref="R11">
    <cfRule type="expression" dxfId="282" priority="407">
      <formula>IF(#REF!&lt;&gt;#REF!,1,0)</formula>
    </cfRule>
  </conditionalFormatting>
  <conditionalFormatting sqref="R11">
    <cfRule type="expression" dxfId="281" priority="406">
      <formula>IF(#REF!&lt;&gt;#REF!,1,0)</formula>
    </cfRule>
  </conditionalFormatting>
  <conditionalFormatting sqref="R9">
    <cfRule type="expression" dxfId="280" priority="405">
      <formula>IF(#REF!&lt;&gt;#REF!,1,0)</formula>
    </cfRule>
  </conditionalFormatting>
  <conditionalFormatting sqref="R9">
    <cfRule type="expression" dxfId="279" priority="404">
      <formula>IF(#REF!&lt;&gt;#REF!,1,0)</formula>
    </cfRule>
  </conditionalFormatting>
  <conditionalFormatting sqref="R9">
    <cfRule type="expression" dxfId="278" priority="403">
      <formula>IF(#REF!&lt;&gt;#REF!,1,0)</formula>
    </cfRule>
  </conditionalFormatting>
  <conditionalFormatting sqref="R13">
    <cfRule type="expression" dxfId="277" priority="397">
      <formula>IF(#REF!&lt;&gt;#REF!,1,0)</formula>
    </cfRule>
  </conditionalFormatting>
  <conditionalFormatting sqref="R17">
    <cfRule type="expression" dxfId="276" priority="396">
      <formula>IF(#REF!&lt;&gt;#REF!,1,0)</formula>
    </cfRule>
  </conditionalFormatting>
  <conditionalFormatting sqref="R17">
    <cfRule type="expression" dxfId="275" priority="395">
      <formula>IF(#REF!&lt;&gt;#REF!,1,0)</formula>
    </cfRule>
  </conditionalFormatting>
  <conditionalFormatting sqref="R17">
    <cfRule type="expression" dxfId="274" priority="394">
      <formula>IF(#REF!&lt;&gt;#REF!,1,0)</formula>
    </cfRule>
  </conditionalFormatting>
  <conditionalFormatting sqref="L7:L8 P7:Q8">
    <cfRule type="expression" dxfId="273" priority="393">
      <formula>IF(#REF!&lt;&gt;#REF!,1,0)</formula>
    </cfRule>
  </conditionalFormatting>
  <conditionalFormatting sqref="P7:Q8">
    <cfRule type="expression" dxfId="272" priority="392">
      <formula>IF(#REF!&lt;&gt;#REF!,1,0)</formula>
    </cfRule>
  </conditionalFormatting>
  <conditionalFormatting sqref="R7:R8">
    <cfRule type="expression" dxfId="271" priority="391">
      <formula>IF(#REF!&lt;&gt;#REF!,1,0)</formula>
    </cfRule>
  </conditionalFormatting>
  <conditionalFormatting sqref="R7:R8">
    <cfRule type="expression" dxfId="270" priority="390">
      <formula>IF(#REF!&lt;&gt;#REF!,1,0)</formula>
    </cfRule>
  </conditionalFormatting>
  <conditionalFormatting sqref="E14:K16 Q14:Q16">
    <cfRule type="expression" dxfId="269" priority="386">
      <formula>IF(#REF!&lt;&gt;#REF!,1,0)</formula>
    </cfRule>
  </conditionalFormatting>
  <conditionalFormatting sqref="E14:L16 P14:Q16">
    <cfRule type="expression" dxfId="268" priority="385">
      <formula>IF(#REF!&lt;&gt;#REF!,1,0)</formula>
    </cfRule>
  </conditionalFormatting>
  <conditionalFormatting sqref="F14:K16 Q14:Q16">
    <cfRule type="expression" dxfId="267" priority="384">
      <formula>IF(#REF!&lt;&gt;#REF!,1,0)</formula>
    </cfRule>
  </conditionalFormatting>
  <conditionalFormatting sqref="L14:L16 S23:W23 P14:Q16">
    <cfRule type="expression" dxfId="266" priority="383">
      <formula>IF(#REF!&lt;&gt;#REF!,1,0)</formula>
    </cfRule>
  </conditionalFormatting>
  <conditionalFormatting sqref="P14:Q16">
    <cfRule type="expression" dxfId="265" priority="382">
      <formula>IF(#REF!&lt;&gt;#REF!,1,0)</formula>
    </cfRule>
  </conditionalFormatting>
  <conditionalFormatting sqref="R14:R16">
    <cfRule type="expression" dxfId="264" priority="381">
      <formula>IF(#REF!&lt;&gt;#REF!,1,0)</formula>
    </cfRule>
  </conditionalFormatting>
  <conditionalFormatting sqref="R14:R16">
    <cfRule type="expression" dxfId="263" priority="380">
      <formula>IF(#REF!&lt;&gt;#REF!,1,0)</formula>
    </cfRule>
  </conditionalFormatting>
  <conditionalFormatting sqref="R14:R16">
    <cfRule type="expression" dxfId="262" priority="379">
      <formula>IF(#REF!&lt;&gt;#REF!,1,0)</formula>
    </cfRule>
  </conditionalFormatting>
  <conditionalFormatting sqref="O4:Q4">
    <cfRule type="expression" dxfId="261" priority="378">
      <formula>IF(#REF!&lt;&gt;#REF!,1,0)</formula>
    </cfRule>
  </conditionalFormatting>
  <conditionalFormatting sqref="O4:Q4">
    <cfRule type="expression" dxfId="260" priority="377">
      <formula>IF(#REF!&lt;&gt;#REF!,1,0)</formula>
    </cfRule>
  </conditionalFormatting>
  <conditionalFormatting sqref="R18">
    <cfRule type="expression" dxfId="259" priority="354">
      <formula>IF(#REF!&lt;&gt;#REF!,1,0)</formula>
    </cfRule>
  </conditionalFormatting>
  <conditionalFormatting sqref="W23 L23:Q23 D23:J23">
    <cfRule type="expression" dxfId="258" priority="351">
      <formula>IF(#REF!&lt;&gt;#REF!,1,0)</formula>
    </cfRule>
  </conditionalFormatting>
  <conditionalFormatting sqref="W23:W24">
    <cfRule type="expression" dxfId="257" priority="350">
      <formula>IF(#REF!&lt;&gt;#REF!,1,0)</formula>
    </cfRule>
  </conditionalFormatting>
  <conditionalFormatting sqref="R6:R22">
    <cfRule type="expression" dxfId="256" priority="362">
      <formula>IF(#REF!&lt;&gt;#REF!,1,0)</formula>
    </cfRule>
  </conditionalFormatting>
  <conditionalFormatting sqref="R6:R22">
    <cfRule type="expression" dxfId="255" priority="361">
      <formula>IF(#REF!&lt;&gt;#REF!,1,0)</formula>
    </cfRule>
  </conditionalFormatting>
  <conditionalFormatting sqref="R6:R22">
    <cfRule type="expression" dxfId="254" priority="360">
      <formula>IF(#REF!&lt;&gt;#REF!,1,0)</formula>
    </cfRule>
  </conditionalFormatting>
  <conditionalFormatting sqref="R23:R24">
    <cfRule type="expression" dxfId="253" priority="341">
      <formula>IF(#REF!&lt;&gt;#REF!,1,0)</formula>
    </cfRule>
  </conditionalFormatting>
  <conditionalFormatting sqref="H18">
    <cfRule type="expression" dxfId="252" priority="319">
      <formula>IF(#REF!&lt;&gt;#REF!,1,0)</formula>
    </cfRule>
  </conditionalFormatting>
  <conditionalFormatting sqref="H18">
    <cfRule type="expression" dxfId="251" priority="318">
      <formula>IF(#REF!&lt;&gt;#REF!,1,0)</formula>
    </cfRule>
  </conditionalFormatting>
  <conditionalFormatting sqref="K23:K24">
    <cfRule type="expression" dxfId="250" priority="332">
      <formula>IF(#REF!&lt;&gt;#REF!,1,0)</formula>
    </cfRule>
  </conditionalFormatting>
  <conditionalFormatting sqref="K23:K24">
    <cfRule type="expression" dxfId="249" priority="334">
      <formula>IF(#REF!&lt;&gt;#REF!,1,0)</formula>
    </cfRule>
  </conditionalFormatting>
  <conditionalFormatting sqref="K23:K24">
    <cfRule type="expression" dxfId="248" priority="333">
      <formula>IF(#REF!&lt;&gt;#REF!,1,0)</formula>
    </cfRule>
  </conditionalFormatting>
  <conditionalFormatting sqref="E18:G18 I18:L18 Q22 L19:L22 P18:Q18">
    <cfRule type="expression" dxfId="247" priority="359">
      <formula>IF(#REF!&lt;&gt;#REF!,1,0)</formula>
    </cfRule>
  </conditionalFormatting>
  <conditionalFormatting sqref="R18">
    <cfRule type="expression" dxfId="246" priority="356">
      <formula>IF(#REF!&lt;&gt;#REF!,1,0)</formula>
    </cfRule>
  </conditionalFormatting>
  <conditionalFormatting sqref="R18">
    <cfRule type="expression" dxfId="245" priority="355">
      <formula>IF(#REF!&lt;&gt;#REF!,1,0)</formula>
    </cfRule>
  </conditionalFormatting>
  <conditionalFormatting sqref="W23">
    <cfRule type="expression" dxfId="244" priority="349">
      <formula>IF(#REF!&lt;&gt;#REF!,1,0)</formula>
    </cfRule>
  </conditionalFormatting>
  <conditionalFormatting sqref="L23:Q23">
    <cfRule type="expression" dxfId="243" priority="345">
      <formula>IF(#REF!&lt;&gt;#REF!,1,0)</formula>
    </cfRule>
  </conditionalFormatting>
  <conditionalFormatting sqref="M23:Q23">
    <cfRule type="expression" dxfId="242" priority="344">
      <formula>IF(#REF!&lt;&gt;#REF!,1,0)</formula>
    </cfRule>
  </conditionalFormatting>
  <conditionalFormatting sqref="C23:D23">
    <cfRule type="expression" dxfId="241" priority="346">
      <formula>IF(#REF!&lt;&gt;#REF!,1,0)</formula>
    </cfRule>
  </conditionalFormatting>
  <conditionalFormatting sqref="R23">
    <cfRule type="expression" dxfId="240" priority="343">
      <formula>IF(#REF!&lt;&gt;#REF!,1,0)</formula>
    </cfRule>
  </conditionalFormatting>
  <conditionalFormatting sqref="R23">
    <cfRule type="expression" dxfId="239" priority="342">
      <formula>IF(#REF!&lt;&gt;#REF!,1,0)</formula>
    </cfRule>
  </conditionalFormatting>
  <conditionalFormatting sqref="E6:E24">
    <cfRule type="expression" dxfId="238" priority="322">
      <formula>IF(#REF!&lt;&gt;#REF!,1,0)</formula>
    </cfRule>
  </conditionalFormatting>
  <conditionalFormatting sqref="H17">
    <cfRule type="expression" dxfId="237" priority="321">
      <formula>IF(#REF!&lt;&gt;#REF!,1,0)</formula>
    </cfRule>
  </conditionalFormatting>
  <conditionalFormatting sqref="H18">
    <cfRule type="expression" dxfId="236" priority="320">
      <formula>IF(#REF!&lt;&gt;#REF!,1,0)</formula>
    </cfRule>
  </conditionalFormatting>
  <conditionalFormatting sqref="S16">
    <cfRule type="expression" dxfId="235" priority="327">
      <formula>IF(#REF!&lt;&gt;#REF!,1,0)</formula>
    </cfRule>
  </conditionalFormatting>
  <conditionalFormatting sqref="S16">
    <cfRule type="expression" dxfId="234" priority="326">
      <formula>IF(#REF!&lt;&gt;#REF!,1,0)</formula>
    </cfRule>
  </conditionalFormatting>
  <conditionalFormatting sqref="T16">
    <cfRule type="expression" dxfId="233" priority="325">
      <formula>IF(#REF!&lt;&gt;#REF!,1,0)</formula>
    </cfRule>
  </conditionalFormatting>
  <conditionalFormatting sqref="T16">
    <cfRule type="expression" dxfId="232" priority="324">
      <formula>IF(#REF!&lt;&gt;#REF!,1,0)</formula>
    </cfRule>
  </conditionalFormatting>
  <conditionalFormatting sqref="E6:E24">
    <cfRule type="expression" dxfId="231" priority="323">
      <formula>IF(#REF!&lt;&gt;#REF!,1,0)</formula>
    </cfRule>
  </conditionalFormatting>
  <conditionalFormatting sqref="B16">
    <cfRule type="expression" dxfId="230" priority="452">
      <formula>IF(#REF!&lt;&gt;#REF!,1,0)</formula>
    </cfRule>
  </conditionalFormatting>
  <conditionalFormatting sqref="C16">
    <cfRule type="expression" dxfId="229" priority="453">
      <formula>IF(#REF!&lt;&gt;#REF!,1,0)</formula>
    </cfRule>
  </conditionalFormatting>
  <conditionalFormatting sqref="C17">
    <cfRule type="expression" dxfId="228" priority="454">
      <formula>IF(#REF!&lt;&gt;#REF!,1,0)</formula>
    </cfRule>
  </conditionalFormatting>
  <conditionalFormatting sqref="T24">
    <cfRule type="expression" dxfId="227" priority="316">
      <formula>IF(#REF!&lt;&gt;#REF!,1,0)</formula>
    </cfRule>
  </conditionalFormatting>
  <conditionalFormatting sqref="T24">
    <cfRule type="expression" dxfId="226" priority="315">
      <formula>IF(#REF!&lt;&gt;#REF!,1,0)</formula>
    </cfRule>
  </conditionalFormatting>
  <conditionalFormatting sqref="T24">
    <cfRule type="expression" dxfId="225" priority="314">
      <formula>IF(#REF!&lt;&gt;#REF!,1,0)</formula>
    </cfRule>
  </conditionalFormatting>
  <conditionalFormatting sqref="W24">
    <cfRule type="expression" dxfId="224" priority="313">
      <formula>IF(#REF!&lt;&gt;#REF!,1,0)</formula>
    </cfRule>
  </conditionalFormatting>
  <conditionalFormatting sqref="W24">
    <cfRule type="expression" dxfId="223" priority="312">
      <formula>IF(#REF!&lt;&gt;#REF!,1,0)</formula>
    </cfRule>
  </conditionalFormatting>
  <conditionalFormatting sqref="W24">
    <cfRule type="expression" dxfId="222" priority="311">
      <formula>IF(#REF!&lt;&gt;#REF!,1,0)</formula>
    </cfRule>
  </conditionalFormatting>
  <conditionalFormatting sqref="L24">
    <cfRule type="expression" dxfId="221" priority="307">
      <formula>IF(#REF!&lt;&gt;#REF!,1,0)</formula>
    </cfRule>
  </conditionalFormatting>
  <conditionalFormatting sqref="L24">
    <cfRule type="expression" dxfId="220" priority="306">
      <formula>IF(#REF!&lt;&gt;#REF!,1,0)</formula>
    </cfRule>
  </conditionalFormatting>
  <conditionalFormatting sqref="L24">
    <cfRule type="expression" dxfId="219" priority="305">
      <formula>IF(#REF!&lt;&gt;#REF!,1,0)</formula>
    </cfRule>
  </conditionalFormatting>
  <conditionalFormatting sqref="R24">
    <cfRule type="expression" dxfId="218" priority="304">
      <formula>IF(#REF!&lt;&gt;#REF!,1,0)</formula>
    </cfRule>
  </conditionalFormatting>
  <conditionalFormatting sqref="R24">
    <cfRule type="expression" dxfId="217" priority="303">
      <formula>IF(#REF!&lt;&gt;#REF!,1,0)</formula>
    </cfRule>
  </conditionalFormatting>
  <conditionalFormatting sqref="R24">
    <cfRule type="expression" dxfId="216" priority="302">
      <formula>IF(#REF!&lt;&gt;#REF!,1,0)</formula>
    </cfRule>
  </conditionalFormatting>
  <conditionalFormatting sqref="I24">
    <cfRule type="expression" dxfId="215" priority="298">
      <formula>IF(#REF!&lt;&gt;#REF!,1,0)</formula>
    </cfRule>
  </conditionalFormatting>
  <conditionalFormatting sqref="J24">
    <cfRule type="expression" dxfId="214" priority="297">
      <formula>IF(#REF!&lt;&gt;#REF!,1,0)</formula>
    </cfRule>
  </conditionalFormatting>
  <conditionalFormatting sqref="Q24">
    <cfRule type="expression" dxfId="213" priority="296">
      <formula>IF(#REF!&lt;&gt;#REF!,1,0)</formula>
    </cfRule>
  </conditionalFormatting>
  <conditionalFormatting sqref="E22 L22">
    <cfRule type="expression" dxfId="212" priority="868">
      <formula>IF(#REF!&lt;&gt;#REF!,1,0)</formula>
    </cfRule>
  </conditionalFormatting>
  <conditionalFormatting sqref="Q20:Q22">
    <cfRule type="expression" dxfId="211" priority="244">
      <formula>IF(#REF!&lt;&gt;#REF!,1,0)</formula>
    </cfRule>
  </conditionalFormatting>
  <conditionalFormatting sqref="N18:N22 M6:M22">
    <cfRule type="expression" dxfId="210" priority="239">
      <formula>IF(#REF!&lt;&gt;#REF!,1,0)</formula>
    </cfRule>
  </conditionalFormatting>
  <conditionalFormatting sqref="M14:N17">
    <cfRule type="expression" dxfId="209" priority="238">
      <formula>IF(#REF!&lt;&gt;#REF!,1,0)</formula>
    </cfRule>
  </conditionalFormatting>
  <conditionalFormatting sqref="M6:N17 M18:M22">
    <cfRule type="expression" dxfId="208" priority="237">
      <formula>IF(#REF!&lt;&gt;#REF!,1,0)</formula>
    </cfRule>
  </conditionalFormatting>
  <conditionalFormatting sqref="T5">
    <cfRule type="expression" dxfId="207" priority="251">
      <formula>IF(#REF!&lt;&gt;#REF!,1,0)</formula>
    </cfRule>
  </conditionalFormatting>
  <conditionalFormatting sqref="T5">
    <cfRule type="expression" dxfId="206" priority="252">
      <formula>IF(#REF!&lt;&gt;#REF!,1,0)</formula>
    </cfRule>
  </conditionalFormatting>
  <conditionalFormatting sqref="T5">
    <cfRule type="expression" dxfId="205" priority="250">
      <formula>IF(#REF!&lt;&gt;#REF!,1,0)</formula>
    </cfRule>
  </conditionalFormatting>
  <conditionalFormatting sqref="T5">
    <cfRule type="expression" dxfId="204" priority="249">
      <formula>IF(#REF!&lt;&gt;#REF!,1,0)</formula>
    </cfRule>
  </conditionalFormatting>
  <conditionalFormatting sqref="T5">
    <cfRule type="expression" dxfId="203" priority="248">
      <formula>IF(#REF!&lt;&gt;#REF!,1,0)</formula>
    </cfRule>
  </conditionalFormatting>
  <conditionalFormatting sqref="C6 C14 B13:C13">
    <cfRule type="expression" dxfId="202" priority="889">
      <formula>IF(#REF!&lt;&gt;#REF!,1,0)</formula>
    </cfRule>
  </conditionalFormatting>
  <conditionalFormatting sqref="C6:C13 B13">
    <cfRule type="expression" dxfId="201" priority="890">
      <formula>IF(#REF!&lt;&gt;#REF!,1,0)</formula>
    </cfRule>
  </conditionalFormatting>
  <conditionalFormatting sqref="E6:E24 L6:L22">
    <cfRule type="expression" dxfId="200" priority="892">
      <formula>IF(#REF!&lt;&gt;#REF!,1,0)</formula>
    </cfRule>
  </conditionalFormatting>
  <conditionalFormatting sqref="C7:C12">
    <cfRule type="expression" dxfId="199" priority="893">
      <formula>IF(#REF!&lt;&gt;#REF!,1,0)</formula>
    </cfRule>
  </conditionalFormatting>
  <conditionalFormatting sqref="L12 E12">
    <cfRule type="expression" dxfId="198" priority="894">
      <formula>IF(#REF!&lt;&gt;#REF!,1,0)</formula>
    </cfRule>
  </conditionalFormatting>
  <conditionalFormatting sqref="B14">
    <cfRule type="expression" dxfId="197" priority="895">
      <formula>IF(#REF!&lt;&gt;#REF!,1,0)</formula>
    </cfRule>
  </conditionalFormatting>
  <conditionalFormatting sqref="B14:B15">
    <cfRule type="expression" dxfId="196" priority="902">
      <formula>IF(#REF!&lt;&gt;#REF!,1,0)</formula>
    </cfRule>
  </conditionalFormatting>
  <conditionalFormatting sqref="C14:C15">
    <cfRule type="expression" dxfId="195" priority="903">
      <formula>IF(#REF!&lt;&gt;#REF!,1,0)</formula>
    </cfRule>
  </conditionalFormatting>
  <conditionalFormatting sqref="B15:C16">
    <cfRule type="expression" dxfId="194" priority="904">
      <formula>IF(#REF!&lt;&gt;#REF!,1,0)</formula>
    </cfRule>
  </conditionalFormatting>
  <conditionalFormatting sqref="Q20:Q22">
    <cfRule type="expression" dxfId="193" priority="247">
      <formula>IF(#REF!&lt;&gt;#REF!,1,0)</formula>
    </cfRule>
  </conditionalFormatting>
  <conditionalFormatting sqref="Q22">
    <cfRule type="expression" dxfId="192" priority="246">
      <formula>IF(#REF!&lt;&gt;#REF!,1,0)</formula>
    </cfRule>
  </conditionalFormatting>
  <conditionalFormatting sqref="Q22">
    <cfRule type="expression" dxfId="191" priority="245">
      <formula>IF(#REF!&lt;&gt;#REF!,1,0)</formula>
    </cfRule>
  </conditionalFormatting>
  <conditionalFormatting sqref="Q20:Q22">
    <cfRule type="expression" dxfId="190" priority="243">
      <formula>IF(#REF!&lt;&gt;#REF!,1,0)</formula>
    </cfRule>
  </conditionalFormatting>
  <conditionalFormatting sqref="O6:O13">
    <cfRule type="expression" dxfId="189" priority="224">
      <formula>IF(#REF!&lt;&gt;#REF!,1,0)</formula>
    </cfRule>
  </conditionalFormatting>
  <conditionalFormatting sqref="O16">
    <cfRule type="expression" dxfId="188" priority="223">
      <formula>IF(#REF!&lt;&gt;#REF!,1,0)</formula>
    </cfRule>
  </conditionalFormatting>
  <conditionalFormatting sqref="O16">
    <cfRule type="expression" dxfId="187" priority="222">
      <formula>IF(#REF!&lt;&gt;#REF!,1,0)</formula>
    </cfRule>
  </conditionalFormatting>
  <conditionalFormatting sqref="W6:W22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W4 E4:J4 L4:S4">
    <cfRule type="expression" dxfId="186" priority="912">
      <formula>IF(#REF!&lt;&gt;#REF!,1,0)</formula>
    </cfRule>
  </conditionalFormatting>
  <conditionalFormatting sqref="M14:N17">
    <cfRule type="expression" dxfId="185" priority="236">
      <formula>IF(#REF!&lt;&gt;#REF!,1,0)</formula>
    </cfRule>
  </conditionalFormatting>
  <conditionalFormatting sqref="M6:N13 M14:M22">
    <cfRule type="expression" dxfId="184" priority="235">
      <formula>IF(#REF!&lt;&gt;#REF!,1,0)</formula>
    </cfRule>
  </conditionalFormatting>
  <conditionalFormatting sqref="M6:N13 M14:M22">
    <cfRule type="expression" dxfId="183" priority="234">
      <formula>IF(#REF!&lt;&gt;#REF!,1,0)</formula>
    </cfRule>
  </conditionalFormatting>
  <conditionalFormatting sqref="M16">
    <cfRule type="expression" dxfId="182" priority="233">
      <formula>IF(#REF!&lt;&gt;#REF!,1,0)</formula>
    </cfRule>
  </conditionalFormatting>
  <conditionalFormatting sqref="M16">
    <cfRule type="expression" dxfId="181" priority="232">
      <formula>IF(#REF!&lt;&gt;#REF!,1,0)</formula>
    </cfRule>
  </conditionalFormatting>
  <conditionalFormatting sqref="N16">
    <cfRule type="expression" dxfId="180" priority="231">
      <formula>IF(#REF!&lt;&gt;#REF!,1,0)</formula>
    </cfRule>
  </conditionalFormatting>
  <conditionalFormatting sqref="N16">
    <cfRule type="expression" dxfId="179" priority="230">
      <formula>IF(#REF!&lt;&gt;#REF!,1,0)</formula>
    </cfRule>
  </conditionalFormatting>
  <conditionalFormatting sqref="O18:O22">
    <cfRule type="expression" dxfId="178" priority="229">
      <formula>IF(#REF!&lt;&gt;#REF!,1,0)</formula>
    </cfRule>
  </conditionalFormatting>
  <conditionalFormatting sqref="O14:O17">
    <cfRule type="expression" dxfId="177" priority="228">
      <formula>IF(#REF!&lt;&gt;#REF!,1,0)</formula>
    </cfRule>
  </conditionalFormatting>
  <conditionalFormatting sqref="O6:O17">
    <cfRule type="expression" dxfId="176" priority="227">
      <formula>IF(#REF!&lt;&gt;#REF!,1,0)</formula>
    </cfRule>
  </conditionalFormatting>
  <conditionalFormatting sqref="O14:O17">
    <cfRule type="expression" dxfId="175" priority="226">
      <formula>IF(#REF!&lt;&gt;#REF!,1,0)</formula>
    </cfRule>
  </conditionalFormatting>
  <conditionalFormatting sqref="O6:O13">
    <cfRule type="expression" dxfId="174" priority="225">
      <formula>IF(#REF!&lt;&gt;#REF!,1,0)</formula>
    </cfRule>
  </conditionalFormatting>
  <conditionalFormatting sqref="E28:J28 Q28:Q29 U28:W29">
    <cfRule type="expression" dxfId="173" priority="219">
      <formula>IF(#REF!&lt;&gt;#REF!,1,0)</formula>
    </cfRule>
  </conditionalFormatting>
  <conditionalFormatting sqref="U28:W29">
    <cfRule type="expression" dxfId="172" priority="218">
      <formula>IF(#REF!&lt;&gt;#REF!,1,0)</formula>
    </cfRule>
  </conditionalFormatting>
  <conditionalFormatting sqref="E28 L28 P28:W29">
    <cfRule type="expression" dxfId="171" priority="220">
      <formula>IF(#REF!&lt;&gt;#REF!,1,0)</formula>
    </cfRule>
  </conditionalFormatting>
  <conditionalFormatting sqref="S28:S29 U28:W29">
    <cfRule type="expression" dxfId="170" priority="217">
      <formula>IF(#REF!&lt;&gt;#REF!,1,0)</formula>
    </cfRule>
  </conditionalFormatting>
  <conditionalFormatting sqref="U28:W29">
    <cfRule type="expression" dxfId="169" priority="216">
      <formula>IF(#REF!&lt;&gt;#REF!,1,0)</formula>
    </cfRule>
  </conditionalFormatting>
  <conditionalFormatting sqref="S28:S29 U28:U29">
    <cfRule type="expression" dxfId="168" priority="215">
      <formula>IF(#REF!&lt;&gt;#REF!,1,0)</formula>
    </cfRule>
  </conditionalFormatting>
  <conditionalFormatting sqref="L28 P28:P29">
    <cfRule type="expression" dxfId="167" priority="214">
      <formula>IF(#REF!&lt;&gt;#REF!,1,0)</formula>
    </cfRule>
  </conditionalFormatting>
  <conditionalFormatting sqref="S28:S29 U28:U29">
    <cfRule type="expression" dxfId="166" priority="213">
      <formula>IF(#REF!&lt;&gt;#REF!,1,0)</formula>
    </cfRule>
  </conditionalFormatting>
  <conditionalFormatting sqref="L28 P28:P29">
    <cfRule type="expression" dxfId="165" priority="212">
      <formula>IF(#REF!&lt;&gt;#REF!,1,0)</formula>
    </cfRule>
  </conditionalFormatting>
  <conditionalFormatting sqref="P28:P29">
    <cfRule type="expression" dxfId="164" priority="211">
      <formula>IF(#REF!&lt;&gt;#REF!,1,0)</formula>
    </cfRule>
  </conditionalFormatting>
  <conditionalFormatting sqref="R28:R29">
    <cfRule type="expression" dxfId="163" priority="204">
      <formula>IF(#REF!&lt;&gt;#REF!,1,0)</formula>
    </cfRule>
  </conditionalFormatting>
  <conditionalFormatting sqref="R28:R29">
    <cfRule type="expression" dxfId="162" priority="210">
      <formula>IF(#REF!&lt;&gt;#REF!,1,0)</formula>
    </cfRule>
  </conditionalFormatting>
  <conditionalFormatting sqref="R28:R29">
    <cfRule type="expression" dxfId="161" priority="209">
      <formula>IF(#REF!&lt;&gt;#REF!,1,0)</formula>
    </cfRule>
  </conditionalFormatting>
  <conditionalFormatting sqref="R28:R29">
    <cfRule type="expression" dxfId="160" priority="208">
      <formula>IF(#REF!&lt;&gt;#REF!,1,0)</formula>
    </cfRule>
  </conditionalFormatting>
  <conditionalFormatting sqref="H28">
    <cfRule type="expression" dxfId="159" priority="202">
      <formula>IF(#REF!&lt;&gt;#REF!,1,0)</formula>
    </cfRule>
  </conditionalFormatting>
  <conditionalFormatting sqref="H28">
    <cfRule type="expression" dxfId="158" priority="201">
      <formula>IF(#REF!&lt;&gt;#REF!,1,0)</formula>
    </cfRule>
  </conditionalFormatting>
  <conditionalFormatting sqref="E28:G28 I28:L28 P28:Q29">
    <cfRule type="expression" dxfId="157" priority="207">
      <formula>IF(#REF!&lt;&gt;#REF!,1,0)</formula>
    </cfRule>
  </conditionalFormatting>
  <conditionalFormatting sqref="R28:R29">
    <cfRule type="expression" dxfId="156" priority="206">
      <formula>IF(#REF!&lt;&gt;#REF!,1,0)</formula>
    </cfRule>
  </conditionalFormatting>
  <conditionalFormatting sqref="R28:R29">
    <cfRule type="expression" dxfId="155" priority="205">
      <formula>IF(#REF!&lt;&gt;#REF!,1,0)</formula>
    </cfRule>
  </conditionalFormatting>
  <conditionalFormatting sqref="H28">
    <cfRule type="expression" dxfId="154" priority="203">
      <formula>IF(#REF!&lt;&gt;#REF!,1,0)</formula>
    </cfRule>
  </conditionalFormatting>
  <conditionalFormatting sqref="M28:N28">
    <cfRule type="expression" dxfId="153" priority="200">
      <formula>IF(#REF!&lt;&gt;#REF!,1,0)</formula>
    </cfRule>
  </conditionalFormatting>
  <conditionalFormatting sqref="M28">
    <cfRule type="expression" dxfId="152" priority="199">
      <formula>IF(#REF!&lt;&gt;#REF!,1,0)</formula>
    </cfRule>
  </conditionalFormatting>
  <conditionalFormatting sqref="W28:W29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">
    <cfRule type="expression" dxfId="151" priority="198">
      <formula>IF(#REF!&lt;&gt;#REF!,1,0)</formula>
    </cfRule>
  </conditionalFormatting>
  <conditionalFormatting sqref="M28">
    <cfRule type="expression" dxfId="150" priority="197">
      <formula>IF(#REF!&lt;&gt;#REF!,1,0)</formula>
    </cfRule>
  </conditionalFormatting>
  <conditionalFormatting sqref="O28">
    <cfRule type="expression" dxfId="149" priority="196">
      <formula>IF(#REF!&lt;&gt;#REF!,1,0)</formula>
    </cfRule>
  </conditionalFormatting>
  <conditionalFormatting sqref="I29:J29">
    <cfRule type="expression" dxfId="148" priority="164">
      <formula>IF(#REF!&lt;&gt;#REF!,1,0)</formula>
    </cfRule>
  </conditionalFormatting>
  <conditionalFormatting sqref="E29:H29">
    <cfRule type="expression" dxfId="147" priority="190">
      <formula>IF(#REF!&lt;&gt;#REF!,1,0)</formula>
    </cfRule>
  </conditionalFormatting>
  <conditionalFormatting sqref="E29 L29">
    <cfRule type="expression" dxfId="146" priority="191">
      <formula>IF(#REF!&lt;&gt;#REF!,1,0)</formula>
    </cfRule>
  </conditionalFormatting>
  <conditionalFormatting sqref="I29:J29">
    <cfRule type="expression" dxfId="145" priority="165">
      <formula>IF(#REF!&lt;&gt;#REF!,1,0)</formula>
    </cfRule>
  </conditionalFormatting>
  <conditionalFormatting sqref="L29">
    <cfRule type="expression" dxfId="144" priority="185">
      <formula>IF(#REF!&lt;&gt;#REF!,1,0)</formula>
    </cfRule>
  </conditionalFormatting>
  <conditionalFormatting sqref="D6:D11 D13:D17">
    <cfRule type="expression" dxfId="143" priority="162">
      <formula>IF(#REF!&lt;&gt;#REF!,1,0)</formula>
    </cfRule>
  </conditionalFormatting>
  <conditionalFormatting sqref="L29">
    <cfRule type="expression" dxfId="142" priority="183">
      <formula>IF(#REF!&lt;&gt;#REF!,1,0)</formula>
    </cfRule>
  </conditionalFormatting>
  <conditionalFormatting sqref="D6">
    <cfRule type="expression" dxfId="141" priority="153">
      <formula>IF(#REF!&lt;&gt;#REF!,1,0)</formula>
    </cfRule>
  </conditionalFormatting>
  <conditionalFormatting sqref="D6">
    <cfRule type="expression" dxfId="140" priority="158">
      <formula>IF(#REF!&lt;&gt;#REF!,1,0)</formula>
    </cfRule>
  </conditionalFormatting>
  <conditionalFormatting sqref="D6">
    <cfRule type="expression" dxfId="139" priority="157">
      <formula>IF(#REF!&lt;&gt;#REF!,1,0)</formula>
    </cfRule>
  </conditionalFormatting>
  <conditionalFormatting sqref="H29">
    <cfRule type="expression" dxfId="138" priority="173">
      <formula>IF(#REF!&lt;&gt;#REF!,1,0)</formula>
    </cfRule>
  </conditionalFormatting>
  <conditionalFormatting sqref="H29">
    <cfRule type="expression" dxfId="137" priority="172">
      <formula>IF(#REF!&lt;&gt;#REF!,1,0)</formula>
    </cfRule>
  </conditionalFormatting>
  <conditionalFormatting sqref="E29:G29 K29:L29">
    <cfRule type="expression" dxfId="136" priority="178">
      <formula>IF(#REF!&lt;&gt;#REF!,1,0)</formula>
    </cfRule>
  </conditionalFormatting>
  <conditionalFormatting sqref="D14:D16">
    <cfRule type="expression" dxfId="135" priority="155">
      <formula>IF(#REF!&lt;&gt;#REF!,1,0)</formula>
    </cfRule>
  </conditionalFormatting>
  <conditionalFormatting sqref="D18">
    <cfRule type="expression" dxfId="134" priority="154">
      <formula>IF(#REF!&lt;&gt;#REF!,1,0)</formula>
    </cfRule>
  </conditionalFormatting>
  <conditionalFormatting sqref="H29">
    <cfRule type="expression" dxfId="133" priority="174">
      <formula>IF(#REF!&lt;&gt;#REF!,1,0)</formula>
    </cfRule>
  </conditionalFormatting>
  <conditionalFormatting sqref="M29:N29">
    <cfRule type="expression" dxfId="132" priority="171">
      <formula>IF(#REF!&lt;&gt;#REF!,1,0)</formula>
    </cfRule>
  </conditionalFormatting>
  <conditionalFormatting sqref="M29">
    <cfRule type="expression" dxfId="131" priority="170">
      <formula>IF(#REF!&lt;&gt;#REF!,1,0)</formula>
    </cfRule>
  </conditionalFormatting>
  <conditionalFormatting sqref="M29">
    <cfRule type="expression" dxfId="130" priority="169">
      <formula>IF(#REF!&lt;&gt;#REF!,1,0)</formula>
    </cfRule>
  </conditionalFormatting>
  <conditionalFormatting sqref="M29">
    <cfRule type="expression" dxfId="129" priority="168">
      <formula>IF(#REF!&lt;&gt;#REF!,1,0)</formula>
    </cfRule>
  </conditionalFormatting>
  <conditionalFormatting sqref="O29">
    <cfRule type="expression" dxfId="128" priority="167">
      <formula>IF(#REF!&lt;&gt;#REF!,1,0)</formula>
    </cfRule>
  </conditionalFormatting>
  <conditionalFormatting sqref="C28:D29">
    <cfRule type="expression" dxfId="127" priority="166">
      <formula>IF(#REF!&lt;&gt;#REF!,1,0)</formula>
    </cfRule>
  </conditionalFormatting>
  <conditionalFormatting sqref="D4">
    <cfRule type="expression" dxfId="126" priority="142">
      <formula>IF(#REF!&lt;&gt;#REF!,1,0)</formula>
    </cfRule>
  </conditionalFormatting>
  <conditionalFormatting sqref="D6:D18">
    <cfRule type="expression" dxfId="125" priority="160">
      <formula>IF(#REF!&lt;&gt;#REF!,1,0)</formula>
    </cfRule>
  </conditionalFormatting>
  <conditionalFormatting sqref="D6:D18">
    <cfRule type="expression" dxfId="124" priority="161">
      <formula>IF(#REF!&lt;&gt;#REF!,1,0)</formula>
    </cfRule>
  </conditionalFormatting>
  <conditionalFormatting sqref="D17 D7:D13">
    <cfRule type="expression" dxfId="123" priority="159">
      <formula>IF(#REF!&lt;&gt;#REF!,1,0)</formula>
    </cfRule>
  </conditionalFormatting>
  <conditionalFormatting sqref="D14:D16">
    <cfRule type="expression" dxfId="122" priority="156">
      <formula>IF(#REF!&lt;&gt;#REF!,1,0)</formula>
    </cfRule>
  </conditionalFormatting>
  <conditionalFormatting sqref="D6">
    <cfRule type="expression" dxfId="121" priority="152">
      <formula>IF(#REF!&lt;&gt;#REF!,1,0)</formula>
    </cfRule>
  </conditionalFormatting>
  <conditionalFormatting sqref="D12">
    <cfRule type="expression" dxfId="120" priority="163">
      <formula>IF(#REF!&lt;&gt;#REF!,1,0)</formula>
    </cfRule>
  </conditionalFormatting>
  <conditionalFormatting sqref="D19">
    <cfRule type="expression" dxfId="119" priority="149">
      <formula>IF(#REF!&lt;&gt;#REF!,1,0)</formula>
    </cfRule>
  </conditionalFormatting>
  <conditionalFormatting sqref="D19">
    <cfRule type="expression" dxfId="118" priority="150">
      <formula>IF(#REF!&lt;&gt;#REF!,1,0)</formula>
    </cfRule>
  </conditionalFormatting>
  <conditionalFormatting sqref="D19">
    <cfRule type="expression" dxfId="117" priority="148">
      <formula>IF(#REF!&lt;&gt;#REF!,1,0)</formula>
    </cfRule>
  </conditionalFormatting>
  <conditionalFormatting sqref="D19">
    <cfRule type="expression" dxfId="116" priority="147">
      <formula>IF(#REF!&lt;&gt;#REF!,1,0)</formula>
    </cfRule>
  </conditionalFormatting>
  <conditionalFormatting sqref="D19">
    <cfRule type="expression" dxfId="115" priority="151">
      <formula>IF(#REF!&lt;&gt;#REF!,1,0)</formula>
    </cfRule>
  </conditionalFormatting>
  <conditionalFormatting sqref="D4">
    <cfRule type="expression" dxfId="114" priority="144">
      <formula>IF(#REF!&lt;&gt;#REF!,1,0)</formula>
    </cfRule>
  </conditionalFormatting>
  <conditionalFormatting sqref="D4">
    <cfRule type="expression" dxfId="113" priority="145">
      <formula>IF(#REF!&lt;&gt;#REF!,1,0)</formula>
    </cfRule>
  </conditionalFormatting>
  <conditionalFormatting sqref="D4">
    <cfRule type="expression" dxfId="112" priority="143">
      <formula>IF(#REF!&lt;&gt;#REF!,1,0)</formula>
    </cfRule>
  </conditionalFormatting>
  <conditionalFormatting sqref="D4">
    <cfRule type="expression" dxfId="111" priority="146">
      <formula>IF(#REF!&lt;&gt;#REF!,1,0)</formula>
    </cfRule>
  </conditionalFormatting>
  <conditionalFormatting sqref="U31:W31 Q31 E31:J31">
    <cfRule type="expression" dxfId="110" priority="140">
      <formula>IF(#REF!&lt;&gt;#REF!,1,0)</formula>
    </cfRule>
  </conditionalFormatting>
  <conditionalFormatting sqref="U31:W31">
    <cfRule type="expression" dxfId="109" priority="139">
      <formula>IF(#REF!&lt;&gt;#REF!,1,0)</formula>
    </cfRule>
  </conditionalFormatting>
  <conditionalFormatting sqref="L31:S31 C31:E31">
    <cfRule type="expression" dxfId="108" priority="141">
      <formula>IF(#REF!&lt;&gt;#REF!,1,0)</formula>
    </cfRule>
  </conditionalFormatting>
  <conditionalFormatting sqref="W31">
    <cfRule type="expression" dxfId="107" priority="138">
      <formula>IF(#REF!&lt;&gt;#REF!,1,0)</formula>
    </cfRule>
  </conditionalFormatting>
  <conditionalFormatting sqref="R31">
    <cfRule type="expression" dxfId="106" priority="137">
      <formula>IF(#REF!&lt;&gt;#REF!,1,0)</formula>
    </cfRule>
  </conditionalFormatting>
  <conditionalFormatting sqref="K31">
    <cfRule type="expression" dxfId="105" priority="134">
      <formula>IF(#REF!&lt;&gt;#REF!,1,0)</formula>
    </cfRule>
  </conditionalFormatting>
  <conditionalFormatting sqref="K31">
    <cfRule type="expression" dxfId="104" priority="136">
      <formula>IF(#REF!&lt;&gt;#REF!,1,0)</formula>
    </cfRule>
  </conditionalFormatting>
  <conditionalFormatting sqref="K31">
    <cfRule type="expression" dxfId="103" priority="135">
      <formula>IF(#REF!&lt;&gt;#REF!,1,0)</formula>
    </cfRule>
  </conditionalFormatting>
  <conditionalFormatting sqref="T31">
    <cfRule type="expression" dxfId="102" priority="133">
      <formula>IF(#REF!&lt;&gt;#REF!,1,0)</formula>
    </cfRule>
  </conditionalFormatting>
  <conditionalFormatting sqref="T31">
    <cfRule type="expression" dxfId="101" priority="132">
      <formula>IF(#REF!&lt;&gt;#REF!,1,0)</formula>
    </cfRule>
  </conditionalFormatting>
  <conditionalFormatting sqref="T31">
    <cfRule type="expression" dxfId="100" priority="131">
      <formula>IF(#REF!&lt;&gt;#REF!,1,0)</formula>
    </cfRule>
  </conditionalFormatting>
  <conditionalFormatting sqref="W31">
    <cfRule type="expression" dxfId="99" priority="130">
      <formula>IF(#REF!&lt;&gt;#REF!,1,0)</formula>
    </cfRule>
  </conditionalFormatting>
  <conditionalFormatting sqref="W31">
    <cfRule type="expression" dxfId="98" priority="129">
      <formula>IF(#REF!&lt;&gt;#REF!,1,0)</formula>
    </cfRule>
  </conditionalFormatting>
  <conditionalFormatting sqref="W31">
    <cfRule type="expression" dxfId="97" priority="128">
      <formula>IF(#REF!&lt;&gt;#REF!,1,0)</formula>
    </cfRule>
  </conditionalFormatting>
  <conditionalFormatting sqref="L31">
    <cfRule type="expression" dxfId="96" priority="127">
      <formula>IF(#REF!&lt;&gt;#REF!,1,0)</formula>
    </cfRule>
  </conditionalFormatting>
  <conditionalFormatting sqref="L31">
    <cfRule type="expression" dxfId="95" priority="126">
      <formula>IF(#REF!&lt;&gt;#REF!,1,0)</formula>
    </cfRule>
  </conditionalFormatting>
  <conditionalFormatting sqref="L31">
    <cfRule type="expression" dxfId="94" priority="125">
      <formula>IF(#REF!&lt;&gt;#REF!,1,0)</formula>
    </cfRule>
  </conditionalFormatting>
  <conditionalFormatting sqref="R31">
    <cfRule type="expression" dxfId="93" priority="124">
      <formula>IF(#REF!&lt;&gt;#REF!,1,0)</formula>
    </cfRule>
  </conditionalFormatting>
  <conditionalFormatting sqref="R31">
    <cfRule type="expression" dxfId="92" priority="123">
      <formula>IF(#REF!&lt;&gt;#REF!,1,0)</formula>
    </cfRule>
  </conditionalFormatting>
  <conditionalFormatting sqref="R31">
    <cfRule type="expression" dxfId="91" priority="122">
      <formula>IF(#REF!&lt;&gt;#REF!,1,0)</formula>
    </cfRule>
  </conditionalFormatting>
  <conditionalFormatting sqref="I31">
    <cfRule type="expression" dxfId="90" priority="121">
      <formula>IF(#REF!&lt;&gt;#REF!,1,0)</formula>
    </cfRule>
  </conditionalFormatting>
  <conditionalFormatting sqref="J31">
    <cfRule type="expression" dxfId="89" priority="120">
      <formula>IF(#REF!&lt;&gt;#REF!,1,0)</formula>
    </cfRule>
  </conditionalFormatting>
  <conditionalFormatting sqref="Q31">
    <cfRule type="expression" dxfId="88" priority="119">
      <formula>IF(#REF!&lt;&gt;#REF!,1,0)</formula>
    </cfRule>
  </conditionalFormatting>
  <conditionalFormatting sqref="U30:W30 Q30 E30:J30">
    <cfRule type="expression" dxfId="87" priority="117">
      <formula>IF(#REF!&lt;&gt;#REF!,1,0)</formula>
    </cfRule>
  </conditionalFormatting>
  <conditionalFormatting sqref="U30:W30">
    <cfRule type="expression" dxfId="86" priority="116">
      <formula>IF(#REF!&lt;&gt;#REF!,1,0)</formula>
    </cfRule>
  </conditionalFormatting>
  <conditionalFormatting sqref="L30:W30 C30:E30">
    <cfRule type="expression" dxfId="85" priority="118">
      <formula>IF(#REF!&lt;&gt;#REF!,1,0)</formula>
    </cfRule>
  </conditionalFormatting>
  <conditionalFormatting sqref="S30:W30">
    <cfRule type="expression" dxfId="84" priority="115">
      <formula>IF(#REF!&lt;&gt;#REF!,1,0)</formula>
    </cfRule>
  </conditionalFormatting>
  <conditionalFormatting sqref="W30 E30:J30 L30:Q30">
    <cfRule type="expression" dxfId="83" priority="114">
      <formula>IF(#REF!&lt;&gt;#REF!,1,0)</formula>
    </cfRule>
  </conditionalFormatting>
  <conditionalFormatting sqref="W30">
    <cfRule type="expression" dxfId="82" priority="113">
      <formula>IF(#REF!&lt;&gt;#REF!,1,0)</formula>
    </cfRule>
  </conditionalFormatting>
  <conditionalFormatting sqref="R30">
    <cfRule type="expression" dxfId="81" priority="106">
      <formula>IF(#REF!&lt;&gt;#REF!,1,0)</formula>
    </cfRule>
  </conditionalFormatting>
  <conditionalFormatting sqref="K30">
    <cfRule type="expression" dxfId="80" priority="103">
      <formula>IF(#REF!&lt;&gt;#REF!,1,0)</formula>
    </cfRule>
  </conditionalFormatting>
  <conditionalFormatting sqref="K30">
    <cfRule type="expression" dxfId="79" priority="105">
      <formula>IF(#REF!&lt;&gt;#REF!,1,0)</formula>
    </cfRule>
  </conditionalFormatting>
  <conditionalFormatting sqref="K30">
    <cfRule type="expression" dxfId="78" priority="104">
      <formula>IF(#REF!&lt;&gt;#REF!,1,0)</formula>
    </cfRule>
  </conditionalFormatting>
  <conditionalFormatting sqref="W30">
    <cfRule type="expression" dxfId="77" priority="112">
      <formula>IF(#REF!&lt;&gt;#REF!,1,0)</formula>
    </cfRule>
  </conditionalFormatting>
  <conditionalFormatting sqref="L30:Q30">
    <cfRule type="expression" dxfId="76" priority="110">
      <formula>IF(#REF!&lt;&gt;#REF!,1,0)</formula>
    </cfRule>
  </conditionalFormatting>
  <conditionalFormatting sqref="M30:Q30">
    <cfRule type="expression" dxfId="75" priority="109">
      <formula>IF(#REF!&lt;&gt;#REF!,1,0)</formula>
    </cfRule>
  </conditionalFormatting>
  <conditionalFormatting sqref="C30:D30">
    <cfRule type="expression" dxfId="74" priority="111">
      <formula>IF(#REF!&lt;&gt;#REF!,1,0)</formula>
    </cfRule>
  </conditionalFormatting>
  <conditionalFormatting sqref="R30">
    <cfRule type="expression" dxfId="73" priority="108">
      <formula>IF(#REF!&lt;&gt;#REF!,1,0)</formula>
    </cfRule>
  </conditionalFormatting>
  <conditionalFormatting sqref="R30">
    <cfRule type="expression" dxfId="72" priority="107">
      <formula>IF(#REF!&lt;&gt;#REF!,1,0)</formula>
    </cfRule>
  </conditionalFormatting>
  <conditionalFormatting sqref="P39">
    <cfRule type="expression" dxfId="71" priority="22">
      <formula>IF(#REF!&lt;&gt;#REF!,1,0)</formula>
    </cfRule>
  </conditionalFormatting>
  <conditionalFormatting sqref="L39 P39:Q39">
    <cfRule type="expression" dxfId="70" priority="21">
      <formula>IF(#REF!&lt;&gt;#REF!,1,0)</formula>
    </cfRule>
  </conditionalFormatting>
  <conditionalFormatting sqref="P39:Q39">
    <cfRule type="expression" dxfId="69" priority="20">
      <formula>IF(#REF!&lt;&gt;#REF!,1,0)</formula>
    </cfRule>
  </conditionalFormatting>
  <conditionalFormatting sqref="R39">
    <cfRule type="expression" dxfId="68" priority="19">
      <formula>IF(#REF!&lt;&gt;#REF!,1,0)</formula>
    </cfRule>
  </conditionalFormatting>
  <conditionalFormatting sqref="R39">
    <cfRule type="expression" dxfId="67" priority="18">
      <formula>IF(#REF!&lt;&gt;#REF!,1,0)</formula>
    </cfRule>
  </conditionalFormatting>
  <conditionalFormatting sqref="R39">
    <cfRule type="expression" dxfId="66" priority="17">
      <formula>IF(#REF!&lt;&gt;#REF!,1,0)</formula>
    </cfRule>
  </conditionalFormatting>
  <conditionalFormatting sqref="R39">
    <cfRule type="expression" dxfId="65" priority="16">
      <formula>IF(#REF!&lt;&gt;#REF!,1,0)</formula>
    </cfRule>
  </conditionalFormatting>
  <conditionalFormatting sqref="R39">
    <cfRule type="expression" dxfId="64" priority="15">
      <formula>IF(#REF!&lt;&gt;#REF!,1,0)</formula>
    </cfRule>
  </conditionalFormatting>
  <conditionalFormatting sqref="R39">
    <cfRule type="expression" dxfId="63" priority="14">
      <formula>IF(#REF!&lt;&gt;#REF!,1,0)</formula>
    </cfRule>
  </conditionalFormatting>
  <conditionalFormatting sqref="E39">
    <cfRule type="expression" dxfId="62" priority="13">
      <formula>IF(#REF!&lt;&gt;#REF!,1,0)</formula>
    </cfRule>
  </conditionalFormatting>
  <conditionalFormatting sqref="M39">
    <cfRule type="expression" dxfId="61" priority="11">
      <formula>IF(#REF!&lt;&gt;#REF!,1,0)</formula>
    </cfRule>
  </conditionalFormatting>
  <conditionalFormatting sqref="E39">
    <cfRule type="expression" dxfId="60" priority="12">
      <formula>IF(#REF!&lt;&gt;#REF!,1,0)</formula>
    </cfRule>
  </conditionalFormatting>
  <conditionalFormatting sqref="M39:N39">
    <cfRule type="expression" dxfId="59" priority="10">
      <formula>IF(#REF!&lt;&gt;#REF!,1,0)</formula>
    </cfRule>
  </conditionalFormatting>
  <conditionalFormatting sqref="U39:W39">
    <cfRule type="expression" dxfId="58" priority="27">
      <formula>IF(#REF!&lt;&gt;#REF!,1,0)</formula>
    </cfRule>
  </conditionalFormatting>
  <conditionalFormatting sqref="O39">
    <cfRule type="expression" dxfId="57" priority="6">
      <formula>IF(#REF!&lt;&gt;#REF!,1,0)</formula>
    </cfRule>
  </conditionalFormatting>
  <conditionalFormatting sqref="D39">
    <cfRule type="expression" dxfId="56" priority="3">
      <formula>IF(#REF!&lt;&gt;#REF!,1,0)</formula>
    </cfRule>
  </conditionalFormatting>
  <conditionalFormatting sqref="D39">
    <cfRule type="expression" dxfId="55" priority="4">
      <formula>IF(#REF!&lt;&gt;#REF!,1,0)</formula>
    </cfRule>
  </conditionalFormatting>
  <conditionalFormatting sqref="D39">
    <cfRule type="expression" dxfId="54" priority="2">
      <formula>IF(#REF!&lt;&gt;#REF!,1,0)</formula>
    </cfRule>
  </conditionalFormatting>
  <conditionalFormatting sqref="D39">
    <cfRule type="expression" dxfId="53" priority="1">
      <formula>IF(#REF!&lt;&gt;#REF!,1,0)</formula>
    </cfRule>
  </conditionalFormatting>
  <conditionalFormatting sqref="O39">
    <cfRule type="expression" dxfId="52" priority="5">
      <formula>IF(#REF!&lt;&gt;#REF!,1,0)</formula>
    </cfRule>
  </conditionalFormatting>
  <conditionalFormatting sqref="U38:W38 Q38 E38:J38">
    <cfRule type="expression" dxfId="51" priority="68">
      <formula>IF(#REF!&lt;&gt;#REF!,1,0)</formula>
    </cfRule>
  </conditionalFormatting>
  <conditionalFormatting sqref="U38:W38">
    <cfRule type="expression" dxfId="50" priority="67">
      <formula>IF(#REF!&lt;&gt;#REF!,1,0)</formula>
    </cfRule>
  </conditionalFormatting>
  <conditionalFormatting sqref="L38 P38:S38 E38">
    <cfRule type="expression" dxfId="49" priority="69">
      <formula>IF(#REF!&lt;&gt;#REF!,1,0)</formula>
    </cfRule>
  </conditionalFormatting>
  <conditionalFormatting sqref="U38:W38 E38:L38 P38:Q38">
    <cfRule type="expression" dxfId="48" priority="66">
      <formula>IF(#REF!&lt;&gt;#REF!,1,0)</formula>
    </cfRule>
  </conditionalFormatting>
  <conditionalFormatting sqref="S38:W38">
    <cfRule type="expression" dxfId="47" priority="65">
      <formula>IF(#REF!&lt;&gt;#REF!,1,0)</formula>
    </cfRule>
  </conditionalFormatting>
  <conditionalFormatting sqref="U38:W38">
    <cfRule type="expression" dxfId="46" priority="64">
      <formula>IF(#REF!&lt;&gt;#REF!,1,0)</formula>
    </cfRule>
  </conditionalFormatting>
  <conditionalFormatting sqref="R38">
    <cfRule type="expression" dxfId="45" priority="54">
      <formula>IF(#REF!&lt;&gt;#REF!,1,0)</formula>
    </cfRule>
  </conditionalFormatting>
  <conditionalFormatting sqref="S38:U38">
    <cfRule type="expression" dxfId="44" priority="63">
      <formula>IF(#REF!&lt;&gt;#REF!,1,0)</formula>
    </cfRule>
  </conditionalFormatting>
  <conditionalFormatting sqref="L38 P38 E38:G38">
    <cfRule type="expression" dxfId="43" priority="62">
      <formula>IF(#REF!&lt;&gt;#REF!,1,0)</formula>
    </cfRule>
  </conditionalFormatting>
  <conditionalFormatting sqref="S38:U38">
    <cfRule type="expression" dxfId="42" priority="61">
      <formula>IF(#REF!&lt;&gt;#REF!,1,0)</formula>
    </cfRule>
  </conditionalFormatting>
  <conditionalFormatting sqref="P38 L38">
    <cfRule type="expression" dxfId="41" priority="60">
      <formula>IF(#REF!&lt;&gt;#REF!,1,0)</formula>
    </cfRule>
  </conditionalFormatting>
  <conditionalFormatting sqref="P38">
    <cfRule type="expression" dxfId="40" priority="59">
      <formula>IF(#REF!&lt;&gt;#REF!,1,0)</formula>
    </cfRule>
  </conditionalFormatting>
  <conditionalFormatting sqref="L38 P38:Q38">
    <cfRule type="expression" dxfId="39" priority="58">
      <formula>IF(#REF!&lt;&gt;#REF!,1,0)</formula>
    </cfRule>
  </conditionalFormatting>
  <conditionalFormatting sqref="P38:Q38">
    <cfRule type="expression" dxfId="38" priority="57">
      <formula>IF(#REF!&lt;&gt;#REF!,1,0)</formula>
    </cfRule>
  </conditionalFormatting>
  <conditionalFormatting sqref="R38">
    <cfRule type="expression" dxfId="37" priority="56">
      <formula>IF(#REF!&lt;&gt;#REF!,1,0)</formula>
    </cfRule>
  </conditionalFormatting>
  <conditionalFormatting sqref="R38">
    <cfRule type="expression" dxfId="36" priority="55">
      <formula>IF(#REF!&lt;&gt;#REF!,1,0)</formula>
    </cfRule>
  </conditionalFormatting>
  <conditionalFormatting sqref="R38">
    <cfRule type="expression" dxfId="35" priority="53">
      <formula>IF(#REF!&lt;&gt;#REF!,1,0)</formula>
    </cfRule>
  </conditionalFormatting>
  <conditionalFormatting sqref="R38">
    <cfRule type="expression" dxfId="34" priority="52">
      <formula>IF(#REF!&lt;&gt;#REF!,1,0)</formula>
    </cfRule>
  </conditionalFormatting>
  <conditionalFormatting sqref="R38">
    <cfRule type="expression" dxfId="33" priority="51">
      <formula>IF(#REF!&lt;&gt;#REF!,1,0)</formula>
    </cfRule>
  </conditionalFormatting>
  <conditionalFormatting sqref="E38">
    <cfRule type="expression" dxfId="32" priority="49">
      <formula>IF(#REF!&lt;&gt;#REF!,1,0)</formula>
    </cfRule>
  </conditionalFormatting>
  <conditionalFormatting sqref="E38">
    <cfRule type="expression" dxfId="31" priority="50">
      <formula>IF(#REF!&lt;&gt;#REF!,1,0)</formula>
    </cfRule>
  </conditionalFormatting>
  <conditionalFormatting sqref="M38">
    <cfRule type="expression" dxfId="30" priority="48">
      <formula>IF(#REF!&lt;&gt;#REF!,1,0)</formula>
    </cfRule>
  </conditionalFormatting>
  <conditionalFormatting sqref="M38:N38">
    <cfRule type="expression" dxfId="29" priority="47">
      <formula>IF(#REF!&lt;&gt;#REF!,1,0)</formula>
    </cfRule>
  </conditionalFormatting>
  <conditionalFormatting sqref="C38">
    <cfRule type="expression" dxfId="28" priority="70">
      <formula>IF(#REF!&lt;&gt;#REF!,1,0)</formula>
    </cfRule>
  </conditionalFormatting>
  <conditionalFormatting sqref="E38 L38">
    <cfRule type="expression" dxfId="27" priority="71">
      <formula>IF(#REF!&lt;&gt;#REF!,1,0)</formula>
    </cfRule>
  </conditionalFormatting>
  <conditionalFormatting sqref="C38">
    <cfRule type="expression" dxfId="26" priority="72">
      <formula>IF(#REF!&lt;&gt;#REF!,1,0)</formula>
    </cfRule>
  </conditionalFormatting>
  <conditionalFormatting sqref="L38 E38">
    <cfRule type="expression" dxfId="25" priority="73">
      <formula>IF(#REF!&lt;&gt;#REF!,1,0)</formula>
    </cfRule>
  </conditionalFormatting>
  <conditionalFormatting sqref="O38">
    <cfRule type="expression" dxfId="24" priority="42">
      <formula>IF(#REF!&lt;&gt;#REF!,1,0)</formula>
    </cfRule>
  </conditionalFormatting>
  <conditionalFormatting sqref="W38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8:N38">
    <cfRule type="expression" dxfId="23" priority="46">
      <formula>IF(#REF!&lt;&gt;#REF!,1,0)</formula>
    </cfRule>
  </conditionalFormatting>
  <conditionalFormatting sqref="M38:N38">
    <cfRule type="expression" dxfId="22" priority="45">
      <formula>IF(#REF!&lt;&gt;#REF!,1,0)</formula>
    </cfRule>
  </conditionalFormatting>
  <conditionalFormatting sqref="O38">
    <cfRule type="expression" dxfId="21" priority="44">
      <formula>IF(#REF!&lt;&gt;#REF!,1,0)</formula>
    </cfRule>
  </conditionalFormatting>
  <conditionalFormatting sqref="O38">
    <cfRule type="expression" dxfId="20" priority="43">
      <formula>IF(#REF!&lt;&gt;#REF!,1,0)</formula>
    </cfRule>
  </conditionalFormatting>
  <conditionalFormatting sqref="D38">
    <cfRule type="expression" dxfId="19" priority="39">
      <formula>IF(#REF!&lt;&gt;#REF!,1,0)</formula>
    </cfRule>
  </conditionalFormatting>
  <conditionalFormatting sqref="D38">
    <cfRule type="expression" dxfId="18" priority="40">
      <formula>IF(#REF!&lt;&gt;#REF!,1,0)</formula>
    </cfRule>
  </conditionalFormatting>
  <conditionalFormatting sqref="D38">
    <cfRule type="expression" dxfId="17" priority="38">
      <formula>IF(#REF!&lt;&gt;#REF!,1,0)</formula>
    </cfRule>
  </conditionalFormatting>
  <conditionalFormatting sqref="D38">
    <cfRule type="expression" dxfId="16" priority="41">
      <formula>IF(#REF!&lt;&gt;#REF!,1,0)</formula>
    </cfRule>
  </conditionalFormatting>
  <conditionalFormatting sqref="U39:W39 Q39 E39:J39">
    <cfRule type="expression" dxfId="15" priority="31">
      <formula>IF(#REF!&lt;&gt;#REF!,1,0)</formula>
    </cfRule>
  </conditionalFormatting>
  <conditionalFormatting sqref="U39:W39">
    <cfRule type="expression" dxfId="14" priority="30">
      <formula>IF(#REF!&lt;&gt;#REF!,1,0)</formula>
    </cfRule>
  </conditionalFormatting>
  <conditionalFormatting sqref="L39 P39:S39 E39">
    <cfRule type="expression" dxfId="13" priority="32">
      <formula>IF(#REF!&lt;&gt;#REF!,1,0)</formula>
    </cfRule>
  </conditionalFormatting>
  <conditionalFormatting sqref="U39:W39 E39:L39 P39:Q39">
    <cfRule type="expression" dxfId="12" priority="29">
      <formula>IF(#REF!&lt;&gt;#REF!,1,0)</formula>
    </cfRule>
  </conditionalFormatting>
  <conditionalFormatting sqref="S39:W39">
    <cfRule type="expression" dxfId="11" priority="28">
      <formula>IF(#REF!&lt;&gt;#REF!,1,0)</formula>
    </cfRule>
  </conditionalFormatting>
  <conditionalFormatting sqref="S39:U39">
    <cfRule type="expression" dxfId="10" priority="26">
      <formula>IF(#REF!&lt;&gt;#REF!,1,0)</formula>
    </cfRule>
  </conditionalFormatting>
  <conditionalFormatting sqref="L39 P39 E39:G39">
    <cfRule type="expression" dxfId="9" priority="25">
      <formula>IF(#REF!&lt;&gt;#REF!,1,0)</formula>
    </cfRule>
  </conditionalFormatting>
  <conditionalFormatting sqref="S39:U39">
    <cfRule type="expression" dxfId="8" priority="24">
      <formula>IF(#REF!&lt;&gt;#REF!,1,0)</formula>
    </cfRule>
  </conditionalFormatting>
  <conditionalFormatting sqref="P39 L39">
    <cfRule type="expression" dxfId="7" priority="23">
      <formula>IF(#REF!&lt;&gt;#REF!,1,0)</formula>
    </cfRule>
  </conditionalFormatting>
  <conditionalFormatting sqref="C39">
    <cfRule type="expression" dxfId="6" priority="33">
      <formula>IF(#REF!&lt;&gt;#REF!,1,0)</formula>
    </cfRule>
  </conditionalFormatting>
  <conditionalFormatting sqref="E39 L39">
    <cfRule type="expression" dxfId="5" priority="34">
      <formula>IF(#REF!&lt;&gt;#REF!,1,0)</formula>
    </cfRule>
  </conditionalFormatting>
  <conditionalFormatting sqref="C39">
    <cfRule type="expression" dxfId="4" priority="35">
      <formula>IF(#REF!&lt;&gt;#REF!,1,0)</formula>
    </cfRule>
  </conditionalFormatting>
  <conditionalFormatting sqref="L39 E39">
    <cfRule type="expression" dxfId="3" priority="36">
      <formula>IF(#REF!&lt;&gt;#REF!,1,0)</formula>
    </cfRule>
  </conditionalFormatting>
  <conditionalFormatting sqref="W3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9:N39">
    <cfRule type="expression" dxfId="2" priority="9">
      <formula>IF(#REF!&lt;&gt;#REF!,1,0)</formula>
    </cfRule>
  </conditionalFormatting>
  <conditionalFormatting sqref="M39:N39">
    <cfRule type="expression" dxfId="1" priority="8">
      <formula>IF(#REF!&lt;&gt;#REF!,1,0)</formula>
    </cfRule>
  </conditionalFormatting>
  <conditionalFormatting sqref="O39">
    <cfRule type="expression" dxfId="0" priority="7">
      <formula>IF(#REF!&lt;&gt;#REF!,1,0)</formula>
    </cfRule>
  </conditionalFormatting>
  <pageMargins left="0.7" right="0.7" top="0.75" bottom="0.75" header="0.3" footer="0.3"/>
  <pageSetup paperSize="9" scale="55" orientation="landscape" r:id="rId1"/>
  <ignoredErrors>
    <ignoredError sqref="N6 Q23 N7:N22" formula="1"/>
    <ignoredError sqref="K7:K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هیدرومدول</vt:lpstr>
      <vt:lpstr>نتایج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</cp:lastModifiedBy>
  <cp:lastPrinted>2021-01-05T20:07:49Z</cp:lastPrinted>
  <dcterms:created xsi:type="dcterms:W3CDTF">2020-12-29T16:16:45Z</dcterms:created>
  <dcterms:modified xsi:type="dcterms:W3CDTF">2021-03-19T10:48:10Z</dcterms:modified>
</cp:coreProperties>
</file>