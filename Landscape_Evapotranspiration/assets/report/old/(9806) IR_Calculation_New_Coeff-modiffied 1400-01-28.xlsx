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YA\Dropbox\Work\Hydrotech\Landscape_Evapotranspiration\assets\report\"/>
    </mc:Choice>
  </mc:AlternateContent>
  <xr:revisionPtr revIDLastSave="0" documentId="13_ncr:1_{79C63599-7F02-4F0E-971B-BB684BACFE4B}" xr6:coauthVersionLast="46" xr6:coauthVersionMax="46" xr10:uidLastSave="{00000000-0000-0000-0000-000000000000}"/>
  <bookViews>
    <workbookView xWindow="-120" yWindow="-120" windowWidth="29040" windowHeight="15840" activeTab="2" xr2:uid="{219C7FA2-49D3-427B-87CF-D5B9256F5224}"/>
  </bookViews>
  <sheets>
    <sheet name="هیدرومدول" sheetId="3" r:id="rId1"/>
    <sheet name="نتایج" sheetId="4" r:id="rId2"/>
    <sheet name="نتایج - بدون ضرایب مساحت" sheetId="5" r:id="rId3"/>
  </sheets>
  <externalReferences>
    <externalReference r:id="rId4"/>
    <externalReference r:id="rId5"/>
  </externalReferences>
  <definedNames>
    <definedName name="_Key1" localSheetId="1" hidden="1">'[1]ضغد ءب آظنé '!#REF!</definedName>
    <definedName name="_Key1" localSheetId="2" hidden="1">'[1]ضغد ءب آظنé '!#REF!</definedName>
    <definedName name="_Key1" hidden="1">'[1]ضغد ءب آظنé '!#REF!</definedName>
    <definedName name="_Order1" hidden="1">255</definedName>
    <definedName name="_Sort" hidden="1">'[1]ضغد ءب آظنé '!#REF!</definedName>
    <definedName name="çسçر76">[2]çسçرءهآس!$C$2:$J$39</definedName>
    <definedName name="Spots">#REF!</definedName>
    <definedName name="بسوآهè">[2]çسçرءهآس!$CY$83:$DD$97</definedName>
    <definedName name="مشآسطçسçرهآèآوè">[2]çسçرءهآس!$T$6:$AA$23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6" i="5" l="1"/>
  <c r="N26" i="5"/>
  <c r="M26" i="5"/>
  <c r="L26" i="5"/>
  <c r="H26" i="5"/>
  <c r="G26" i="5"/>
  <c r="F26" i="5"/>
  <c r="E26" i="5"/>
  <c r="J24" i="5"/>
  <c r="J25" i="5" s="1"/>
  <c r="I24" i="5"/>
  <c r="H19" i="5"/>
  <c r="D19" i="5"/>
  <c r="V18" i="5"/>
  <c r="O18" i="5"/>
  <c r="N18" i="5"/>
  <c r="M18" i="5"/>
  <c r="L18" i="5"/>
  <c r="G18" i="5"/>
  <c r="F18" i="5"/>
  <c r="E18" i="5"/>
  <c r="V17" i="5"/>
  <c r="O17" i="5"/>
  <c r="M17" i="5"/>
  <c r="L17" i="5"/>
  <c r="G17" i="5"/>
  <c r="N17" i="5" s="1"/>
  <c r="F17" i="5"/>
  <c r="E17" i="5"/>
  <c r="V16" i="5"/>
  <c r="O16" i="5"/>
  <c r="M16" i="5"/>
  <c r="L16" i="5"/>
  <c r="G16" i="5"/>
  <c r="N16" i="5" s="1"/>
  <c r="F16" i="5"/>
  <c r="E16" i="5"/>
  <c r="V15" i="5"/>
  <c r="O15" i="5"/>
  <c r="N15" i="5"/>
  <c r="L15" i="5"/>
  <c r="G15" i="5"/>
  <c r="F15" i="5"/>
  <c r="M15" i="5" s="1"/>
  <c r="E15" i="5"/>
  <c r="V14" i="5"/>
  <c r="O14" i="5"/>
  <c r="N14" i="5"/>
  <c r="L14" i="5"/>
  <c r="G14" i="5"/>
  <c r="F14" i="5"/>
  <c r="M14" i="5" s="1"/>
  <c r="E14" i="5"/>
  <c r="V13" i="5"/>
  <c r="O13" i="5"/>
  <c r="N13" i="5"/>
  <c r="M13" i="5"/>
  <c r="L13" i="5"/>
  <c r="G13" i="5"/>
  <c r="F13" i="5"/>
  <c r="E13" i="5"/>
  <c r="V12" i="5"/>
  <c r="O12" i="5"/>
  <c r="L12" i="5"/>
  <c r="G12" i="5"/>
  <c r="N12" i="5" s="1"/>
  <c r="F12" i="5"/>
  <c r="M12" i="5" s="1"/>
  <c r="E12" i="5"/>
  <c r="V11" i="5"/>
  <c r="O11" i="5"/>
  <c r="L11" i="5"/>
  <c r="G11" i="5"/>
  <c r="N11" i="5" s="1"/>
  <c r="F11" i="5"/>
  <c r="M11" i="5" s="1"/>
  <c r="E11" i="5"/>
  <c r="V10" i="5"/>
  <c r="O10" i="5"/>
  <c r="N10" i="5"/>
  <c r="M10" i="5"/>
  <c r="L10" i="5"/>
  <c r="G10" i="5"/>
  <c r="F10" i="5"/>
  <c r="E10" i="5"/>
  <c r="V9" i="5"/>
  <c r="Q9" i="5"/>
  <c r="Q10" i="5" s="1"/>
  <c r="Q11" i="5" s="1"/>
  <c r="Q12" i="5" s="1"/>
  <c r="Q13" i="5" s="1"/>
  <c r="Q14" i="5" s="1"/>
  <c r="Q15" i="5" s="1"/>
  <c r="Q16" i="5" s="1"/>
  <c r="Q17" i="5" s="1"/>
  <c r="Q18" i="5" s="1"/>
  <c r="O9" i="5"/>
  <c r="M9" i="5"/>
  <c r="L9" i="5"/>
  <c r="I9" i="5"/>
  <c r="I10" i="5" s="1"/>
  <c r="G9" i="5"/>
  <c r="N9" i="5" s="1"/>
  <c r="F9" i="5"/>
  <c r="E9" i="5"/>
  <c r="V8" i="5"/>
  <c r="Q8" i="5"/>
  <c r="Q24" i="5" s="1"/>
  <c r="O8" i="5"/>
  <c r="M8" i="5"/>
  <c r="L8" i="5"/>
  <c r="G8" i="5"/>
  <c r="N8" i="5" s="1"/>
  <c r="F8" i="5"/>
  <c r="E8" i="5"/>
  <c r="V7" i="5"/>
  <c r="Q7" i="5"/>
  <c r="O7" i="5"/>
  <c r="N7" i="5"/>
  <c r="L7" i="5"/>
  <c r="J7" i="5"/>
  <c r="I7" i="5"/>
  <c r="G7" i="5"/>
  <c r="F7" i="5"/>
  <c r="M7" i="5" s="1"/>
  <c r="P7" i="5" s="1"/>
  <c r="E7" i="5"/>
  <c r="K7" i="5" s="1"/>
  <c r="V6" i="5"/>
  <c r="O6" i="5"/>
  <c r="O19" i="5" s="1"/>
  <c r="M6" i="5"/>
  <c r="L6" i="5"/>
  <c r="L19" i="5" s="1"/>
  <c r="G6" i="5"/>
  <c r="G19" i="5" s="1"/>
  <c r="F6" i="5"/>
  <c r="F19" i="5" s="1"/>
  <c r="E6" i="5"/>
  <c r="E19" i="5" s="1"/>
  <c r="F5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I27" i="5" l="1"/>
  <c r="I26" i="5" s="1"/>
  <c r="R25" i="5"/>
  <c r="I11" i="5"/>
  <c r="Q25" i="5"/>
  <c r="Q27" i="5"/>
  <c r="R24" i="5"/>
  <c r="K8" i="5"/>
  <c r="R8" i="5"/>
  <c r="P8" i="5"/>
  <c r="J9" i="5"/>
  <c r="K9" i="5"/>
  <c r="P24" i="5"/>
  <c r="I25" i="5"/>
  <c r="K25" i="5" s="1"/>
  <c r="J27" i="5"/>
  <c r="J26" i="5" s="1"/>
  <c r="K6" i="5"/>
  <c r="R7" i="5"/>
  <c r="Q20" i="5"/>
  <c r="M19" i="5"/>
  <c r="N6" i="5"/>
  <c r="R6" i="5" s="1"/>
  <c r="K24" i="5"/>
  <c r="M6" i="3"/>
  <c r="M7" i="3"/>
  <c r="M8" i="3"/>
  <c r="M9" i="3"/>
  <c r="M10" i="3"/>
  <c r="M12" i="3"/>
  <c r="M13" i="3"/>
  <c r="M14" i="3"/>
  <c r="M15" i="3"/>
  <c r="M16" i="3"/>
  <c r="M17" i="3"/>
  <c r="M5" i="3"/>
  <c r="G7" i="4"/>
  <c r="G8" i="4"/>
  <c r="G9" i="4"/>
  <c r="G10" i="4"/>
  <c r="G11" i="4"/>
  <c r="G12" i="4"/>
  <c r="G14" i="4"/>
  <c r="N14" i="4" s="1"/>
  <c r="G15" i="4"/>
  <c r="G17" i="4"/>
  <c r="G18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6" i="4"/>
  <c r="M11" i="3"/>
  <c r="I6" i="3"/>
  <c r="I7" i="3"/>
  <c r="I8" i="3"/>
  <c r="I9" i="3"/>
  <c r="I10" i="3"/>
  <c r="I11" i="3"/>
  <c r="I13" i="3"/>
  <c r="I14" i="3"/>
  <c r="I16" i="3"/>
  <c r="I17" i="3"/>
  <c r="I5" i="3"/>
  <c r="H5" i="3" s="1"/>
  <c r="I15" i="3"/>
  <c r="I12" i="3"/>
  <c r="W6" i="5" l="1"/>
  <c r="S6" i="5"/>
  <c r="J10" i="5"/>
  <c r="P9" i="5"/>
  <c r="R9" i="5"/>
  <c r="W7" i="5"/>
  <c r="S7" i="5"/>
  <c r="N19" i="5"/>
  <c r="P6" i="5"/>
  <c r="W8" i="5"/>
  <c r="S8" i="5"/>
  <c r="I12" i="5"/>
  <c r="V26" i="5"/>
  <c r="L27" i="5" s="1"/>
  <c r="K26" i="5"/>
  <c r="W24" i="5"/>
  <c r="S24" i="5"/>
  <c r="R26" i="5"/>
  <c r="R27" i="5" s="1"/>
  <c r="P25" i="5"/>
  <c r="P26" i="5" s="1"/>
  <c r="Q26" i="5" s="1"/>
  <c r="S25" i="5"/>
  <c r="W25" i="5"/>
  <c r="M18" i="4"/>
  <c r="G13" i="4"/>
  <c r="G16" i="4"/>
  <c r="L7" i="4"/>
  <c r="L8" i="4"/>
  <c r="L9" i="4"/>
  <c r="L10" i="4"/>
  <c r="L11" i="4"/>
  <c r="L12" i="4"/>
  <c r="L13" i="4"/>
  <c r="L14" i="4"/>
  <c r="L15" i="4"/>
  <c r="L16" i="4"/>
  <c r="L17" i="4"/>
  <c r="L18" i="4"/>
  <c r="F13" i="3"/>
  <c r="X6" i="5" l="1"/>
  <c r="T6" i="5"/>
  <c r="I13" i="5"/>
  <c r="T8" i="5"/>
  <c r="U8" i="5" s="1"/>
  <c r="X8" i="5"/>
  <c r="W9" i="5"/>
  <c r="S9" i="5"/>
  <c r="X24" i="5"/>
  <c r="X26" i="5" s="1"/>
  <c r="X27" i="5" s="1"/>
  <c r="T24" i="5"/>
  <c r="S26" i="5"/>
  <c r="W26" i="5"/>
  <c r="R10" i="5"/>
  <c r="P10" i="5"/>
  <c r="J11" i="5"/>
  <c r="K10" i="5"/>
  <c r="T25" i="5"/>
  <c r="U25" i="5" s="1"/>
  <c r="X25" i="5"/>
  <c r="T7" i="5"/>
  <c r="U7" i="5" s="1"/>
  <c r="X7" i="5"/>
  <c r="E7" i="4"/>
  <c r="E8" i="4"/>
  <c r="E9" i="4"/>
  <c r="E10" i="4"/>
  <c r="E11" i="4"/>
  <c r="E12" i="4"/>
  <c r="E13" i="4"/>
  <c r="E14" i="4"/>
  <c r="E15" i="4"/>
  <c r="E16" i="4"/>
  <c r="E17" i="4"/>
  <c r="E18" i="4"/>
  <c r="D19" i="4"/>
  <c r="E6" i="4"/>
  <c r="P11" i="5" l="1"/>
  <c r="R11" i="5"/>
  <c r="J12" i="5"/>
  <c r="K11" i="5"/>
  <c r="S10" i="5"/>
  <c r="W10" i="5"/>
  <c r="T26" i="5"/>
  <c r="U24" i="5"/>
  <c r="I14" i="5"/>
  <c r="U6" i="5"/>
  <c r="T9" i="5"/>
  <c r="U9" i="5" s="1"/>
  <c r="X9" i="5"/>
  <c r="E19" i="4"/>
  <c r="O26" i="4"/>
  <c r="N26" i="4"/>
  <c r="M26" i="4"/>
  <c r="L26" i="4"/>
  <c r="H26" i="4"/>
  <c r="G26" i="4"/>
  <c r="F26" i="4"/>
  <c r="E26" i="4"/>
  <c r="T10" i="5" l="1"/>
  <c r="U10" i="5" s="1"/>
  <c r="X10" i="5"/>
  <c r="I15" i="5"/>
  <c r="P12" i="5"/>
  <c r="J13" i="5"/>
  <c r="R12" i="5"/>
  <c r="K12" i="5"/>
  <c r="S11" i="5"/>
  <c r="W11" i="5"/>
  <c r="T27" i="5"/>
  <c r="U26" i="5"/>
  <c r="J24" i="4"/>
  <c r="I24" i="4"/>
  <c r="J14" i="5" l="1"/>
  <c r="R13" i="5"/>
  <c r="P13" i="5"/>
  <c r="K13" i="5"/>
  <c r="I16" i="5"/>
  <c r="X11" i="5"/>
  <c r="T11" i="5"/>
  <c r="W12" i="5"/>
  <c r="S12" i="5"/>
  <c r="I25" i="4"/>
  <c r="K24" i="4"/>
  <c r="I27" i="4"/>
  <c r="I26" i="4" s="1"/>
  <c r="J25" i="4"/>
  <c r="J27" i="4" s="1"/>
  <c r="P24" i="4"/>
  <c r="I17" i="5" l="1"/>
  <c r="X12" i="5"/>
  <c r="T12" i="5"/>
  <c r="U12" i="5" s="1"/>
  <c r="S13" i="5"/>
  <c r="W13" i="5"/>
  <c r="U11" i="5"/>
  <c r="R14" i="5"/>
  <c r="P14" i="5"/>
  <c r="J15" i="5"/>
  <c r="K14" i="5"/>
  <c r="J26" i="4"/>
  <c r="P25" i="4"/>
  <c r="P26" i="4" s="1"/>
  <c r="K25" i="4"/>
  <c r="K26" i="4" s="1"/>
  <c r="V26" i="4" s="1"/>
  <c r="L27" i="4" s="1"/>
  <c r="V7" i="4"/>
  <c r="V8" i="4"/>
  <c r="V9" i="4"/>
  <c r="V10" i="4"/>
  <c r="V11" i="4"/>
  <c r="V12" i="4"/>
  <c r="V13" i="4"/>
  <c r="V14" i="4"/>
  <c r="V15" i="4"/>
  <c r="V16" i="4"/>
  <c r="V17" i="4"/>
  <c r="V18" i="4"/>
  <c r="O7" i="4"/>
  <c r="O8" i="4"/>
  <c r="O9" i="4"/>
  <c r="O10" i="4"/>
  <c r="O11" i="4"/>
  <c r="O12" i="4"/>
  <c r="O13" i="4"/>
  <c r="O14" i="4"/>
  <c r="O15" i="4"/>
  <c r="O16" i="4"/>
  <c r="O17" i="4"/>
  <c r="O18" i="4"/>
  <c r="N7" i="4"/>
  <c r="N8" i="4"/>
  <c r="N9" i="4"/>
  <c r="N10" i="4"/>
  <c r="N11" i="4"/>
  <c r="N12" i="4"/>
  <c r="N13" i="4"/>
  <c r="N15" i="4"/>
  <c r="N16" i="4"/>
  <c r="N17" i="4"/>
  <c r="N18" i="4"/>
  <c r="M7" i="4"/>
  <c r="M8" i="4"/>
  <c r="M9" i="4"/>
  <c r="M10" i="4"/>
  <c r="M11" i="4"/>
  <c r="M12" i="4"/>
  <c r="M13" i="4"/>
  <c r="M14" i="4"/>
  <c r="M15" i="4"/>
  <c r="M16" i="4"/>
  <c r="M17" i="4"/>
  <c r="K18" i="3"/>
  <c r="G18" i="3"/>
  <c r="E18" i="3"/>
  <c r="D18" i="3"/>
  <c r="C18" i="3"/>
  <c r="N18" i="3" s="1"/>
  <c r="V6" i="4"/>
  <c r="X13" i="5" l="1"/>
  <c r="T13" i="5"/>
  <c r="U13" i="5" s="1"/>
  <c r="J16" i="5"/>
  <c r="R15" i="5"/>
  <c r="P15" i="5"/>
  <c r="K15" i="5"/>
  <c r="S14" i="5"/>
  <c r="W14" i="5"/>
  <c r="I18" i="5"/>
  <c r="J18" i="3"/>
  <c r="N6" i="4"/>
  <c r="M6" i="4"/>
  <c r="L6" i="4"/>
  <c r="G19" i="4"/>
  <c r="F19" i="4"/>
  <c r="Q7" i="4"/>
  <c r="J7" i="4"/>
  <c r="I7" i="4"/>
  <c r="O6" i="4"/>
  <c r="I20" i="5" l="1"/>
  <c r="I19" i="5" s="1"/>
  <c r="W15" i="5"/>
  <c r="S15" i="5"/>
  <c r="R16" i="5"/>
  <c r="P16" i="5"/>
  <c r="J17" i="5"/>
  <c r="K16" i="5"/>
  <c r="X14" i="5"/>
  <c r="T14" i="5"/>
  <c r="Q8" i="4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R7" i="4"/>
  <c r="S7" i="4" s="1"/>
  <c r="P7" i="4"/>
  <c r="K6" i="4"/>
  <c r="O19" i="4"/>
  <c r="N19" i="4"/>
  <c r="H19" i="4"/>
  <c r="P6" i="4"/>
  <c r="I8" i="4"/>
  <c r="R6" i="4"/>
  <c r="K7" i="4"/>
  <c r="L19" i="4"/>
  <c r="M19" i="4"/>
  <c r="J8" i="4"/>
  <c r="S16" i="5" l="1"/>
  <c r="W16" i="5"/>
  <c r="P17" i="5"/>
  <c r="J18" i="5"/>
  <c r="R17" i="5"/>
  <c r="K17" i="5"/>
  <c r="X15" i="5"/>
  <c r="T15" i="5"/>
  <c r="U15" i="5" s="1"/>
  <c r="U14" i="5"/>
  <c r="T7" i="4"/>
  <c r="U7" i="4" s="1"/>
  <c r="X7" i="4"/>
  <c r="Q24" i="4"/>
  <c r="R24" i="4" s="1"/>
  <c r="W7" i="4"/>
  <c r="R8" i="4"/>
  <c r="P8" i="4"/>
  <c r="J9" i="4"/>
  <c r="W6" i="4"/>
  <c r="S6" i="4"/>
  <c r="K8" i="4"/>
  <c r="I9" i="4"/>
  <c r="W17" i="5" l="1"/>
  <c r="S17" i="5"/>
  <c r="R18" i="5"/>
  <c r="P18" i="5"/>
  <c r="P19" i="5" s="1"/>
  <c r="Q19" i="5" s="1"/>
  <c r="J20" i="5"/>
  <c r="J19" i="5" s="1"/>
  <c r="K18" i="5"/>
  <c r="K19" i="5" s="1"/>
  <c r="T16" i="5"/>
  <c r="U16" i="5" s="1"/>
  <c r="X16" i="5"/>
  <c r="Q25" i="4"/>
  <c r="R25" i="4" s="1"/>
  <c r="W25" i="4" s="1"/>
  <c r="T6" i="4"/>
  <c r="U6" i="4" s="1"/>
  <c r="X6" i="4"/>
  <c r="Q27" i="4"/>
  <c r="Q26" i="4" s="1"/>
  <c r="W24" i="4"/>
  <c r="W26" i="4" s="1"/>
  <c r="R26" i="4"/>
  <c r="R27" i="4" s="1"/>
  <c r="S24" i="4"/>
  <c r="X24" i="4" s="1"/>
  <c r="R9" i="4"/>
  <c r="P9" i="4"/>
  <c r="W8" i="4"/>
  <c r="S8" i="4"/>
  <c r="Q20" i="4"/>
  <c r="I10" i="4"/>
  <c r="K9" i="4"/>
  <c r="J10" i="4"/>
  <c r="V19" i="5" l="1"/>
  <c r="L20" i="5" s="1"/>
  <c r="L29" i="5" s="1"/>
  <c r="X17" i="5"/>
  <c r="T17" i="5"/>
  <c r="U17" i="5" s="1"/>
  <c r="S18" i="5"/>
  <c r="W18" i="5"/>
  <c r="W19" i="5" s="1"/>
  <c r="R19" i="5"/>
  <c r="R20" i="5" s="1"/>
  <c r="S25" i="4"/>
  <c r="T25" i="4" s="1"/>
  <c r="U25" i="4" s="1"/>
  <c r="T8" i="4"/>
  <c r="U8" i="4" s="1"/>
  <c r="X8" i="4"/>
  <c r="T24" i="4"/>
  <c r="U24" i="4" s="1"/>
  <c r="R10" i="4"/>
  <c r="P10" i="4"/>
  <c r="W9" i="4"/>
  <c r="S9" i="4"/>
  <c r="K10" i="4"/>
  <c r="I11" i="4"/>
  <c r="J11" i="4"/>
  <c r="T18" i="5" l="1"/>
  <c r="X18" i="5"/>
  <c r="X19" i="5" s="1"/>
  <c r="X20" i="5" s="1"/>
  <c r="S19" i="5"/>
  <c r="S26" i="4"/>
  <c r="X25" i="4"/>
  <c r="X26" i="4" s="1"/>
  <c r="X27" i="4" s="1"/>
  <c r="T9" i="4"/>
  <c r="U9" i="4" s="1"/>
  <c r="X9" i="4"/>
  <c r="T26" i="4"/>
  <c r="P11" i="4"/>
  <c r="R11" i="4"/>
  <c r="S10" i="4"/>
  <c r="W10" i="4"/>
  <c r="J12" i="4"/>
  <c r="K11" i="4"/>
  <c r="I12" i="4"/>
  <c r="U18" i="5" l="1"/>
  <c r="T19" i="5"/>
  <c r="T10" i="4"/>
  <c r="U10" i="4" s="1"/>
  <c r="X10" i="4"/>
  <c r="T27" i="4"/>
  <c r="U26" i="4"/>
  <c r="W11" i="4"/>
  <c r="S11" i="4"/>
  <c r="R12" i="4"/>
  <c r="P12" i="4"/>
  <c r="I13" i="4"/>
  <c r="K12" i="4"/>
  <c r="J13" i="4"/>
  <c r="T20" i="5" l="1"/>
  <c r="T29" i="5" s="1"/>
  <c r="U19" i="5"/>
  <c r="T11" i="4"/>
  <c r="U11" i="4" s="1"/>
  <c r="X11" i="4"/>
  <c r="W12" i="4"/>
  <c r="S12" i="4"/>
  <c r="R13" i="4"/>
  <c r="P13" i="4"/>
  <c r="J14" i="4"/>
  <c r="K13" i="4"/>
  <c r="I14" i="4"/>
  <c r="T12" i="4" l="1"/>
  <c r="U12" i="4" s="1"/>
  <c r="X12" i="4"/>
  <c r="W13" i="4"/>
  <c r="S13" i="4"/>
  <c r="X13" i="4" s="1"/>
  <c r="R14" i="4"/>
  <c r="P14" i="4"/>
  <c r="I15" i="4"/>
  <c r="K14" i="4"/>
  <c r="J15" i="4"/>
  <c r="T13" i="4" l="1"/>
  <c r="U13" i="4" s="1"/>
  <c r="P15" i="4"/>
  <c r="R15" i="4"/>
  <c r="W14" i="4"/>
  <c r="S14" i="4"/>
  <c r="J16" i="4"/>
  <c r="I16" i="4"/>
  <c r="K15" i="4"/>
  <c r="T14" i="4" l="1"/>
  <c r="U14" i="4" s="1"/>
  <c r="X14" i="4"/>
  <c r="W15" i="4"/>
  <c r="S15" i="4"/>
  <c r="R16" i="4"/>
  <c r="P16" i="4"/>
  <c r="J17" i="4"/>
  <c r="I17" i="4"/>
  <c r="K16" i="4"/>
  <c r="T15" i="4" l="1"/>
  <c r="U15" i="4" s="1"/>
  <c r="X15" i="4"/>
  <c r="W16" i="4"/>
  <c r="S16" i="4"/>
  <c r="R17" i="4"/>
  <c r="S17" i="4" s="1"/>
  <c r="P17" i="4"/>
  <c r="I18" i="4"/>
  <c r="K17" i="4"/>
  <c r="J18" i="4"/>
  <c r="X17" i="4" l="1"/>
  <c r="T16" i="4"/>
  <c r="U16" i="4" s="1"/>
  <c r="X16" i="4"/>
  <c r="W17" i="4"/>
  <c r="T17" i="4"/>
  <c r="U17" i="4" s="1"/>
  <c r="R18" i="4"/>
  <c r="P18" i="4"/>
  <c r="P19" i="4" s="1"/>
  <c r="Q19" i="4" s="1"/>
  <c r="K18" i="4"/>
  <c r="I20" i="4"/>
  <c r="J20" i="4"/>
  <c r="W18" i="4" l="1"/>
  <c r="S18" i="4"/>
  <c r="R19" i="4"/>
  <c r="R20" i="4" s="1"/>
  <c r="I19" i="4"/>
  <c r="J19" i="4" s="1"/>
  <c r="K19" i="4"/>
  <c r="T18" i="4" l="1"/>
  <c r="U18" i="4" s="1"/>
  <c r="X18" i="4"/>
  <c r="X19" i="4" s="1"/>
  <c r="X20" i="4" s="1"/>
  <c r="T19" i="4"/>
  <c r="U19" i="4" s="1"/>
  <c r="V19" i="4"/>
  <c r="W19" i="4"/>
  <c r="S19" i="4"/>
  <c r="L20" i="4" l="1"/>
  <c r="L29" i="4" s="1"/>
  <c r="T20" i="4"/>
  <c r="T29" i="4" s="1"/>
  <c r="H6" i="3" l="1"/>
  <c r="H7" i="3"/>
  <c r="H8" i="3"/>
  <c r="H9" i="3"/>
  <c r="H10" i="3"/>
  <c r="H11" i="3"/>
  <c r="H12" i="3"/>
  <c r="H13" i="3"/>
  <c r="H14" i="3"/>
  <c r="H15" i="3"/>
  <c r="H16" i="3"/>
  <c r="H17" i="3"/>
  <c r="L6" i="3"/>
  <c r="L7" i="3"/>
  <c r="L8" i="3"/>
  <c r="L9" i="3"/>
  <c r="L10" i="3"/>
  <c r="L11" i="3"/>
  <c r="L12" i="3"/>
  <c r="L13" i="3"/>
  <c r="L14" i="3"/>
  <c r="L15" i="3"/>
  <c r="L16" i="3"/>
  <c r="L17" i="3"/>
  <c r="F17" i="3"/>
  <c r="F16" i="3"/>
  <c r="F15" i="3"/>
  <c r="F14" i="3"/>
  <c r="F12" i="3"/>
  <c r="F11" i="3"/>
  <c r="F10" i="3"/>
  <c r="F9" i="3"/>
  <c r="F8" i="3"/>
  <c r="F7" i="3"/>
  <c r="F6" i="3"/>
  <c r="L5" i="3" l="1"/>
  <c r="L18" i="3" s="1"/>
  <c r="M18" i="3"/>
  <c r="H18" i="3"/>
  <c r="I18" i="3"/>
  <c r="F18" i="3"/>
</calcChain>
</file>

<file path=xl/sharedStrings.xml><?xml version="1.0" encoding="utf-8"?>
<sst xmlns="http://schemas.openxmlformats.org/spreadsheetml/2006/main" count="110" uniqueCount="41">
  <si>
    <t>منطقه شهرداری</t>
  </si>
  <si>
    <t>مساحت</t>
  </si>
  <si>
    <t>هکتار</t>
  </si>
  <si>
    <t>هزار متر مکعب</t>
  </si>
  <si>
    <t>نیاز آبیاری سالانه</t>
  </si>
  <si>
    <t>جمع کل</t>
  </si>
  <si>
    <t>نیاز آبیاری
 ماه اوج</t>
  </si>
  <si>
    <t>لیتر در ثانیه در هکتار</t>
  </si>
  <si>
    <t>لکه‏های موجود</t>
  </si>
  <si>
    <t>لکه‏های طرح تفصیلی</t>
  </si>
  <si>
    <t>لکه‏های طرح توسعه</t>
  </si>
  <si>
    <t>هیدرومدول
ماه اوج</t>
  </si>
  <si>
    <t>برآورد آب موردنیاز آبیاری و خدمات شهری در مناطق شهری</t>
  </si>
  <si>
    <t>منطقه</t>
  </si>
  <si>
    <r>
      <t xml:space="preserve">سطح کاربری فضای سبز؛ </t>
    </r>
    <r>
      <rPr>
        <b/>
        <sz val="12"/>
        <color theme="1"/>
        <rFont val="B Mitra"/>
        <charset val="178"/>
      </rPr>
      <t>هکتار</t>
    </r>
  </si>
  <si>
    <t>توسعهء تکمیلی فضای سبز</t>
  </si>
  <si>
    <t>سهم فضاهای سبز متفرقه</t>
  </si>
  <si>
    <r>
      <t xml:space="preserve">فضای سبز مبنای طراحی؛
</t>
    </r>
    <r>
      <rPr>
        <sz val="14"/>
        <color rgb="FF680000"/>
        <rFont val="B Mitra"/>
        <charset val="178"/>
      </rPr>
      <t>هکتار</t>
    </r>
  </si>
  <si>
    <t>نیاز آبیاری ماه اوج؛ لیتردرثانیه</t>
  </si>
  <si>
    <t>نیاز آبیاری؛ هزارمترمکعب</t>
  </si>
  <si>
    <t>ظرفیت واحد ماه اوج</t>
  </si>
  <si>
    <t>وضعِ موجود</t>
  </si>
  <si>
    <t>درحال توسعه‌</t>
  </si>
  <si>
    <t>طرح تفصیلی</t>
  </si>
  <si>
    <t>پهنه‌های ‌توسعه‌نیافته</t>
  </si>
  <si>
    <t>وضع موجود</t>
  </si>
  <si>
    <t>توسعه متفرقه و تکمیلی</t>
  </si>
  <si>
    <t>خدمات غیرآبیاری</t>
  </si>
  <si>
    <t>مبنای طراحی</t>
  </si>
  <si>
    <t>ماه اوج</t>
  </si>
  <si>
    <t>سالانه</t>
  </si>
  <si>
    <t>سهم ماه اوج نسبت به سال</t>
  </si>
  <si>
    <t>لیتردرثانیه
 درهکتار</t>
  </si>
  <si>
    <t>مترمکعب
 در هکتار</t>
  </si>
  <si>
    <t>-</t>
  </si>
  <si>
    <t>حجم نیاز سالانه</t>
  </si>
  <si>
    <t>میلیون مترمکعب</t>
  </si>
  <si>
    <t>مساحت محاسبه نیاز آبیاری</t>
  </si>
  <si>
    <t>کمربند</t>
  </si>
  <si>
    <t>درصد فضای سبز</t>
  </si>
  <si>
    <t>میلیون مترمکعب در سال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</si>
</sst>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#,##0.0"/>
    <numFmt numFmtId="167" formatCode="0.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 Zar"/>
      <charset val="178"/>
    </font>
    <font>
      <b/>
      <sz val="10"/>
      <color theme="1"/>
      <name val="B Zar"/>
      <charset val="178"/>
    </font>
    <font>
      <sz val="12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FF0000"/>
      <name val="B Zar"/>
      <charset val="178"/>
    </font>
    <font>
      <sz val="11"/>
      <color theme="1"/>
      <name val="B Titr"/>
      <charset val="178"/>
    </font>
    <font>
      <sz val="16"/>
      <color rgb="FFC00000"/>
      <name val="B Mitra"/>
      <charset val="178"/>
    </font>
    <font>
      <sz val="11"/>
      <color rgb="FF000000"/>
      <name val="Calibri"/>
      <family val="2"/>
      <charset val="1"/>
    </font>
    <font>
      <b/>
      <sz val="12"/>
      <color theme="1"/>
      <name val="B Mitra"/>
      <charset val="178"/>
    </font>
    <font>
      <b/>
      <sz val="14"/>
      <color theme="1"/>
      <name val="B Mitra"/>
      <charset val="178"/>
    </font>
    <font>
      <b/>
      <sz val="11"/>
      <color rgb="FF002A7E"/>
      <name val="B Mitra"/>
      <charset val="178"/>
    </font>
    <font>
      <b/>
      <sz val="14"/>
      <color rgb="FF680000"/>
      <name val="B Mitra"/>
      <charset val="178"/>
    </font>
    <font>
      <sz val="14"/>
      <color rgb="FF680000"/>
      <name val="B Mitra"/>
      <charset val="178"/>
    </font>
    <font>
      <sz val="11"/>
      <color theme="1"/>
      <name val="Calibri"/>
      <family val="2"/>
      <charset val="178"/>
      <scheme val="minor"/>
    </font>
    <font>
      <sz val="12"/>
      <color theme="1"/>
      <name val="B Mitra"/>
      <charset val="178"/>
    </font>
    <font>
      <sz val="14"/>
      <color theme="1"/>
      <name val="B Mitra"/>
      <charset val="178"/>
    </font>
    <font>
      <b/>
      <sz val="16"/>
      <color rgb="FFC00000"/>
      <name val="B Nazanin"/>
      <charset val="178"/>
    </font>
    <font>
      <b/>
      <sz val="18"/>
      <color rgb="FF0000CC"/>
      <name val="B Titr"/>
      <charset val="178"/>
    </font>
    <font>
      <b/>
      <sz val="18"/>
      <color rgb="FF680000"/>
      <name val="B Roya"/>
      <charset val="178"/>
    </font>
    <font>
      <b/>
      <sz val="16"/>
      <color rgb="FF0000CC"/>
      <name val="B Nazanin"/>
      <charset val="178"/>
    </font>
    <font>
      <sz val="16"/>
      <color rgb="FFC00000"/>
      <name val="B Titr"/>
      <charset val="178"/>
    </font>
    <font>
      <sz val="18"/>
      <color rgb="FFC00000"/>
      <name val="B Nazanin"/>
      <charset val="178"/>
    </font>
    <font>
      <sz val="18"/>
      <color rgb="FF680000"/>
      <name val="B Mitra"/>
      <charset val="178"/>
    </font>
    <font>
      <sz val="11"/>
      <color indexed="8"/>
      <name val="Calibri"/>
      <family val="2"/>
      <charset val="178"/>
    </font>
    <font>
      <sz val="18"/>
      <color rgb="FF680000"/>
      <name val="B Roya"/>
      <charset val="178"/>
    </font>
    <font>
      <b/>
      <sz val="16"/>
      <color rgb="FF680000"/>
      <name val="B Titr"/>
      <charset val="178"/>
    </font>
    <font>
      <sz val="16"/>
      <color rgb="FFC00000"/>
      <name val="B Roya"/>
      <charset val="178"/>
    </font>
    <font>
      <b/>
      <sz val="14"/>
      <color rgb="FFC00000"/>
      <name val="B Titr"/>
      <charset val="178"/>
    </font>
    <font>
      <sz val="18"/>
      <color rgb="FF540000"/>
      <name val="B Nazanin"/>
      <charset val="178"/>
    </font>
    <font>
      <b/>
      <sz val="18"/>
      <color rgb="FF540000"/>
      <name val="B Roya"/>
      <charset val="178"/>
    </font>
    <font>
      <sz val="16"/>
      <color rgb="FF680000"/>
      <name val="B Titr"/>
      <charset val="178"/>
    </font>
    <font>
      <sz val="18"/>
      <color rgb="FFC00000"/>
      <name val="B Mitra"/>
      <charset val="178"/>
    </font>
    <font>
      <sz val="14"/>
      <color rgb="FF000099"/>
      <name val="B Titr"/>
      <charset val="178"/>
    </font>
    <font>
      <sz val="18"/>
      <color rgb="FF680000"/>
      <name val="B Titr"/>
      <charset val="178"/>
    </font>
    <font>
      <sz val="18"/>
      <color theme="1"/>
      <name val="B Nazanin"/>
      <charset val="178"/>
    </font>
    <font>
      <sz val="12"/>
      <color theme="1"/>
      <name val="B Koodak"/>
      <charset val="178"/>
    </font>
    <font>
      <b/>
      <sz val="8"/>
      <color theme="1"/>
      <name val="B Zar"/>
      <charset val="178"/>
    </font>
    <font>
      <sz val="14"/>
      <color rgb="FF680000"/>
      <name val="B Titr"/>
      <charset val="178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rgb="FFDEE6EF"/>
      </patternFill>
    </fill>
    <fill>
      <patternFill patternType="solid">
        <fgColor rgb="FFB5EEA6"/>
        <bgColor rgb="FFDEE6E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B5EE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dotted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dotted">
        <color auto="1"/>
      </bottom>
      <diagonal/>
    </border>
    <border>
      <left/>
      <right style="thin">
        <color indexed="64"/>
      </right>
      <top style="thin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auto="1"/>
      </right>
      <top/>
      <bottom style="thin">
        <color indexed="64"/>
      </bottom>
      <diagonal/>
    </border>
    <border>
      <left style="dotted">
        <color indexed="64"/>
      </left>
      <right/>
      <top style="dotted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indexed="64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 style="dotted">
        <color indexed="64"/>
      </left>
      <right/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/>
      <right style="dotted">
        <color indexed="64"/>
      </right>
      <top style="dotted">
        <color auto="1"/>
      </top>
      <bottom/>
      <diagonal/>
    </border>
    <border>
      <left style="thin">
        <color indexed="64"/>
      </left>
      <right/>
      <top style="dotted">
        <color auto="1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thin">
        <color indexed="64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indexed="64"/>
      </top>
      <bottom style="dotted">
        <color auto="1"/>
      </bottom>
      <diagonal/>
    </border>
    <border>
      <left/>
      <right style="dotted">
        <color auto="1"/>
      </right>
      <top style="thin">
        <color indexed="64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tted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5" fillId="0" borderId="0"/>
    <xf numFmtId="9" fontId="1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2" fillId="4" borderId="0" xfId="0" applyFont="1" applyFill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top" wrapText="1"/>
    </xf>
    <xf numFmtId="0" fontId="2" fillId="2" borderId="7" xfId="0" applyFont="1" applyFill="1" applyBorder="1" applyAlignment="1">
      <alignment horizontal="center" vertical="center"/>
    </xf>
    <xf numFmtId="165" fontId="4" fillId="4" borderId="0" xfId="1" applyNumberFormat="1" applyFont="1" applyFill="1" applyBorder="1" applyAlignment="1">
      <alignment horizontal="center" vertical="center"/>
    </xf>
    <xf numFmtId="2" fontId="4" fillId="4" borderId="6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top" wrapText="1"/>
    </xf>
    <xf numFmtId="165" fontId="4" fillId="4" borderId="0" xfId="1" applyNumberFormat="1" applyFont="1" applyFill="1" applyBorder="1" applyAlignment="1">
      <alignment horizontal="right" vertical="center" indent="1"/>
    </xf>
    <xf numFmtId="165" fontId="4" fillId="4" borderId="1" xfId="1" applyNumberFormat="1" applyFont="1" applyFill="1" applyBorder="1" applyAlignment="1">
      <alignment horizontal="right" vertical="center" indent="1"/>
    </xf>
    <xf numFmtId="0" fontId="2" fillId="2" borderId="1" xfId="0" applyFont="1" applyFill="1" applyBorder="1" applyAlignment="1">
      <alignment horizontal="center" vertical="center" wrapText="1"/>
    </xf>
    <xf numFmtId="164" fontId="4" fillId="4" borderId="3" xfId="1" applyNumberFormat="1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164" fontId="4" fillId="4" borderId="8" xfId="1" applyNumberFormat="1" applyFont="1" applyFill="1" applyBorder="1" applyAlignment="1">
      <alignment horizontal="center" vertical="center"/>
    </xf>
    <xf numFmtId="164" fontId="4" fillId="4" borderId="10" xfId="1" applyNumberFormat="1" applyFont="1" applyFill="1" applyBorder="1" applyAlignment="1">
      <alignment horizontal="center" vertical="center"/>
    </xf>
    <xf numFmtId="164" fontId="4" fillId="4" borderId="9" xfId="1" applyNumberFormat="1" applyFont="1" applyFill="1" applyBorder="1" applyAlignment="1">
      <alignment horizontal="center" vertical="center"/>
    </xf>
    <xf numFmtId="4" fontId="2" fillId="4" borderId="0" xfId="0" applyNumberFormat="1" applyFont="1" applyFill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65" fontId="4" fillId="4" borderId="3" xfId="1" applyNumberFormat="1" applyFont="1" applyFill="1" applyBorder="1" applyAlignment="1">
      <alignment horizontal="right" vertical="center" indent="1"/>
    </xf>
    <xf numFmtId="165" fontId="4" fillId="4" borderId="3" xfId="1" applyNumberFormat="1" applyFont="1" applyFill="1" applyBorder="1" applyAlignment="1">
      <alignment horizontal="center" vertical="center"/>
    </xf>
    <xf numFmtId="2" fontId="4" fillId="4" borderId="5" xfId="1" applyNumberFormat="1" applyFont="1" applyFill="1" applyBorder="1" applyAlignment="1">
      <alignment horizontal="center" vertical="center"/>
    </xf>
    <xf numFmtId="2" fontId="4" fillId="4" borderId="7" xfId="1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2" fontId="5" fillId="3" borderId="7" xfId="0" applyNumberFormat="1" applyFont="1" applyFill="1" applyBorder="1" applyAlignment="1">
      <alignment horizontal="center" vertical="center"/>
    </xf>
    <xf numFmtId="165" fontId="5" fillId="3" borderId="9" xfId="0" applyNumberFormat="1" applyFont="1" applyFill="1" applyBorder="1" applyAlignment="1">
      <alignment horizontal="center" vertical="center"/>
    </xf>
    <xf numFmtId="0" fontId="1" fillId="4" borderId="0" xfId="2" applyFill="1"/>
    <xf numFmtId="0" fontId="7" fillId="4" borderId="0" xfId="2" applyFont="1" applyFill="1"/>
    <xf numFmtId="0" fontId="8" fillId="4" borderId="0" xfId="2" applyFont="1" applyFill="1" applyAlignment="1">
      <alignment horizontal="right" vertical="center" indent="1"/>
    </xf>
    <xf numFmtId="0" fontId="11" fillId="7" borderId="21" xfId="3" applyFont="1" applyFill="1" applyBorder="1" applyAlignment="1">
      <alignment horizontal="center" vertical="center" wrapText="1" readingOrder="2"/>
    </xf>
    <xf numFmtId="0" fontId="17" fillId="7" borderId="21" xfId="3" applyFont="1" applyFill="1" applyBorder="1" applyAlignment="1">
      <alignment horizontal="center" vertical="center" wrapText="1" readingOrder="2"/>
    </xf>
    <xf numFmtId="0" fontId="11" fillId="7" borderId="1" xfId="3" applyFont="1" applyFill="1" applyBorder="1" applyAlignment="1">
      <alignment horizontal="center" vertical="center" wrapText="1" readingOrder="2"/>
    </xf>
    <xf numFmtId="0" fontId="17" fillId="7" borderId="1" xfId="3" applyFont="1" applyFill="1" applyBorder="1" applyAlignment="1">
      <alignment horizontal="center" vertical="center" wrapText="1" readingOrder="2"/>
    </xf>
    <xf numFmtId="0" fontId="17" fillId="7" borderId="25" xfId="3" applyFont="1" applyFill="1" applyBorder="1" applyAlignment="1">
      <alignment horizontal="center" vertical="center" wrapText="1" readingOrder="2"/>
    </xf>
    <xf numFmtId="3" fontId="12" fillId="5" borderId="26" xfId="3" applyNumberFormat="1" applyFont="1" applyFill="1" applyBorder="1" applyAlignment="1">
      <alignment horizontal="center" vertical="center" wrapText="1"/>
    </xf>
    <xf numFmtId="0" fontId="13" fillId="8" borderId="24" xfId="3" applyFont="1" applyFill="1" applyBorder="1" applyAlignment="1">
      <alignment horizontal="center" vertical="center" wrapText="1" readingOrder="2"/>
    </xf>
    <xf numFmtId="0" fontId="17" fillId="7" borderId="27" xfId="3" applyFont="1" applyFill="1" applyBorder="1" applyAlignment="1">
      <alignment horizontal="center" vertical="center" wrapText="1" readingOrder="2"/>
    </xf>
    <xf numFmtId="0" fontId="16" fillId="7" borderId="28" xfId="4" applyFont="1" applyFill="1" applyBorder="1" applyAlignment="1">
      <alignment horizontal="center" vertical="top" wrapText="1"/>
    </xf>
    <xf numFmtId="0" fontId="16" fillId="7" borderId="29" xfId="4" applyFont="1" applyFill="1" applyBorder="1" applyAlignment="1">
      <alignment horizontal="center" vertical="top" wrapText="1"/>
    </xf>
    <xf numFmtId="9" fontId="18" fillId="4" borderId="15" xfId="5" applyFont="1" applyFill="1" applyBorder="1" applyAlignment="1">
      <alignment horizontal="center" vertical="center" readingOrder="1"/>
    </xf>
    <xf numFmtId="0" fontId="19" fillId="4" borderId="30" xfId="3" applyFont="1" applyFill="1" applyBorder="1" applyAlignment="1">
      <alignment horizontal="center" vertical="center" readingOrder="2"/>
    </xf>
    <xf numFmtId="166" fontId="20" fillId="4" borderId="31" xfId="3" applyNumberFormat="1" applyFont="1" applyFill="1" applyBorder="1" applyAlignment="1">
      <alignment horizontal="right" vertical="center" indent="1" readingOrder="2"/>
    </xf>
    <xf numFmtId="9" fontId="21" fillId="9" borderId="32" xfId="5" applyFont="1" applyFill="1" applyBorder="1" applyAlignment="1">
      <alignment horizontal="center" vertical="center" readingOrder="1"/>
    </xf>
    <xf numFmtId="9" fontId="21" fillId="9" borderId="31" xfId="5" applyFont="1" applyFill="1" applyBorder="1" applyAlignment="1">
      <alignment horizontal="center" vertical="center" readingOrder="1"/>
    </xf>
    <xf numFmtId="3" fontId="22" fillId="10" borderId="33" xfId="3" applyNumberFormat="1" applyFont="1" applyFill="1" applyBorder="1" applyAlignment="1">
      <alignment horizontal="right" vertical="center" indent="2" readingOrder="2"/>
    </xf>
    <xf numFmtId="3" fontId="20" fillId="4" borderId="31" xfId="3" applyNumberFormat="1" applyFont="1" applyFill="1" applyBorder="1" applyAlignment="1">
      <alignment horizontal="right" vertical="center" indent="1" readingOrder="2"/>
    </xf>
    <xf numFmtId="3" fontId="23" fillId="4" borderId="32" xfId="3" applyNumberFormat="1" applyFont="1" applyFill="1" applyBorder="1" applyAlignment="1">
      <alignment horizontal="center" vertical="center" readingOrder="2"/>
    </xf>
    <xf numFmtId="9" fontId="21" fillId="9" borderId="34" xfId="5" applyFont="1" applyFill="1" applyBorder="1" applyAlignment="1">
      <alignment horizontal="center" vertical="center" readingOrder="1"/>
    </xf>
    <xf numFmtId="3" fontId="22" fillId="8" borderId="33" xfId="3" applyNumberFormat="1" applyFont="1" applyFill="1" applyBorder="1" applyAlignment="1">
      <alignment horizontal="right" vertical="center" indent="1" readingOrder="2"/>
    </xf>
    <xf numFmtId="3" fontId="24" fillId="4" borderId="35" xfId="3" applyNumberFormat="1" applyFont="1" applyFill="1" applyBorder="1" applyAlignment="1">
      <alignment horizontal="right" vertical="center" indent="1" readingOrder="2"/>
    </xf>
    <xf numFmtId="3" fontId="24" fillId="4" borderId="31" xfId="3" applyNumberFormat="1" applyFont="1" applyFill="1" applyBorder="1" applyAlignment="1">
      <alignment horizontal="right" vertical="center" indent="1" readingOrder="2"/>
    </xf>
    <xf numFmtId="9" fontId="26" fillId="4" borderId="33" xfId="6" applyFont="1" applyFill="1" applyBorder="1" applyAlignment="1">
      <alignment horizontal="center" vertical="center"/>
    </xf>
    <xf numFmtId="4" fontId="27" fillId="4" borderId="31" xfId="3" applyNumberFormat="1" applyFont="1" applyFill="1" applyBorder="1" applyAlignment="1">
      <alignment horizontal="center" vertical="center" shrinkToFit="1"/>
    </xf>
    <xf numFmtId="3" fontId="28" fillId="4" borderId="31" xfId="3" applyNumberFormat="1" applyFont="1" applyFill="1" applyBorder="1" applyAlignment="1">
      <alignment horizontal="right" vertical="center" indent="1" shrinkToFit="1"/>
    </xf>
    <xf numFmtId="4" fontId="27" fillId="4" borderId="0" xfId="3" applyNumberFormat="1" applyFont="1" applyFill="1" applyAlignment="1">
      <alignment horizontal="center" vertical="center" shrinkToFit="1"/>
    </xf>
    <xf numFmtId="0" fontId="19" fillId="4" borderId="6" xfId="3" applyFont="1" applyFill="1" applyBorder="1" applyAlignment="1">
      <alignment horizontal="center" vertical="center" readingOrder="2"/>
    </xf>
    <xf numFmtId="166" fontId="20" fillId="4" borderId="0" xfId="3" applyNumberFormat="1" applyFont="1" applyFill="1" applyAlignment="1">
      <alignment horizontal="right" vertical="center" indent="1" readingOrder="2"/>
    </xf>
    <xf numFmtId="166" fontId="30" fillId="4" borderId="0" xfId="3" applyNumberFormat="1" applyFont="1" applyFill="1" applyAlignment="1">
      <alignment horizontal="right" vertical="center" indent="1" readingOrder="2"/>
    </xf>
    <xf numFmtId="3" fontId="30" fillId="4" borderId="0" xfId="3" applyNumberFormat="1" applyFont="1" applyFill="1" applyAlignment="1">
      <alignment horizontal="right" vertical="center" indent="1" readingOrder="2"/>
    </xf>
    <xf numFmtId="9" fontId="21" fillId="4" borderId="36" xfId="5" applyFont="1" applyFill="1" applyBorder="1" applyAlignment="1">
      <alignment horizontal="center" vertical="center" readingOrder="1"/>
    </xf>
    <xf numFmtId="9" fontId="21" fillId="4" borderId="0" xfId="5" applyFont="1" applyFill="1" applyBorder="1" applyAlignment="1">
      <alignment horizontal="center" vertical="center" readingOrder="1"/>
    </xf>
    <xf numFmtId="3" fontId="22" fillId="10" borderId="37" xfId="3" applyNumberFormat="1" applyFont="1" applyFill="1" applyBorder="1" applyAlignment="1">
      <alignment horizontal="right" vertical="center" indent="2" readingOrder="2"/>
    </xf>
    <xf numFmtId="3" fontId="20" fillId="4" borderId="0" xfId="3" applyNumberFormat="1" applyFont="1" applyFill="1" applyAlignment="1">
      <alignment horizontal="right" vertical="center" indent="1" readingOrder="2"/>
    </xf>
    <xf numFmtId="166" fontId="23" fillId="4" borderId="36" xfId="3" applyNumberFormat="1" applyFont="1" applyFill="1" applyBorder="1" applyAlignment="1">
      <alignment horizontal="center" vertical="center" readingOrder="2"/>
    </xf>
    <xf numFmtId="9" fontId="21" fillId="4" borderId="38" xfId="5" applyFont="1" applyFill="1" applyBorder="1" applyAlignment="1">
      <alignment horizontal="center" vertical="center" readingOrder="1"/>
    </xf>
    <xf numFmtId="3" fontId="22" fillId="8" borderId="37" xfId="3" applyNumberFormat="1" applyFont="1" applyFill="1" applyBorder="1" applyAlignment="1">
      <alignment horizontal="right" vertical="center" indent="1" readingOrder="2"/>
    </xf>
    <xf numFmtId="3" fontId="24" fillId="4" borderId="10" xfId="3" applyNumberFormat="1" applyFont="1" applyFill="1" applyBorder="1" applyAlignment="1">
      <alignment horizontal="right" vertical="center" indent="1" readingOrder="2"/>
    </xf>
    <xf numFmtId="3" fontId="24" fillId="4" borderId="0" xfId="3" applyNumberFormat="1" applyFont="1" applyFill="1" applyAlignment="1">
      <alignment horizontal="right" vertical="center" indent="1" readingOrder="2"/>
    </xf>
    <xf numFmtId="9" fontId="26" fillId="4" borderId="37" xfId="6" applyFont="1" applyFill="1" applyBorder="1" applyAlignment="1">
      <alignment horizontal="center" vertical="center"/>
    </xf>
    <xf numFmtId="3" fontId="28" fillId="4" borderId="0" xfId="3" applyNumberFormat="1" applyFont="1" applyFill="1" applyAlignment="1">
      <alignment horizontal="right" vertical="center" indent="1" shrinkToFit="1"/>
    </xf>
    <xf numFmtId="0" fontId="19" fillId="4" borderId="39" xfId="3" applyFont="1" applyFill="1" applyBorder="1" applyAlignment="1">
      <alignment horizontal="center" vertical="center" readingOrder="2"/>
    </xf>
    <xf numFmtId="166" fontId="20" fillId="4" borderId="40" xfId="3" applyNumberFormat="1" applyFont="1" applyFill="1" applyBorder="1" applyAlignment="1">
      <alignment horizontal="right" vertical="center" indent="1" readingOrder="2"/>
    </xf>
    <xf numFmtId="166" fontId="30" fillId="4" borderId="40" xfId="3" applyNumberFormat="1" applyFont="1" applyFill="1" applyBorder="1" applyAlignment="1">
      <alignment horizontal="right" vertical="center" indent="1" readingOrder="2"/>
    </xf>
    <xf numFmtId="3" fontId="30" fillId="4" borderId="40" xfId="3" applyNumberFormat="1" applyFont="1" applyFill="1" applyBorder="1" applyAlignment="1">
      <alignment horizontal="right" vertical="center" indent="1" readingOrder="2"/>
    </xf>
    <xf numFmtId="9" fontId="21" fillId="4" borderId="41" xfId="5" applyFont="1" applyFill="1" applyBorder="1" applyAlignment="1">
      <alignment horizontal="center" vertical="center" readingOrder="1"/>
    </xf>
    <xf numFmtId="9" fontId="21" fillId="4" borderId="40" xfId="5" applyFont="1" applyFill="1" applyBorder="1" applyAlignment="1">
      <alignment horizontal="center" vertical="center" readingOrder="1"/>
    </xf>
    <xf numFmtId="3" fontId="22" fillId="10" borderId="42" xfId="3" applyNumberFormat="1" applyFont="1" applyFill="1" applyBorder="1" applyAlignment="1">
      <alignment horizontal="right" vertical="center" indent="2" readingOrder="2"/>
    </xf>
    <xf numFmtId="3" fontId="20" fillId="4" borderId="40" xfId="3" applyNumberFormat="1" applyFont="1" applyFill="1" applyBorder="1" applyAlignment="1">
      <alignment horizontal="right" vertical="center" indent="1" readingOrder="2"/>
    </xf>
    <xf numFmtId="166" fontId="23" fillId="4" borderId="41" xfId="3" applyNumberFormat="1" applyFont="1" applyFill="1" applyBorder="1" applyAlignment="1">
      <alignment horizontal="center" vertical="center" readingOrder="2"/>
    </xf>
    <xf numFmtId="9" fontId="21" fillId="4" borderId="43" xfId="5" applyFont="1" applyFill="1" applyBorder="1" applyAlignment="1">
      <alignment horizontal="center" vertical="center" readingOrder="1"/>
    </xf>
    <xf numFmtId="3" fontId="22" fillId="8" borderId="42" xfId="3" applyNumberFormat="1" applyFont="1" applyFill="1" applyBorder="1" applyAlignment="1">
      <alignment horizontal="right" vertical="center" indent="1" readingOrder="2"/>
    </xf>
    <xf numFmtId="3" fontId="24" fillId="4" borderId="44" xfId="3" applyNumberFormat="1" applyFont="1" applyFill="1" applyBorder="1" applyAlignment="1">
      <alignment horizontal="right" vertical="center" indent="1" readingOrder="2"/>
    </xf>
    <xf numFmtId="3" fontId="24" fillId="4" borderId="40" xfId="3" applyNumberFormat="1" applyFont="1" applyFill="1" applyBorder="1" applyAlignment="1">
      <alignment horizontal="right" vertical="center" indent="1" readingOrder="2"/>
    </xf>
    <xf numFmtId="9" fontId="26" fillId="4" borderId="42" xfId="6" applyFont="1" applyFill="1" applyBorder="1" applyAlignment="1">
      <alignment horizontal="center" vertical="center"/>
    </xf>
    <xf numFmtId="4" fontId="27" fillId="4" borderId="40" xfId="3" applyNumberFormat="1" applyFont="1" applyFill="1" applyBorder="1" applyAlignment="1">
      <alignment horizontal="center" vertical="center" shrinkToFit="1"/>
    </xf>
    <xf numFmtId="3" fontId="28" fillId="4" borderId="40" xfId="3" applyNumberFormat="1" applyFont="1" applyFill="1" applyBorder="1" applyAlignment="1">
      <alignment horizontal="right" vertical="center" indent="1" shrinkToFit="1"/>
    </xf>
    <xf numFmtId="166" fontId="30" fillId="4" borderId="31" xfId="3" applyNumberFormat="1" applyFont="1" applyFill="1" applyBorder="1" applyAlignment="1">
      <alignment horizontal="right" vertical="center" indent="1" readingOrder="2"/>
    </xf>
    <xf numFmtId="3" fontId="30" fillId="4" borderId="31" xfId="3" applyNumberFormat="1" applyFont="1" applyFill="1" applyBorder="1" applyAlignment="1">
      <alignment horizontal="right" vertical="center" indent="1" readingOrder="2"/>
    </xf>
    <xf numFmtId="9" fontId="21" fillId="4" borderId="32" xfId="5" applyFont="1" applyFill="1" applyBorder="1" applyAlignment="1">
      <alignment horizontal="center" vertical="center" readingOrder="1"/>
    </xf>
    <xf numFmtId="9" fontId="21" fillId="4" borderId="31" xfId="5" applyFont="1" applyFill="1" applyBorder="1" applyAlignment="1">
      <alignment horizontal="center" vertical="center" readingOrder="1"/>
    </xf>
    <xf numFmtId="166" fontId="23" fillId="4" borderId="32" xfId="3" applyNumberFormat="1" applyFont="1" applyFill="1" applyBorder="1" applyAlignment="1">
      <alignment horizontal="center" vertical="center" readingOrder="2"/>
    </xf>
    <xf numFmtId="9" fontId="21" fillId="4" borderId="34" xfId="5" applyFont="1" applyFill="1" applyBorder="1" applyAlignment="1">
      <alignment horizontal="center" vertical="center" readingOrder="1"/>
    </xf>
    <xf numFmtId="0" fontId="19" fillId="4" borderId="45" xfId="3" applyFont="1" applyFill="1" applyBorder="1" applyAlignment="1">
      <alignment horizontal="center" vertical="center" readingOrder="2"/>
    </xf>
    <xf numFmtId="166" fontId="20" fillId="4" borderId="46" xfId="3" applyNumberFormat="1" applyFont="1" applyFill="1" applyBorder="1" applyAlignment="1">
      <alignment horizontal="right" vertical="center" indent="1" readingOrder="2"/>
    </xf>
    <xf numFmtId="166" fontId="30" fillId="4" borderId="46" xfId="3" applyNumberFormat="1" applyFont="1" applyFill="1" applyBorder="1" applyAlignment="1">
      <alignment horizontal="right" vertical="center" indent="1" readingOrder="2"/>
    </xf>
    <xf numFmtId="3" fontId="30" fillId="4" borderId="46" xfId="3" applyNumberFormat="1" applyFont="1" applyFill="1" applyBorder="1" applyAlignment="1">
      <alignment horizontal="right" vertical="center" indent="1" readingOrder="2"/>
    </xf>
    <xf numFmtId="9" fontId="21" fillId="4" borderId="47" xfId="5" applyFont="1" applyFill="1" applyBorder="1" applyAlignment="1">
      <alignment horizontal="center" vertical="center" readingOrder="1"/>
    </xf>
    <xf numFmtId="9" fontId="21" fillId="4" borderId="46" xfId="5" applyFont="1" applyFill="1" applyBorder="1" applyAlignment="1">
      <alignment horizontal="center" vertical="center" readingOrder="1"/>
    </xf>
    <xf numFmtId="3" fontId="22" fillId="10" borderId="48" xfId="3" applyNumberFormat="1" applyFont="1" applyFill="1" applyBorder="1" applyAlignment="1">
      <alignment horizontal="right" vertical="center" indent="2" readingOrder="2"/>
    </xf>
    <xf numFmtId="3" fontId="20" fillId="4" borderId="46" xfId="3" applyNumberFormat="1" applyFont="1" applyFill="1" applyBorder="1" applyAlignment="1">
      <alignment horizontal="right" vertical="center" indent="1" readingOrder="2"/>
    </xf>
    <xf numFmtId="166" fontId="23" fillId="4" borderId="47" xfId="3" applyNumberFormat="1" applyFont="1" applyFill="1" applyBorder="1" applyAlignment="1">
      <alignment horizontal="center" vertical="center" readingOrder="2"/>
    </xf>
    <xf numFmtId="9" fontId="21" fillId="4" borderId="49" xfId="5" applyFont="1" applyFill="1" applyBorder="1" applyAlignment="1">
      <alignment horizontal="center" vertical="center" readingOrder="1"/>
    </xf>
    <xf numFmtId="3" fontId="22" fillId="8" borderId="48" xfId="3" applyNumberFormat="1" applyFont="1" applyFill="1" applyBorder="1" applyAlignment="1">
      <alignment horizontal="right" vertical="center" indent="1" readingOrder="2"/>
    </xf>
    <xf numFmtId="3" fontId="24" fillId="4" borderId="50" xfId="3" applyNumberFormat="1" applyFont="1" applyFill="1" applyBorder="1" applyAlignment="1">
      <alignment horizontal="right" vertical="center" indent="1" readingOrder="2"/>
    </xf>
    <xf numFmtId="3" fontId="24" fillId="4" borderId="46" xfId="3" applyNumberFormat="1" applyFont="1" applyFill="1" applyBorder="1" applyAlignment="1">
      <alignment horizontal="right" vertical="center" indent="1" readingOrder="2"/>
    </xf>
    <xf numFmtId="9" fontId="26" fillId="4" borderId="48" xfId="6" applyFont="1" applyFill="1" applyBorder="1" applyAlignment="1">
      <alignment horizontal="center" vertical="center"/>
    </xf>
    <xf numFmtId="4" fontId="27" fillId="4" borderId="46" xfId="3" applyNumberFormat="1" applyFont="1" applyFill="1" applyBorder="1" applyAlignment="1">
      <alignment horizontal="center" vertical="center" shrinkToFit="1"/>
    </xf>
    <xf numFmtId="3" fontId="28" fillId="4" borderId="46" xfId="3" applyNumberFormat="1" applyFont="1" applyFill="1" applyBorder="1" applyAlignment="1">
      <alignment horizontal="right" vertical="center" indent="1" shrinkToFit="1"/>
    </xf>
    <xf numFmtId="0" fontId="19" fillId="11" borderId="4" xfId="3" applyFont="1" applyFill="1" applyBorder="1" applyAlignment="1">
      <alignment horizontal="center" vertical="center" readingOrder="2"/>
    </xf>
    <xf numFmtId="3" fontId="31" fillId="11" borderId="2" xfId="3" applyNumberFormat="1" applyFont="1" applyFill="1" applyBorder="1" applyAlignment="1">
      <alignment horizontal="center" vertical="center" shrinkToFit="1" readingOrder="2"/>
    </xf>
    <xf numFmtId="3" fontId="30" fillId="11" borderId="2" xfId="3" applyNumberFormat="1" applyFont="1" applyFill="1" applyBorder="1" applyAlignment="1">
      <alignment horizontal="center" vertical="center" shrinkToFit="1" readingOrder="2"/>
    </xf>
    <xf numFmtId="3" fontId="30" fillId="11" borderId="51" xfId="3" applyNumberFormat="1" applyFont="1" applyFill="1" applyBorder="1" applyAlignment="1">
      <alignment horizontal="center" vertical="center" shrinkToFit="1" readingOrder="2"/>
    </xf>
    <xf numFmtId="3" fontId="32" fillId="10" borderId="52" xfId="3" applyNumberFormat="1" applyFont="1" applyFill="1" applyBorder="1" applyAlignment="1">
      <alignment horizontal="center" vertical="center" readingOrder="2"/>
    </xf>
    <xf numFmtId="3" fontId="23" fillId="11" borderId="51" xfId="3" applyNumberFormat="1" applyFont="1" applyFill="1" applyBorder="1" applyAlignment="1">
      <alignment horizontal="center" vertical="center" shrinkToFit="1" readingOrder="2"/>
    </xf>
    <xf numFmtId="3" fontId="30" fillId="11" borderId="53" xfId="3" applyNumberFormat="1" applyFont="1" applyFill="1" applyBorder="1" applyAlignment="1">
      <alignment horizontal="center" vertical="center" shrinkToFit="1" readingOrder="2"/>
    </xf>
    <xf numFmtId="3" fontId="32" fillId="8" borderId="52" xfId="3" applyNumberFormat="1" applyFont="1" applyFill="1" applyBorder="1" applyAlignment="1">
      <alignment horizontal="center" vertical="center" readingOrder="2"/>
    </xf>
    <xf numFmtId="3" fontId="33" fillId="11" borderId="11" xfId="3" applyNumberFormat="1" applyFont="1" applyFill="1" applyBorder="1" applyAlignment="1">
      <alignment horizontal="right" vertical="center" indent="1" readingOrder="2"/>
    </xf>
    <xf numFmtId="3" fontId="33" fillId="11" borderId="2" xfId="3" applyNumberFormat="1" applyFont="1" applyFill="1" applyBorder="1" applyAlignment="1">
      <alignment horizontal="right" vertical="center" indent="1" readingOrder="2"/>
    </xf>
    <xf numFmtId="9" fontId="26" fillId="11" borderId="52" xfId="6" applyFont="1" applyFill="1" applyBorder="1" applyAlignment="1">
      <alignment horizontal="center" vertical="center"/>
    </xf>
    <xf numFmtId="4" fontId="27" fillId="11" borderId="2" xfId="3" applyNumberFormat="1" applyFont="1" applyFill="1" applyBorder="1" applyAlignment="1">
      <alignment horizontal="center" vertical="center" shrinkToFit="1"/>
    </xf>
    <xf numFmtId="3" fontId="29" fillId="11" borderId="2" xfId="3" applyNumberFormat="1" applyFont="1" applyFill="1" applyBorder="1" applyAlignment="1">
      <alignment horizontal="center" vertical="center" shrinkToFit="1"/>
    </xf>
    <xf numFmtId="3" fontId="36" fillId="4" borderId="31" xfId="3" applyNumberFormat="1" applyFont="1" applyFill="1" applyBorder="1" applyAlignment="1">
      <alignment horizontal="right" vertical="center" indent="1" readingOrder="2"/>
    </xf>
    <xf numFmtId="3" fontId="36" fillId="4" borderId="0" xfId="3" applyNumberFormat="1" applyFont="1" applyFill="1" applyAlignment="1">
      <alignment horizontal="right" vertical="center" indent="1" readingOrder="2"/>
    </xf>
    <xf numFmtId="3" fontId="36" fillId="4" borderId="40" xfId="3" applyNumberFormat="1" applyFont="1" applyFill="1" applyBorder="1" applyAlignment="1">
      <alignment horizontal="right" vertical="center" indent="1" readingOrder="2"/>
    </xf>
    <xf numFmtId="3" fontId="36" fillId="4" borderId="46" xfId="3" applyNumberFormat="1" applyFont="1" applyFill="1" applyBorder="1" applyAlignment="1">
      <alignment horizontal="right" vertical="center" indent="1" readingOrder="2"/>
    </xf>
    <xf numFmtId="43" fontId="5" fillId="3" borderId="7" xfId="0" applyNumberFormat="1" applyFont="1" applyFill="1" applyBorder="1" applyAlignment="1">
      <alignment horizontal="center" vertical="center"/>
    </xf>
    <xf numFmtId="0" fontId="19" fillId="4" borderId="7" xfId="3" applyFont="1" applyFill="1" applyBorder="1" applyAlignment="1">
      <alignment horizontal="center" vertical="center" readingOrder="2"/>
    </xf>
    <xf numFmtId="3" fontId="20" fillId="4" borderId="21" xfId="3" applyNumberFormat="1" applyFont="1" applyFill="1" applyBorder="1" applyAlignment="1">
      <alignment horizontal="right" vertical="center" indent="1" readingOrder="2"/>
    </xf>
    <xf numFmtId="166" fontId="30" fillId="4" borderId="21" xfId="3" applyNumberFormat="1" applyFont="1" applyFill="1" applyBorder="1" applyAlignment="1">
      <alignment horizontal="right" vertical="center" indent="1" readingOrder="2"/>
    </xf>
    <xf numFmtId="166" fontId="36" fillId="4" borderId="21" xfId="3" applyNumberFormat="1" applyFont="1" applyFill="1" applyBorder="1" applyAlignment="1">
      <alignment horizontal="right" vertical="center" indent="1" readingOrder="2"/>
    </xf>
    <xf numFmtId="9" fontId="21" fillId="4" borderId="25" xfId="5" applyFont="1" applyFill="1" applyBorder="1" applyAlignment="1">
      <alignment horizontal="center" vertical="center" readingOrder="1"/>
    </xf>
    <xf numFmtId="9" fontId="21" fillId="4" borderId="21" xfId="5" applyFont="1" applyFill="1" applyBorder="1" applyAlignment="1">
      <alignment horizontal="center" vertical="center" readingOrder="1"/>
    </xf>
    <xf numFmtId="3" fontId="22" fillId="10" borderId="54" xfId="3" applyNumberFormat="1" applyFont="1" applyFill="1" applyBorder="1" applyAlignment="1">
      <alignment horizontal="right" vertical="center" indent="2" readingOrder="2"/>
    </xf>
    <xf numFmtId="3" fontId="24" fillId="4" borderId="27" xfId="3" applyNumberFormat="1" applyFont="1" applyFill="1" applyBorder="1" applyAlignment="1">
      <alignment horizontal="right" vertical="center" indent="1" readingOrder="2"/>
    </xf>
    <xf numFmtId="3" fontId="24" fillId="4" borderId="21" xfId="3" applyNumberFormat="1" applyFont="1" applyFill="1" applyBorder="1" applyAlignment="1">
      <alignment horizontal="right" vertical="center" indent="1" readingOrder="2"/>
    </xf>
    <xf numFmtId="166" fontId="23" fillId="4" borderId="25" xfId="3" applyNumberFormat="1" applyFont="1" applyFill="1" applyBorder="1" applyAlignment="1">
      <alignment horizontal="center" vertical="center" readingOrder="2"/>
    </xf>
    <xf numFmtId="9" fontId="21" fillId="4" borderId="26" xfId="5" applyFont="1" applyFill="1" applyBorder="1" applyAlignment="1">
      <alignment horizontal="center" vertical="center" readingOrder="1"/>
    </xf>
    <xf numFmtId="3" fontId="22" fillId="8" borderId="54" xfId="3" applyNumberFormat="1" applyFont="1" applyFill="1" applyBorder="1" applyAlignment="1">
      <alignment horizontal="right" vertical="center" indent="1" readingOrder="2"/>
    </xf>
    <xf numFmtId="4" fontId="27" fillId="4" borderId="21" xfId="3" applyNumberFormat="1" applyFont="1" applyFill="1" applyBorder="1" applyAlignment="1">
      <alignment horizontal="center" vertical="center" shrinkToFit="1"/>
    </xf>
    <xf numFmtId="3" fontId="28" fillId="4" borderId="21" xfId="3" applyNumberFormat="1" applyFont="1" applyFill="1" applyBorder="1" applyAlignment="1">
      <alignment horizontal="right" vertical="center" indent="1" shrinkToFit="1"/>
    </xf>
    <xf numFmtId="0" fontId="19" fillId="4" borderId="5" xfId="3" applyFont="1" applyFill="1" applyBorder="1" applyAlignment="1">
      <alignment horizontal="center" vertical="center" readingOrder="2"/>
    </xf>
    <xf numFmtId="3" fontId="20" fillId="4" borderId="15" xfId="3" applyNumberFormat="1" applyFont="1" applyFill="1" applyBorder="1" applyAlignment="1">
      <alignment horizontal="right" vertical="center" indent="1" readingOrder="2"/>
    </xf>
    <xf numFmtId="166" fontId="30" fillId="4" borderId="15" xfId="3" applyNumberFormat="1" applyFont="1" applyFill="1" applyBorder="1" applyAlignment="1">
      <alignment horizontal="right" vertical="center" indent="1" readingOrder="2"/>
    </xf>
    <xf numFmtId="3" fontId="30" fillId="4" borderId="15" xfId="3" applyNumberFormat="1" applyFont="1" applyFill="1" applyBorder="1" applyAlignment="1">
      <alignment horizontal="right" vertical="center" indent="1" readingOrder="2"/>
    </xf>
    <xf numFmtId="166" fontId="36" fillId="4" borderId="15" xfId="3" applyNumberFormat="1" applyFont="1" applyFill="1" applyBorder="1" applyAlignment="1">
      <alignment horizontal="right" vertical="center" indent="1" readingOrder="2"/>
    </xf>
    <xf numFmtId="9" fontId="21" fillId="4" borderId="55" xfId="5" applyFont="1" applyFill="1" applyBorder="1" applyAlignment="1">
      <alignment horizontal="center" vertical="center" readingOrder="1"/>
    </xf>
    <xf numFmtId="9" fontId="21" fillId="4" borderId="15" xfId="5" applyFont="1" applyFill="1" applyBorder="1" applyAlignment="1">
      <alignment horizontal="center" vertical="center" readingOrder="1"/>
    </xf>
    <xf numFmtId="3" fontId="22" fillId="10" borderId="56" xfId="3" applyNumberFormat="1" applyFont="1" applyFill="1" applyBorder="1" applyAlignment="1">
      <alignment horizontal="right" vertical="center" indent="2" readingOrder="2"/>
    </xf>
    <xf numFmtId="3" fontId="24" fillId="4" borderId="19" xfId="3" applyNumberFormat="1" applyFont="1" applyFill="1" applyBorder="1" applyAlignment="1">
      <alignment horizontal="right" vertical="center" indent="1" readingOrder="2"/>
    </xf>
    <xf numFmtId="3" fontId="24" fillId="4" borderId="15" xfId="3" applyNumberFormat="1" applyFont="1" applyFill="1" applyBorder="1" applyAlignment="1">
      <alignment horizontal="right" vertical="center" indent="1" readingOrder="2"/>
    </xf>
    <xf numFmtId="166" fontId="23" fillId="4" borderId="55" xfId="3" applyNumberFormat="1" applyFont="1" applyFill="1" applyBorder="1" applyAlignment="1">
      <alignment horizontal="center" vertical="center" readingOrder="2"/>
    </xf>
    <xf numFmtId="9" fontId="21" fillId="4" borderId="57" xfId="5" applyFont="1" applyFill="1" applyBorder="1" applyAlignment="1">
      <alignment horizontal="center" vertical="center" readingOrder="1"/>
    </xf>
    <xf numFmtId="3" fontId="22" fillId="8" borderId="56" xfId="3" applyNumberFormat="1" applyFont="1" applyFill="1" applyBorder="1" applyAlignment="1">
      <alignment horizontal="right" vertical="center" indent="1" readingOrder="2"/>
    </xf>
    <xf numFmtId="4" fontId="27" fillId="4" borderId="15" xfId="3" applyNumberFormat="1" applyFont="1" applyFill="1" applyBorder="1" applyAlignment="1">
      <alignment horizontal="center" vertical="center" shrinkToFit="1"/>
    </xf>
    <xf numFmtId="3" fontId="28" fillId="4" borderId="15" xfId="3" applyNumberFormat="1" applyFont="1" applyFill="1" applyBorder="1" applyAlignment="1">
      <alignment horizontal="right" vertical="center" indent="1" shrinkToFit="1"/>
    </xf>
    <xf numFmtId="0" fontId="19" fillId="11" borderId="2" xfId="3" applyFont="1" applyFill="1" applyBorder="1" applyAlignment="1">
      <alignment horizontal="center" vertical="center" readingOrder="2"/>
    </xf>
    <xf numFmtId="0" fontId="19" fillId="4" borderId="3" xfId="3" applyFont="1" applyFill="1" applyBorder="1" applyAlignment="1">
      <alignment horizontal="center" vertical="center" readingOrder="2"/>
    </xf>
    <xf numFmtId="0" fontId="19" fillId="4" borderId="1" xfId="3" applyFont="1" applyFill="1" applyBorder="1" applyAlignment="1">
      <alignment horizontal="center" vertical="center" readingOrder="2"/>
    </xf>
    <xf numFmtId="9" fontId="26" fillId="4" borderId="18" xfId="6" applyFont="1" applyFill="1" applyBorder="1" applyAlignment="1">
      <alignment horizontal="center" vertical="center"/>
    </xf>
    <xf numFmtId="9" fontId="26" fillId="4" borderId="54" xfId="6" applyFont="1" applyFill="1" applyBorder="1" applyAlignment="1">
      <alignment horizontal="center" vertical="center"/>
    </xf>
    <xf numFmtId="0" fontId="15" fillId="4" borderId="0" xfId="4" applyFill="1"/>
    <xf numFmtId="0" fontId="1" fillId="4" borderId="0" xfId="2" applyFill="1" applyAlignment="1">
      <alignment shrinkToFit="1"/>
    </xf>
    <xf numFmtId="2" fontId="5" fillId="3" borderId="1" xfId="0" applyNumberFormat="1" applyFont="1" applyFill="1" applyBorder="1" applyAlignment="1">
      <alignment horizontal="center" vertical="center"/>
    </xf>
    <xf numFmtId="9" fontId="1" fillId="4" borderId="1" xfId="7" applyFill="1" applyBorder="1" applyAlignment="1"/>
    <xf numFmtId="9" fontId="3" fillId="4" borderId="58" xfId="7" applyFont="1" applyFill="1" applyBorder="1" applyAlignment="1">
      <alignment horizontal="center" vertical="center"/>
    </xf>
    <xf numFmtId="0" fontId="38" fillId="4" borderId="58" xfId="0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9" fontId="18" fillId="4" borderId="0" xfId="5" applyFont="1" applyFill="1" applyBorder="1" applyAlignment="1">
      <alignment horizontal="center" vertical="center" readingOrder="1"/>
    </xf>
    <xf numFmtId="3" fontId="24" fillId="4" borderId="3" xfId="3" applyNumberFormat="1" applyFont="1" applyFill="1" applyBorder="1" applyAlignment="1">
      <alignment horizontal="right" vertical="center" indent="1" readingOrder="2"/>
    </xf>
    <xf numFmtId="166" fontId="35" fillId="12" borderId="59" xfId="3" applyNumberFormat="1" applyFont="1" applyFill="1" applyBorder="1" applyAlignment="1">
      <alignment horizontal="center" vertical="center" shrinkToFit="1" readingOrder="2"/>
    </xf>
    <xf numFmtId="0" fontId="1" fillId="4" borderId="62" xfId="2" applyFill="1" applyBorder="1" applyAlignment="1">
      <alignment shrinkToFit="1"/>
    </xf>
    <xf numFmtId="167" fontId="34" fillId="4" borderId="62" xfId="0" applyNumberFormat="1" applyFont="1" applyFill="1" applyBorder="1" applyAlignment="1">
      <alignment horizontal="right" vertical="center" indent="1"/>
    </xf>
    <xf numFmtId="9" fontId="18" fillId="4" borderId="63" xfId="5" applyFont="1" applyFill="1" applyBorder="1" applyAlignment="1">
      <alignment horizontal="center" vertical="center" readingOrder="1"/>
    </xf>
    <xf numFmtId="166" fontId="32" fillId="12" borderId="62" xfId="3" applyNumberFormat="1" applyFont="1" applyFill="1" applyBorder="1" applyAlignment="1">
      <alignment horizontal="center" vertical="center" shrinkToFit="1" readingOrder="2"/>
    </xf>
    <xf numFmtId="166" fontId="23" fillId="4" borderId="62" xfId="3" applyNumberFormat="1" applyFont="1" applyFill="1" applyBorder="1" applyAlignment="1">
      <alignment horizontal="center" vertical="center" shrinkToFit="1" readingOrder="2"/>
    </xf>
    <xf numFmtId="166" fontId="35" fillId="12" borderId="62" xfId="3" applyNumberFormat="1" applyFont="1" applyFill="1" applyBorder="1" applyAlignment="1">
      <alignment horizontal="center" vertical="center" shrinkToFit="1" readingOrder="2"/>
    </xf>
    <xf numFmtId="166" fontId="35" fillId="11" borderId="62" xfId="3" applyNumberFormat="1" applyFont="1" applyFill="1" applyBorder="1" applyAlignment="1">
      <alignment horizontal="right" vertical="center" shrinkToFit="1" readingOrder="2"/>
    </xf>
    <xf numFmtId="0" fontId="1" fillId="4" borderId="60" xfId="2" applyFill="1" applyBorder="1"/>
    <xf numFmtId="166" fontId="35" fillId="12" borderId="62" xfId="3" applyNumberFormat="1" applyFont="1" applyFill="1" applyBorder="1" applyAlignment="1">
      <alignment horizontal="center" vertical="center" shrinkToFit="1" readingOrder="2"/>
    </xf>
    <xf numFmtId="0" fontId="6" fillId="4" borderId="0" xfId="0" applyFont="1" applyFill="1" applyBorder="1" applyAlignme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right" vertical="center" indent="1"/>
    </xf>
    <xf numFmtId="0" fontId="6" fillId="4" borderId="1" xfId="0" applyFont="1" applyFill="1" applyBorder="1" applyAlignment="1">
      <alignment horizontal="right" vertical="center" indent="1"/>
    </xf>
    <xf numFmtId="166" fontId="35" fillId="12" borderId="62" xfId="3" applyNumberFormat="1" applyFont="1" applyFill="1" applyBorder="1" applyAlignment="1">
      <alignment horizontal="center" vertical="center" shrinkToFit="1" readingOrder="2"/>
    </xf>
    <xf numFmtId="0" fontId="39" fillId="12" borderId="62" xfId="2" applyFont="1" applyFill="1" applyBorder="1" applyAlignment="1">
      <alignment horizontal="center" vertical="center" shrinkToFit="1"/>
    </xf>
    <xf numFmtId="166" fontId="35" fillId="12" borderId="60" xfId="3" applyNumberFormat="1" applyFont="1" applyFill="1" applyBorder="1" applyAlignment="1">
      <alignment horizontal="center" vertical="center" shrinkToFit="1" readingOrder="2"/>
    </xf>
    <xf numFmtId="166" fontId="35" fillId="12" borderId="61" xfId="3" applyNumberFormat="1" applyFont="1" applyFill="1" applyBorder="1" applyAlignment="1">
      <alignment horizontal="center" vertical="center" shrinkToFit="1" readingOrder="2"/>
    </xf>
    <xf numFmtId="0" fontId="37" fillId="4" borderId="0" xfId="2" applyFont="1" applyFill="1" applyAlignment="1">
      <alignment horizontal="center" vertical="center" textRotation="180"/>
    </xf>
    <xf numFmtId="0" fontId="11" fillId="7" borderId="19" xfId="4" applyFont="1" applyFill="1" applyBorder="1" applyAlignment="1">
      <alignment horizontal="center" vertical="center"/>
    </xf>
    <xf numFmtId="0" fontId="11" fillId="7" borderId="15" xfId="4" applyFont="1" applyFill="1" applyBorder="1" applyAlignment="1">
      <alignment horizontal="center" vertical="center"/>
    </xf>
    <xf numFmtId="0" fontId="11" fillId="7" borderId="20" xfId="4" applyFont="1" applyFill="1" applyBorder="1" applyAlignment="1">
      <alignment horizontal="center" vertical="center"/>
    </xf>
    <xf numFmtId="3" fontId="10" fillId="5" borderId="5" xfId="3" applyNumberFormat="1" applyFont="1" applyFill="1" applyBorder="1" applyAlignment="1">
      <alignment horizontal="center" vertical="center" wrapText="1"/>
    </xf>
    <xf numFmtId="3" fontId="10" fillId="5" borderId="7" xfId="3" applyNumberFormat="1" applyFont="1" applyFill="1" applyBorder="1" applyAlignment="1">
      <alignment horizontal="center" vertical="center" wrapText="1"/>
    </xf>
    <xf numFmtId="3" fontId="12" fillId="5" borderId="16" xfId="3" applyNumberFormat="1" applyFont="1" applyFill="1" applyBorder="1" applyAlignment="1">
      <alignment horizontal="center" vertical="center" wrapText="1"/>
    </xf>
    <xf numFmtId="3" fontId="12" fillId="5" borderId="22" xfId="3" applyNumberFormat="1" applyFont="1" applyFill="1" applyBorder="1" applyAlignment="1">
      <alignment horizontal="center" vertical="center" wrapText="1"/>
    </xf>
    <xf numFmtId="3" fontId="12" fillId="5" borderId="17" xfId="3" applyNumberFormat="1" applyFont="1" applyFill="1" applyBorder="1" applyAlignment="1">
      <alignment horizontal="center" vertical="center" wrapText="1"/>
    </xf>
    <xf numFmtId="3" fontId="12" fillId="5" borderId="23" xfId="3" applyNumberFormat="1" applyFont="1" applyFill="1" applyBorder="1" applyAlignment="1">
      <alignment horizontal="center" vertical="center" wrapText="1"/>
    </xf>
    <xf numFmtId="3" fontId="13" fillId="6" borderId="18" xfId="3" applyNumberFormat="1" applyFont="1" applyFill="1" applyBorder="1" applyAlignment="1">
      <alignment horizontal="center" vertical="center" wrapText="1"/>
    </xf>
    <xf numFmtId="3" fontId="13" fillId="6" borderId="24" xfId="3" applyNumberFormat="1" applyFont="1" applyFill="1" applyBorder="1" applyAlignment="1">
      <alignment horizontal="center" vertical="center" wrapText="1"/>
    </xf>
    <xf numFmtId="0" fontId="1" fillId="4" borderId="1" xfId="2" applyFill="1" applyBorder="1" applyAlignment="1">
      <alignment horizontal="center"/>
    </xf>
    <xf numFmtId="0" fontId="11" fillId="7" borderId="19" xfId="4" applyFont="1" applyFill="1" applyBorder="1" applyAlignment="1">
      <alignment horizontal="center" vertical="center" wrapText="1"/>
    </xf>
    <xf numFmtId="0" fontId="11" fillId="7" borderId="15" xfId="4" applyFont="1" applyFill="1" applyBorder="1" applyAlignment="1">
      <alignment horizontal="center" vertical="center" wrapText="1"/>
    </xf>
    <xf numFmtId="0" fontId="11" fillId="7" borderId="20" xfId="4" applyFont="1" applyFill="1" applyBorder="1" applyAlignment="1">
      <alignment horizontal="center" vertical="center" wrapText="1"/>
    </xf>
    <xf numFmtId="3" fontId="11" fillId="5" borderId="15" xfId="3" applyNumberFormat="1" applyFont="1" applyFill="1" applyBorder="1" applyAlignment="1">
      <alignment horizontal="center" vertical="center" wrapText="1"/>
    </xf>
    <xf numFmtId="3" fontId="11" fillId="5" borderId="19" xfId="3" applyNumberFormat="1" applyFont="1" applyFill="1" applyBorder="1" applyAlignment="1">
      <alignment horizontal="center" vertical="center" wrapText="1"/>
    </xf>
    <xf numFmtId="3" fontId="11" fillId="5" borderId="57" xfId="3" applyNumberFormat="1" applyFont="1" applyFill="1" applyBorder="1" applyAlignment="1">
      <alignment horizontal="center" vertical="center" wrapText="1"/>
    </xf>
  </cellXfs>
  <cellStyles count="8">
    <cellStyle name="Comma" xfId="1" builtinId="3"/>
    <cellStyle name="Normal" xfId="0" builtinId="0"/>
    <cellStyle name="Normal 2 2" xfId="3" xr:uid="{5366C649-9A0D-4B10-ADF4-51CBD874BEC1}"/>
    <cellStyle name="Normal 4 2" xfId="4" xr:uid="{B583C205-759A-4461-B182-5957958A3B8A}"/>
    <cellStyle name="Normal 6 3" xfId="2" xr:uid="{87681260-4797-49F2-9D0F-E52D409325C0}"/>
    <cellStyle name="Percent" xfId="7" builtinId="5"/>
    <cellStyle name="Percent 2" xfId="6" xr:uid="{4966D635-4207-436F-9FB3-E3D2A26DDC6C}"/>
    <cellStyle name="Percent 5 2 2" xfId="5" xr:uid="{2FB2DC56-71FA-467A-963C-3A131623D3E2}"/>
  </cellStyles>
  <dxfs count="506"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  <dxf>
      <fill>
        <patternFill>
          <bgColor theme="7" tint="0.79998168889431442"/>
        </patternFill>
      </fill>
      <border>
        <top style="dotted">
          <color rgb="FF0000CC"/>
        </top>
        <vertical/>
        <horizontal/>
      </border>
    </dxf>
  </dxfs>
  <tableStyles count="0" defaultTableStyle="TableStyleMedium2" defaultPivotStyle="PivotStyleLight16"/>
  <colors>
    <mruColors>
      <color rgb="FF6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602;&#1585;&#1607;%20&#1576;&#1575;&#159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19\(9700)_12-SABAK_Fazaye-Sabz$\02_%20Old%20in%20LapTop\_0%200000%20%200_Courses%2093-94\1393%2004-Irrigation\07%2093.08.10_Soil-Prpperties\0_13-Spring%201386\0_Drought%20Project\0_MEHDI_1\EXCEL\OMOUR\DATAENT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àسه 5"/>
      <sheetName val="àسه 7"/>
      <sheetName val="àسه 8"/>
      <sheetName val="ءوآنéش لسè بآك"/>
      <sheetName val="حرçن ءوآنéش 81"/>
      <sheetName val="حرçن ءوآنéش حرéر"/>
      <sheetName val="ضغد ءب آظنé "/>
      <sheetName val="Chart4"/>
      <sheetName val="Chart1"/>
      <sheetName val="Chart2"/>
      <sheetName val="ضغد ءب لسè بآك  بآ دآèèآé دزàé"/>
      <sheetName val="Sheet1"/>
      <sheetName val="Chart3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Adv-Re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çسçرءهآس"/>
      <sheetName val="àسه هآèآوè"/>
      <sheetName val="هطذظآت خآèèآé هطآèرè آé "/>
    </sheetNames>
    <sheetDataSet>
      <sheetData sheetId="0">
        <row r="2">
          <cell r="C2" t="str">
            <v>ظçست هلآéضè ءهآس خآèèآ رس ضآن 73 ç çسçر بè سآéآوè تآ تéسهآè  77</v>
          </cell>
        </row>
        <row r="3">
          <cell r="C3" t="str">
            <v>ظàدè  1</v>
          </cell>
        </row>
        <row r="4">
          <cell r="C4" t="str">
            <v>هنآدفآت</v>
          </cell>
          <cell r="D4" t="str">
            <v>âوتسن</v>
          </cell>
          <cell r="E4" t="str">
            <v xml:space="preserve">çآسر âوورè </v>
          </cell>
          <cell r="F4" t="str">
            <v xml:space="preserve">çآسر سآéآوè طرè رس ضآن 76 </v>
          </cell>
          <cell r="G4" t="str">
            <v>ءهآسبسرآسé  ضآن 73</v>
          </cell>
          <cell r="H4" t="str">
            <v>âر رطت</v>
          </cell>
          <cell r="I4" t="str">
            <v>وآه رطت</v>
          </cell>
          <cell r="J4" t="str">
            <v xml:space="preserve"> سرéà</v>
          </cell>
        </row>
        <row r="5">
          <cell r="E5" t="str">
            <v>تçâنé</v>
          </cell>
          <cell r="F5">
            <v>589</v>
          </cell>
          <cell r="G5">
            <v>591</v>
          </cell>
          <cell r="H5">
            <v>2423</v>
          </cell>
          <cell r="I5" t="str">
            <v>وçسءبآر</v>
          </cell>
          <cell r="J5">
            <v>1</v>
          </cell>
        </row>
        <row r="6">
          <cell r="E6" t="str">
            <v>تçâنé</v>
          </cell>
          <cell r="F6">
            <v>248</v>
          </cell>
          <cell r="G6">
            <v>248</v>
          </cell>
          <cell r="H6">
            <v>2422</v>
          </cell>
          <cell r="I6" t="str">
            <v>àèنéآو</v>
          </cell>
          <cell r="J6">
            <v>2</v>
          </cell>
          <cell r="T6" t="str">
            <v>مشآسط زذéسè ءهآس هوآبق ءب رس سآéآوè آهçس هغآ نقآت تçضغ èهâآسآو رس هآè                          ضآن         13.</v>
          </cell>
          <cell r="U6" t="str">
            <v xml:space="preserve">مسآط </v>
          </cell>
          <cell r="V6">
            <v>37</v>
          </cell>
        </row>
        <row r="7">
          <cell r="E7" t="str">
            <v>تçâنé</v>
          </cell>
          <cell r="F7">
            <v>513</v>
          </cell>
          <cell r="G7">
            <v>513</v>
          </cell>
          <cell r="H7">
            <v>2424</v>
          </cell>
          <cell r="I7" t="str">
            <v>هسآضذçو</v>
          </cell>
          <cell r="J7">
            <v>3</v>
          </cell>
          <cell r="T7" t="str">
            <v>هنآدفآت</v>
          </cell>
          <cell r="U7" t="str">
            <v>آçش</v>
          </cell>
          <cell r="V7">
            <v>38</v>
          </cell>
          <cell r="W7" t="str">
            <v>سله هآè لبن</v>
          </cell>
          <cell r="X7" t="str">
            <v>âر رطت</v>
          </cell>
          <cell r="Y7" t="str">
            <v>وآه رطت</v>
          </cell>
          <cell r="Z7" t="str">
            <v>وآه ذآوçآرمé</v>
          </cell>
          <cell r="AA7" t="str">
            <v>سرéà</v>
          </cell>
        </row>
        <row r="8">
          <cell r="C8" t="str">
            <v>çسçر وآتهآه</v>
          </cell>
          <cell r="E8" t="str">
            <v>تçâنé</v>
          </cell>
          <cell r="F8">
            <v>1076</v>
          </cell>
          <cell r="G8">
            <v>1076</v>
          </cell>
          <cell r="H8">
            <v>2733</v>
          </cell>
          <cell r="I8" t="str">
            <v xml:space="preserve">رآسآب çلنقè بéآبآو </v>
          </cell>
          <cell r="J8">
            <v>4</v>
          </cell>
          <cell r="T8">
            <v>2645</v>
          </cell>
          <cell r="U8" t="str">
            <v xml:space="preserve">ذوح </v>
          </cell>
          <cell r="V8">
            <v>39</v>
          </cell>
          <cell r="AA8">
            <v>1</v>
          </cell>
        </row>
        <row r="9">
          <cell r="E9" t="str">
            <v>آضàورéآسé</v>
          </cell>
          <cell r="F9">
            <v>292</v>
          </cell>
          <cell r="G9">
            <v>284</v>
          </cell>
          <cell r="H9">
            <v>2421</v>
          </cell>
          <cell r="I9" t="str">
            <v>èهآéحآو ضةéرآو</v>
          </cell>
          <cell r="J9">
            <v>5</v>
          </cell>
          <cell r="T9">
            <v>2644</v>
          </cell>
          <cell r="U9" t="str">
            <v>èçرçبéرطèس</v>
          </cell>
          <cell r="V9">
            <v>40</v>
          </cell>
          <cell r="AA9">
            <v>2</v>
          </cell>
        </row>
        <row r="10">
          <cell r="E10" t="str">
            <v>آضàورéآسé</v>
          </cell>
          <cell r="F10">
            <v>1145</v>
          </cell>
          <cell r="G10">
            <v>1295</v>
          </cell>
          <cell r="H10">
            <v>2615</v>
          </cell>
          <cell r="I10" t="str">
            <v>âçآس</v>
          </cell>
          <cell r="J10">
            <v>6</v>
          </cell>
          <cell r="T10">
            <v>2633</v>
          </cell>
          <cell r="U10" t="str">
            <v xml:space="preserve">رèâçéè ç âçسرè </v>
          </cell>
          <cell r="V10">
            <v>41</v>
          </cell>
          <cell r="AA10">
            <v>3</v>
          </cell>
        </row>
        <row r="11">
          <cell r="C11" t="str">
            <v>çسçر وآتهآه</v>
          </cell>
          <cell r="E11" t="str">
            <v>آضàورéآسé</v>
          </cell>
          <cell r="F11">
            <v>1380</v>
          </cell>
          <cell r="G11">
            <v>1449</v>
          </cell>
          <cell r="H11">
            <v>4331</v>
          </cell>
          <cell r="I11" t="str">
            <v>طéسآش</v>
          </cell>
          <cell r="J11">
            <v>7</v>
          </cell>
          <cell r="T11">
            <v>2633</v>
          </cell>
          <cell r="U11" t="str">
            <v xml:space="preserve">àéرçéè ç مسهطت </v>
          </cell>
          <cell r="V11">
            <v>42</v>
          </cell>
          <cell r="AA11">
            <v>4</v>
          </cell>
        </row>
        <row r="12">
          <cell r="E12" t="str">
            <v>آبسآèéهé</v>
          </cell>
          <cell r="F12">
            <v>684</v>
          </cell>
          <cell r="G12">
            <v>614</v>
          </cell>
          <cell r="H12">
            <v>2534</v>
          </cell>
          <cell r="I12" t="str">
            <v>àسآطبور</v>
          </cell>
          <cell r="J12">
            <v>8</v>
          </cell>
          <cell r="T12">
            <v>4323</v>
          </cell>
          <cell r="U12" t="str">
            <v>وé سéش</v>
          </cell>
          <cell r="V12">
            <v>43</v>
          </cell>
          <cell r="AA12">
            <v>5</v>
          </cell>
        </row>
        <row r="13">
          <cell r="E13" t="str">
            <v>آبسآèéهé</v>
          </cell>
          <cell r="F13">
            <v>242</v>
          </cell>
          <cell r="G13">
            <v>249</v>
          </cell>
          <cell r="H13">
            <v>2535</v>
          </cell>
          <cell r="I13" t="str">
            <v>ذآوéâ çوçحéو</v>
          </cell>
          <cell r="J13">
            <v>9</v>
          </cell>
          <cell r="T13">
            <v>4931</v>
          </cell>
          <cell r="U13" t="str">
            <v xml:space="preserve">ةطتâçè </v>
          </cell>
          <cell r="V13">
            <v>44</v>
          </cell>
          <cell r="AA13">
            <v>6</v>
          </cell>
        </row>
        <row r="14">
          <cell r="E14" t="str">
            <v>آبسآèéهé</v>
          </cell>
          <cell r="F14">
            <v>558</v>
          </cell>
          <cell r="G14">
            <v>496</v>
          </cell>
          <cell r="H14">
            <v>4313</v>
          </cell>
          <cell r="I14" t="str">
            <v>ضقآرت طèس</v>
          </cell>
          <cell r="J14">
            <v>10</v>
          </cell>
          <cell r="T14">
            <v>4932</v>
          </cell>
          <cell r="U14" t="str">
            <v xml:space="preserve">لغسçéè </v>
          </cell>
          <cell r="V14">
            <v>45</v>
          </cell>
          <cell r="AA14">
            <v>7</v>
          </cell>
        </row>
        <row r="15">
          <cell r="E15" t="str">
            <v>èçطéآس</v>
          </cell>
          <cell r="F15">
            <v>2045</v>
          </cell>
          <cell r="G15">
            <v>3687</v>
          </cell>
          <cell r="H15">
            <v>4319</v>
          </cell>
          <cell r="I15" t="str">
            <v>هسçرطت çâسبآن</v>
          </cell>
          <cell r="J15">
            <v>11</v>
          </cell>
          <cell r="T15">
            <v>2722</v>
          </cell>
          <cell r="U15" t="str">
            <v>نآهسر ç منè رآس</v>
          </cell>
          <cell r="V15">
            <v>46</v>
          </cell>
          <cell r="AA15">
            <v>8</v>
          </cell>
        </row>
        <row r="16">
          <cell r="C16" t="str">
            <v>çسçر وآتهآه</v>
          </cell>
          <cell r="E16" t="str">
            <v>èçطéآس</v>
          </cell>
          <cell r="F16">
            <v>1809</v>
          </cell>
          <cell r="G16">
            <v>1967</v>
          </cell>
          <cell r="H16">
            <v>4321</v>
          </cell>
          <cell r="I16" t="str">
            <v>آسضوحآو çتçآبق</v>
          </cell>
          <cell r="J16">
            <v>12</v>
          </cell>
          <cell r="T16">
            <v>2634</v>
          </cell>
          <cell r="U16" t="str">
            <v xml:space="preserve">قنآأهسçرطت ç àرآك ç بéسه ç رآسآنهéشآو  </v>
          </cell>
          <cell r="V16">
            <v>47</v>
          </cell>
          <cell r="AA16">
            <v>9</v>
          </cell>
        </row>
        <row r="17">
          <cell r="E17" t="str">
            <v>àآذسé</v>
          </cell>
          <cell r="F17">
            <v>1839</v>
          </cell>
          <cell r="G17">
            <v>1837</v>
          </cell>
          <cell r="H17">
            <v>2523</v>
          </cell>
          <cell r="I17" t="str">
            <v>âآشسçو</v>
          </cell>
          <cell r="J17">
            <v>14</v>
          </cell>
          <cell r="T17">
            <v>4911</v>
          </cell>
          <cell r="U17" t="str">
            <v xml:space="preserve">ءبآرè </v>
          </cell>
          <cell r="V17">
            <v>48</v>
          </cell>
          <cell r="AA17">
            <v>10</v>
          </cell>
        </row>
        <row r="18">
          <cell r="C18" t="str">
            <v>çسçر وآتهآه</v>
          </cell>
          <cell r="E18" t="str">
            <v>àآذسé</v>
          </cell>
          <cell r="F18">
            <v>764</v>
          </cell>
          <cell r="G18">
            <v>764</v>
          </cell>
          <cell r="H18">
            <v>4322</v>
          </cell>
          <cell r="I18" t="str">
            <v>ءبآرè غطâ</v>
          </cell>
          <cell r="J18">
            <v>15</v>
          </cell>
          <cell r="T18">
            <v>4312</v>
          </cell>
          <cell r="U18" t="str">
            <v>رè بéر</v>
          </cell>
          <cell r="V18">
            <v>49</v>
          </cell>
          <cell r="AA18">
            <v>11</v>
          </cell>
        </row>
        <row r="19">
          <cell r="C19" t="str">
            <v>çسçر وآتهآه</v>
          </cell>
          <cell r="E19" t="str">
            <v>لèسهآوé</v>
          </cell>
          <cell r="F19">
            <v>1303</v>
          </cell>
          <cell r="G19">
            <v>1351</v>
          </cell>
          <cell r="H19">
            <v>4311</v>
          </cell>
          <cell r="I19" t="str">
            <v>وهرآو</v>
          </cell>
          <cell r="J19">
            <v>16</v>
          </cell>
          <cell r="T19">
            <v>4333</v>
          </cell>
          <cell r="U19" t="str">
            <v xml:space="preserve">ضسçضتآو </v>
          </cell>
          <cell r="V19">
            <v>50</v>
          </cell>
          <cell r="AA19">
            <v>12</v>
          </cell>
        </row>
        <row r="20">
          <cell r="C20" t="str">
            <v>çسçر وآتهآه</v>
          </cell>
          <cell r="E20" t="str">
            <v>قغآسشآرè</v>
          </cell>
          <cell r="F20">
            <v>394</v>
          </cell>
          <cell r="G20">
            <v>393</v>
          </cell>
          <cell r="H20">
            <v>2737</v>
          </cell>
          <cell r="I20" t="str">
            <v>رسشç ضآéبآو</v>
          </cell>
          <cell r="J20">
            <v>17</v>
          </cell>
          <cell r="T20">
            <v>4332</v>
          </cell>
          <cell r="U20" t="str">
            <v xml:space="preserve">لسè بآك </v>
          </cell>
          <cell r="V20">
            <v>51</v>
          </cell>
          <cell r="AA20">
            <v>13</v>
          </cell>
        </row>
        <row r="21">
          <cell r="E21" t="str">
            <v>قغآسشآرè</v>
          </cell>
          <cell r="F21">
            <v>319</v>
          </cell>
          <cell r="G21">
            <v>318</v>
          </cell>
          <cell r="H21">
            <v>2738</v>
          </cell>
          <cell r="I21" t="str">
            <v>ظدسآé بآك</v>
          </cell>
          <cell r="J21">
            <v>18</v>
          </cell>
          <cell r="T21">
            <v>2614</v>
          </cell>
          <cell r="U21" t="str">
            <v xml:space="preserve">ضéذ ç رآسومçو </v>
          </cell>
          <cell r="V21">
            <v>52</v>
          </cell>
          <cell r="AA21">
            <v>14</v>
          </cell>
        </row>
        <row r="22">
          <cell r="E22" t="str">
            <v>قغآسشآرè</v>
          </cell>
          <cell r="F22">
            <v>341</v>
          </cell>
          <cell r="G22">
            <v>341</v>
          </cell>
          <cell r="H22">
            <v>2731</v>
          </cell>
          <cell r="I22" t="str">
            <v>âèوè çةèوآçè</v>
          </cell>
          <cell r="J22">
            <v>19</v>
          </cell>
          <cell r="T22">
            <v>2510</v>
          </cell>
          <cell r="U22" t="str">
            <v xml:space="preserve">رطت آسصو </v>
          </cell>
          <cell r="V22">
            <v>53</v>
          </cell>
          <cell r="AA22">
            <v>15</v>
          </cell>
        </row>
        <row r="23">
          <cell r="C23" t="str">
            <v>çسçر وآتهآه</v>
          </cell>
          <cell r="E23" t="str">
            <v>قغآسشآرè</v>
          </cell>
          <cell r="F23">
            <v>445</v>
          </cell>
          <cell r="G23">
            <v>339</v>
          </cell>
          <cell r="H23">
            <v>2739</v>
          </cell>
          <cell r="I23" t="str">
            <v>نآس</v>
          </cell>
          <cell r="J23">
            <v>20</v>
          </cell>
          <cell r="T23">
            <v>4313</v>
          </cell>
          <cell r="U23" t="str">
            <v xml:space="preserve">ضسةوéسآو </v>
          </cell>
          <cell r="V23">
            <v>54</v>
          </cell>
          <cell r="AA23" t="str">
            <v>حهق</v>
          </cell>
        </row>
        <row r="24">
          <cell r="C24" t="str">
            <v>çسçر وآتهآه</v>
          </cell>
          <cell r="E24" t="str">
            <v>آهéس قعرé</v>
          </cell>
          <cell r="F24">
            <v>175</v>
          </cell>
          <cell r="G24">
            <v>175</v>
          </cell>
          <cell r="H24">
            <v>2521</v>
          </cell>
          <cell r="I24" t="str">
            <v>رطت بسه</v>
          </cell>
          <cell r="J24">
            <v>21</v>
          </cell>
        </row>
        <row r="25">
          <cell r="E25" t="str">
            <v>آهéس قعرé</v>
          </cell>
          <cell r="F25">
            <v>169</v>
          </cell>
          <cell r="G25">
            <v>171</v>
          </cell>
          <cell r="H25">
            <v>2522</v>
          </cell>
          <cell r="I25" t="str">
            <v>لآ اهéè</v>
          </cell>
          <cell r="J25">
            <v>22</v>
          </cell>
        </row>
        <row r="26">
          <cell r="E26" t="str">
            <v>آهéس قعرé</v>
          </cell>
          <cell r="F26">
            <v>316</v>
          </cell>
          <cell r="G26">
            <v>215</v>
          </cell>
          <cell r="H26">
            <v>2526</v>
          </cell>
          <cell r="I26" t="str">
            <v>ذطت</v>
          </cell>
          <cell r="J26">
            <v>23</v>
          </cell>
        </row>
        <row r="27">
          <cell r="E27" t="str">
            <v>آهéس قعرé</v>
          </cell>
          <cell r="F27">
            <v>11</v>
          </cell>
          <cell r="G27">
            <v>11</v>
          </cell>
          <cell r="H27">
            <v>2536</v>
          </cell>
          <cell r="I27" t="str">
            <v>حسè بآنآرè</v>
          </cell>
          <cell r="J27">
            <v>24</v>
          </cell>
        </row>
        <row r="28">
          <cell r="E28" t="str">
            <v>آهéس قعرé</v>
          </cell>
          <cell r="F28">
            <v>99</v>
          </cell>
          <cell r="G28">
            <v>99</v>
          </cell>
          <cell r="H28">
            <v>2537</v>
          </cell>
          <cell r="I28" t="str">
            <v>رآرéو</v>
          </cell>
          <cell r="J28">
            <v>25</v>
          </cell>
        </row>
        <row r="29">
          <cell r="E29" t="str">
            <v>آهéس قعرé</v>
          </cell>
          <cell r="F29">
            <v>85</v>
          </cell>
          <cell r="G29">
            <v>82</v>
          </cell>
          <cell r="H29">
            <v>2533</v>
          </cell>
          <cell r="I29" t="str">
            <v>بنبنâ çرسçوâ</v>
          </cell>
          <cell r="J29">
            <v>26</v>
          </cell>
        </row>
        <row r="30">
          <cell r="E30" t="str">
            <v>آهéس قعرé</v>
          </cell>
          <cell r="F30">
            <v>9</v>
          </cell>
          <cell r="G30">
            <v>9</v>
          </cell>
          <cell r="H30">
            <v>2525</v>
          </cell>
          <cell r="I30" t="str">
            <v>âهآسح</v>
          </cell>
          <cell r="J30">
            <v>27</v>
          </cell>
        </row>
        <row r="31">
          <cell r="C31" t="str">
            <v>çسçر وآتهآه</v>
          </cell>
          <cell r="E31" t="str">
            <v>آهéس قعرé</v>
          </cell>
          <cell r="F31">
            <v>1137</v>
          </cell>
          <cell r="G31">
            <v>1195</v>
          </cell>
          <cell r="H31">
            <v>4316</v>
          </cell>
          <cell r="I31" t="str">
            <v>ذàسâ ضéرآو</v>
          </cell>
          <cell r="J31">
            <v>28</v>
          </cell>
        </row>
        <row r="32">
          <cell r="C32" t="str">
            <v>çسçر وآتهآه</v>
          </cell>
          <cell r="E32" t="str">
            <v>ءظàé</v>
          </cell>
          <cell r="F32">
            <v>255</v>
          </cell>
          <cell r="G32">
            <v>1195</v>
          </cell>
          <cell r="H32">
            <v>2612</v>
          </cell>
          <cell r="I32" t="str">
            <v>ذغéسé</v>
          </cell>
          <cell r="J32">
            <v>29</v>
          </cell>
        </row>
        <row r="33">
          <cell r="E33" t="str">
            <v>ءظàé</v>
          </cell>
          <cell r="F33">
            <v>221</v>
          </cell>
          <cell r="H33">
            <v>2613</v>
          </cell>
          <cell r="I33" t="str">
            <v>ذآوè ذبéض</v>
          </cell>
          <cell r="J33">
            <v>30</v>
          </cell>
        </row>
        <row r="34">
          <cell r="E34" t="str">
            <v>ءظàé</v>
          </cell>
          <cell r="F34">
            <v>604</v>
          </cell>
          <cell r="G34">
            <v>493</v>
          </cell>
          <cell r="H34">
            <v>4317</v>
          </cell>
          <cell r="I34" t="str">
            <v>ءضةآض</v>
          </cell>
          <cell r="J34">
            <v>31</v>
          </cell>
        </row>
        <row r="35">
          <cell r="E35" t="str">
            <v>ءظàé</v>
          </cell>
          <cell r="F35">
            <v>187</v>
          </cell>
          <cell r="G35">
            <v>187</v>
          </cell>
          <cell r="H35">
            <v>4922</v>
          </cell>
          <cell r="I35" t="str">
            <v>ضسخآèآو</v>
          </cell>
          <cell r="J35">
            <v>32</v>
          </cell>
        </row>
        <row r="36">
          <cell r="E36" t="str">
            <v>ءظàé</v>
          </cell>
          <cell r="F36">
            <v>94</v>
          </cell>
          <cell r="G36">
            <v>94</v>
          </cell>
          <cell r="H36">
            <v>4921</v>
          </cell>
          <cell r="I36" t="str">
            <v>بçآوآت</v>
          </cell>
          <cell r="J36">
            <v>33</v>
          </cell>
        </row>
        <row r="37">
          <cell r="C37" t="str">
            <v>çسçر وآتهآه</v>
          </cell>
          <cell r="E37" t="str">
            <v>ءظàé</v>
          </cell>
          <cell r="F37">
            <v>387</v>
          </cell>
          <cell r="G37">
            <v>393</v>
          </cell>
          <cell r="H37">
            <v>2642</v>
          </cell>
          <cell r="I37" t="str">
            <v>حçéه çبوآسçéè</v>
          </cell>
          <cell r="J37">
            <v>34</v>
          </cell>
        </row>
        <row r="38">
          <cell r="C38" t="str">
            <v>çسçر وآتهآه</v>
          </cell>
          <cell r="E38" t="str">
            <v>حهق âن تآ 76/6/13</v>
          </cell>
          <cell r="F38">
            <v>0</v>
          </cell>
          <cell r="G38">
            <v>2631</v>
          </cell>
          <cell r="H38">
            <v>2631</v>
          </cell>
          <cell r="I38" t="str">
            <v>ضéà ءبآرçنآكس</v>
          </cell>
          <cell r="J38">
            <v>35</v>
          </cell>
        </row>
        <row r="39">
          <cell r="E39" t="str">
            <v>حهق âن تآ 76/6/13</v>
          </cell>
          <cell r="F39">
            <v>19735</v>
          </cell>
          <cell r="G39">
            <v>25208</v>
          </cell>
          <cell r="J39">
            <v>35</v>
          </cell>
        </row>
        <row r="83">
          <cell r="CY83" t="str">
            <v xml:space="preserve">بسوآ هè  èàتمé  çسçر ءهآس ضغد ءب خآ èèآé  هطآ èرè آé  ç ءهآس  هوآبق  ءب  شéس شهéوé </v>
          </cell>
        </row>
        <row r="87">
          <cell r="CY87" t="str">
            <v xml:space="preserve"> آش 15 طèسéçس هآè 1376</v>
          </cell>
        </row>
        <row r="90">
          <cell r="CY90" t="str">
            <v>17.30 تآ 18.45</v>
          </cell>
          <cell r="CZ90" t="str">
            <v>16.15 تآ 17.30</v>
          </cell>
          <cell r="DA90" t="str">
            <v>15 تآ 16.15</v>
          </cell>
          <cell r="DB90" t="str">
            <v xml:space="preserve"> 11 تآ 12</v>
          </cell>
          <cell r="DC90" t="str">
            <v>10  تآ 11</v>
          </cell>
          <cell r="DD90" t="str">
            <v>سçشèآé èàتـè</v>
          </cell>
        </row>
        <row r="91">
          <cell r="CY91" t="str">
            <v>آبسآèéهé</v>
          </cell>
          <cell r="CZ91" t="str">
            <v>حèآومéسé</v>
          </cell>
          <cell r="DA91" t="str">
            <v>آضàورéآسحèسهé</v>
          </cell>
          <cell r="DB91" t="str">
            <v>حèآومéسé</v>
          </cell>
          <cell r="DC91" t="str">
            <v>آضàورéآس حèسهé</v>
          </cell>
          <cell r="DD91" t="str">
            <v>طوبè</v>
          </cell>
        </row>
        <row r="92">
          <cell r="CY92" t="str">
            <v>ءظàé</v>
          </cell>
          <cell r="CZ92" t="str">
            <v>آ هéس قعرé</v>
          </cell>
          <cell r="DA92" t="str">
            <v>قغآسشآرè</v>
          </cell>
          <cell r="DB92" t="str">
            <v>آ هéس قعرé</v>
          </cell>
          <cell r="DC92" t="str">
            <v>ءظàé</v>
          </cell>
          <cell r="DD92" t="str">
            <v>éâ طوبè</v>
          </cell>
        </row>
        <row r="93">
          <cell r="CY93" t="str">
            <v>ءظàé</v>
          </cell>
          <cell r="CZ93" t="str">
            <v>èçطéآس</v>
          </cell>
          <cell r="DA93" t="str">
            <v>àآذسé</v>
          </cell>
          <cell r="DB93" t="str">
            <v>èçطéآس</v>
          </cell>
          <cell r="DC93" t="str">
            <v>طéبآوé</v>
          </cell>
          <cell r="DD93" t="str">
            <v>رç طوبè</v>
          </cell>
        </row>
        <row r="94">
          <cell r="CZ94" t="str">
            <v>èçطéآس</v>
          </cell>
          <cell r="DA94" t="str">
            <v>àآذسé</v>
          </cell>
          <cell r="DB94" t="str">
            <v>قغآسشآرè</v>
          </cell>
          <cell r="DC94" t="str">
            <v>آبسآèéهé</v>
          </cell>
          <cell r="DD94" t="str">
            <v>ضè طوبè</v>
          </cell>
        </row>
        <row r="95">
          <cell r="DB95" t="str">
            <v>قغآسشآرè</v>
          </cell>
          <cell r="DC95" t="str">
            <v>آبسآèéهé</v>
          </cell>
          <cell r="DD95" t="str">
            <v>خèآس طوبè</v>
          </cell>
        </row>
        <row r="96">
          <cell r="CZ96" t="str">
            <v>تــçâــنé</v>
          </cell>
          <cell r="DA96" t="str">
            <v>çسشوــــرè</v>
          </cell>
          <cell r="DB96" t="str">
            <v>çسشوــــرè</v>
          </cell>
          <cell r="DC96" t="str">
            <v>تــçâــنé</v>
          </cell>
          <cell r="DD96" t="str">
            <v>ةوح طوبè</v>
          </cell>
        </row>
        <row r="97">
          <cell r="DB97" t="str">
            <v>çسشوــــرè</v>
          </cell>
          <cell r="DD97" t="str">
            <v>ةوح طوبè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2BF0E-80F9-45EE-8598-28C146232AA7}">
  <dimension ref="B1:N30"/>
  <sheetViews>
    <sheetView rightToLeft="1" zoomScale="110" zoomScaleNormal="110" workbookViewId="0">
      <selection activeCell="F5" sqref="F5"/>
    </sheetView>
  </sheetViews>
  <sheetFormatPr defaultColWidth="9.28515625" defaultRowHeight="17.25" x14ac:dyDescent="0.25"/>
  <cols>
    <col min="1" max="1" width="9.28515625" style="3"/>
    <col min="2" max="2" width="8.7109375" style="3" bestFit="1" customWidth="1"/>
    <col min="3" max="5" width="11.42578125" style="3" customWidth="1"/>
    <col min="6" max="6" width="14.28515625" style="3" customWidth="1"/>
    <col min="7" max="7" width="11.42578125" style="3" customWidth="1"/>
    <col min="8" max="10" width="14.28515625" style="3" customWidth="1"/>
    <col min="11" max="11" width="11.42578125" style="3" customWidth="1"/>
    <col min="12" max="14" width="14.28515625" style="3" customWidth="1"/>
    <col min="15" max="16384" width="9.28515625" style="3"/>
  </cols>
  <sheetData>
    <row r="1" spans="2:14" x14ac:dyDescent="0.25">
      <c r="C1" s="184"/>
      <c r="D1" s="184"/>
      <c r="E1" s="184"/>
      <c r="F1" s="184"/>
      <c r="G1" s="184"/>
      <c r="H1" s="184"/>
      <c r="I1" s="184"/>
      <c r="J1" s="184"/>
      <c r="K1" s="184"/>
      <c r="L1" s="184"/>
      <c r="M1" s="170" t="s">
        <v>39</v>
      </c>
      <c r="N1" s="169">
        <v>0.7</v>
      </c>
    </row>
    <row r="2" spans="2:14" x14ac:dyDescent="0.25">
      <c r="C2" s="187" t="s">
        <v>8</v>
      </c>
      <c r="D2" s="187"/>
      <c r="E2" s="187"/>
      <c r="F2" s="187"/>
      <c r="G2" s="188" t="s">
        <v>9</v>
      </c>
      <c r="H2" s="188"/>
      <c r="I2" s="188"/>
      <c r="J2" s="188"/>
      <c r="K2" s="188" t="s">
        <v>10</v>
      </c>
      <c r="L2" s="188"/>
      <c r="M2" s="188"/>
      <c r="N2" s="188"/>
    </row>
    <row r="3" spans="2:14" ht="34.5" customHeight="1" x14ac:dyDescent="0.25">
      <c r="B3" s="185" t="s">
        <v>0</v>
      </c>
      <c r="C3" s="2" t="s">
        <v>1</v>
      </c>
      <c r="D3" s="2" t="s">
        <v>4</v>
      </c>
      <c r="E3" s="2" t="s">
        <v>6</v>
      </c>
      <c r="F3" s="5" t="s">
        <v>11</v>
      </c>
      <c r="G3" s="9" t="s">
        <v>1</v>
      </c>
      <c r="H3" s="2" t="s">
        <v>4</v>
      </c>
      <c r="I3" s="2" t="s">
        <v>6</v>
      </c>
      <c r="J3" s="5" t="s">
        <v>11</v>
      </c>
      <c r="K3" s="9" t="s">
        <v>1</v>
      </c>
      <c r="L3" s="2" t="s">
        <v>4</v>
      </c>
      <c r="M3" s="2" t="s">
        <v>6</v>
      </c>
      <c r="N3" s="5" t="s">
        <v>11</v>
      </c>
    </row>
    <row r="4" spans="2:14" x14ac:dyDescent="0.25">
      <c r="B4" s="186"/>
      <c r="C4" s="12" t="s">
        <v>2</v>
      </c>
      <c r="D4" s="1" t="s">
        <v>3</v>
      </c>
      <c r="E4" s="1" t="s">
        <v>3</v>
      </c>
      <c r="F4" s="6" t="s">
        <v>7</v>
      </c>
      <c r="G4" s="16" t="s">
        <v>2</v>
      </c>
      <c r="H4" s="1" t="s">
        <v>3</v>
      </c>
      <c r="I4" s="1" t="s">
        <v>3</v>
      </c>
      <c r="J4" s="6" t="s">
        <v>7</v>
      </c>
      <c r="K4" s="16" t="s">
        <v>2</v>
      </c>
      <c r="L4" s="1" t="s">
        <v>3</v>
      </c>
      <c r="M4" s="1" t="s">
        <v>3</v>
      </c>
      <c r="N4" s="6" t="s">
        <v>7</v>
      </c>
    </row>
    <row r="5" spans="2:14" ht="18" customHeight="1" x14ac:dyDescent="0.25">
      <c r="B5" s="21">
        <v>1</v>
      </c>
      <c r="C5" s="17">
        <v>43.871776657116328</v>
      </c>
      <c r="D5" s="22">
        <v>592.16575829612327</v>
      </c>
      <c r="E5" s="13">
        <v>136.33003983317559</v>
      </c>
      <c r="F5" s="24">
        <f>E5*1000*1000/31/24/3600/C5</f>
        <v>1.1601947691739973</v>
      </c>
      <c r="G5" s="17">
        <v>10.386439999999999</v>
      </c>
      <c r="H5" s="22">
        <f>I5/(E5/D5)</f>
        <v>85.016320752372053</v>
      </c>
      <c r="I5" s="13">
        <f t="shared" ref="I5:I17" si="0">J5*G5*$N$1*31*24*3600/1000/1000</f>
        <v>19.572692666307439</v>
      </c>
      <c r="J5" s="24">
        <v>1.005102570855229</v>
      </c>
      <c r="K5" s="17">
        <v>1.15334</v>
      </c>
      <c r="L5" s="23">
        <f>M5/(E5/D5)</f>
        <v>9.4404553799512474</v>
      </c>
      <c r="M5" s="13">
        <f t="shared" ref="M5:M17" si="1">N5*K5*$N$1*31*24*3600/1000/1000</f>
        <v>2.17340776625668</v>
      </c>
      <c r="N5" s="24">
        <f>J5</f>
        <v>1.005102570855229</v>
      </c>
    </row>
    <row r="6" spans="2:14" ht="18" customHeight="1" x14ac:dyDescent="0.25">
      <c r="B6" s="15">
        <v>2</v>
      </c>
      <c r="C6" s="18">
        <v>124.1817619095913</v>
      </c>
      <c r="D6" s="10">
        <v>1416.36743402197</v>
      </c>
      <c r="E6" s="14">
        <v>325.71664622223108</v>
      </c>
      <c r="F6" s="8">
        <f t="shared" ref="F6:F17" si="2">E6*1000*1000/31/24/3600/C6</f>
        <v>0.97927958454434316</v>
      </c>
      <c r="G6" s="18">
        <v>112.97668999999999</v>
      </c>
      <c r="H6" s="10">
        <f t="shared" ref="H6:H17" si="3">I6/(E6/D6)</f>
        <v>908.26850093205621</v>
      </c>
      <c r="I6" s="14">
        <f t="shared" si="0"/>
        <v>208.87106190574403</v>
      </c>
      <c r="J6" s="8">
        <v>0.98608863124736801</v>
      </c>
      <c r="K6" s="18">
        <v>23.272738</v>
      </c>
      <c r="L6" s="7">
        <f t="shared" ref="L6:L17" si="4">M6/(E6/D6)</f>
        <v>187.09961192742063</v>
      </c>
      <c r="M6" s="14">
        <f t="shared" si="1"/>
        <v>43.026588046739214</v>
      </c>
      <c r="N6" s="8">
        <f t="shared" ref="N6:N17" si="5">J6</f>
        <v>0.98608863124736801</v>
      </c>
    </row>
    <row r="7" spans="2:14" ht="18" customHeight="1" x14ac:dyDescent="0.25">
      <c r="B7" s="15">
        <v>3</v>
      </c>
      <c r="C7" s="18">
        <v>102.82180311608489</v>
      </c>
      <c r="D7" s="10">
        <v>1110.366441022275</v>
      </c>
      <c r="E7" s="14">
        <v>255.93614666738929</v>
      </c>
      <c r="F7" s="8">
        <f t="shared" si="2"/>
        <v>0.92933217876955587</v>
      </c>
      <c r="G7" s="18">
        <v>147.78485700000002</v>
      </c>
      <c r="H7" s="10">
        <f t="shared" si="3"/>
        <v>1032.9905308180469</v>
      </c>
      <c r="I7" s="14">
        <f t="shared" si="0"/>
        <v>238.10123057939956</v>
      </c>
      <c r="J7" s="8">
        <v>0.85932654578082768</v>
      </c>
      <c r="K7" s="18">
        <v>0</v>
      </c>
      <c r="L7" s="7">
        <f t="shared" si="4"/>
        <v>0</v>
      </c>
      <c r="M7" s="14">
        <f t="shared" si="1"/>
        <v>0</v>
      </c>
      <c r="N7" s="8">
        <f t="shared" si="5"/>
        <v>0.85932654578082768</v>
      </c>
    </row>
    <row r="8" spans="2:14" ht="18" customHeight="1" x14ac:dyDescent="0.25">
      <c r="B8" s="15">
        <v>4</v>
      </c>
      <c r="C8" s="18">
        <v>60.116223804079112</v>
      </c>
      <c r="D8" s="10">
        <v>640.84225388086134</v>
      </c>
      <c r="E8" s="14">
        <v>147.3988462303391</v>
      </c>
      <c r="F8" s="8">
        <f t="shared" si="2"/>
        <v>0.91543382443966026</v>
      </c>
      <c r="G8" s="18">
        <v>67.013619999999989</v>
      </c>
      <c r="H8" s="10">
        <f t="shared" si="3"/>
        <v>470.71332035269404</v>
      </c>
      <c r="I8" s="14">
        <f t="shared" si="0"/>
        <v>108.2678301954446</v>
      </c>
      <c r="J8" s="8">
        <v>0.861713462865772</v>
      </c>
      <c r="K8" s="18">
        <v>12.292322</v>
      </c>
      <c r="L8" s="7">
        <f t="shared" si="4"/>
        <v>86.343040466467428</v>
      </c>
      <c r="M8" s="14">
        <f t="shared" si="1"/>
        <v>19.859590199779216</v>
      </c>
      <c r="N8" s="8">
        <f t="shared" si="5"/>
        <v>0.861713462865772</v>
      </c>
    </row>
    <row r="9" spans="2:14" ht="18" customHeight="1" x14ac:dyDescent="0.25">
      <c r="B9" s="15">
        <v>5</v>
      </c>
      <c r="C9" s="18">
        <v>52.672953621769501</v>
      </c>
      <c r="D9" s="10">
        <v>579.61528766263905</v>
      </c>
      <c r="E9" s="14">
        <v>133.37671427845939</v>
      </c>
      <c r="F9" s="8">
        <f t="shared" si="2"/>
        <v>0.94540284766385707</v>
      </c>
      <c r="G9" s="18">
        <v>46.409061999999999</v>
      </c>
      <c r="H9" s="10">
        <f t="shared" si="3"/>
        <v>342.26889049594757</v>
      </c>
      <c r="I9" s="14">
        <f t="shared" si="0"/>
        <v>78.760344983609144</v>
      </c>
      <c r="J9" s="8">
        <v>0.90517248225714897</v>
      </c>
      <c r="K9" s="18">
        <v>65.252426999999997</v>
      </c>
      <c r="L9" s="7">
        <f t="shared" si="4"/>
        <v>481.23954307582875</v>
      </c>
      <c r="M9" s="14">
        <f t="shared" si="1"/>
        <v>110.73922721251661</v>
      </c>
      <c r="N9" s="8">
        <f t="shared" si="5"/>
        <v>0.90517248225714897</v>
      </c>
    </row>
    <row r="10" spans="2:14" ht="18" customHeight="1" x14ac:dyDescent="0.25">
      <c r="B10" s="15">
        <v>6</v>
      </c>
      <c r="C10" s="18">
        <v>83.623541015700667</v>
      </c>
      <c r="D10" s="10">
        <v>946.5486803341413</v>
      </c>
      <c r="E10" s="14">
        <v>217.67173639906471</v>
      </c>
      <c r="F10" s="8">
        <f t="shared" si="2"/>
        <v>0.97184734312187271</v>
      </c>
      <c r="G10" s="18">
        <v>150.228093</v>
      </c>
      <c r="H10" s="10">
        <f t="shared" si="3"/>
        <v>1145.3864335984892</v>
      </c>
      <c r="I10" s="14">
        <f t="shared" si="0"/>
        <v>263.39718075704599</v>
      </c>
      <c r="J10" s="8">
        <v>0.93516122582321826</v>
      </c>
      <c r="K10" s="18">
        <v>5.157133</v>
      </c>
      <c r="L10" s="7">
        <f t="shared" si="4"/>
        <v>39.319610976244476</v>
      </c>
      <c r="M10" s="14">
        <f t="shared" si="1"/>
        <v>9.0420790536769076</v>
      </c>
      <c r="N10" s="8">
        <f t="shared" si="5"/>
        <v>0.93516122582321826</v>
      </c>
    </row>
    <row r="11" spans="2:14" ht="18" customHeight="1" x14ac:dyDescent="0.25">
      <c r="B11" s="15">
        <v>7</v>
      </c>
      <c r="C11" s="18">
        <v>372.47932817527101</v>
      </c>
      <c r="D11" s="10">
        <v>3068.2807133191241</v>
      </c>
      <c r="E11" s="14">
        <v>707.21496603405967</v>
      </c>
      <c r="F11" s="8">
        <f t="shared" si="2"/>
        <v>0.70888180761782948</v>
      </c>
      <c r="G11" s="18">
        <v>285.439525</v>
      </c>
      <c r="H11" s="10">
        <f t="shared" si="3"/>
        <v>1615.8408902347333</v>
      </c>
      <c r="I11" s="14">
        <f t="shared" si="0"/>
        <v>372.4388239130933</v>
      </c>
      <c r="J11" s="8">
        <v>0.69593288740407067</v>
      </c>
      <c r="K11" s="18">
        <v>0</v>
      </c>
      <c r="L11" s="7">
        <f t="shared" si="4"/>
        <v>0</v>
      </c>
      <c r="M11" s="14">
        <f t="shared" si="1"/>
        <v>0</v>
      </c>
      <c r="N11" s="8">
        <f t="shared" si="5"/>
        <v>0.69593288740407067</v>
      </c>
    </row>
    <row r="12" spans="2:14" ht="18" customHeight="1" x14ac:dyDescent="0.25">
      <c r="B12" s="15">
        <v>8</v>
      </c>
      <c r="C12" s="18">
        <v>94.7596580134242</v>
      </c>
      <c r="D12" s="10">
        <v>878.39226417666225</v>
      </c>
      <c r="E12" s="14">
        <v>202.33147828431649</v>
      </c>
      <c r="F12" s="8">
        <f t="shared" si="2"/>
        <v>0.79719494025946447</v>
      </c>
      <c r="G12" s="18">
        <v>162.43614499999998</v>
      </c>
      <c r="H12" s="10">
        <f t="shared" si="3"/>
        <v>1004.5352733534196</v>
      </c>
      <c r="I12" s="14">
        <f t="shared" si="0"/>
        <v>231.3876329920181</v>
      </c>
      <c r="J12" s="8">
        <v>0.75977323970878197</v>
      </c>
      <c r="K12" s="18">
        <v>0</v>
      </c>
      <c r="L12" s="7">
        <f t="shared" si="4"/>
        <v>0</v>
      </c>
      <c r="M12" s="14">
        <f t="shared" si="1"/>
        <v>0</v>
      </c>
      <c r="N12" s="8">
        <f t="shared" si="5"/>
        <v>0.75977323970878197</v>
      </c>
    </row>
    <row r="13" spans="2:14" ht="18" customHeight="1" x14ac:dyDescent="0.25">
      <c r="B13" s="15">
        <v>9</v>
      </c>
      <c r="C13" s="18">
        <v>289.47211037856698</v>
      </c>
      <c r="D13" s="10">
        <v>2598.795147517314</v>
      </c>
      <c r="E13" s="14">
        <v>598.5456341501208</v>
      </c>
      <c r="F13" s="8">
        <f t="shared" si="2"/>
        <v>0.77199609531576885</v>
      </c>
      <c r="G13" s="18">
        <v>357.86860200000001</v>
      </c>
      <c r="H13" s="10">
        <f t="shared" si="3"/>
        <v>2313.5466909816701</v>
      </c>
      <c r="I13" s="14">
        <f t="shared" si="0"/>
        <v>532.8481825943195</v>
      </c>
      <c r="J13" s="8">
        <v>0.79415708683034647</v>
      </c>
      <c r="K13" s="18">
        <v>0</v>
      </c>
      <c r="L13" s="7">
        <f t="shared" si="4"/>
        <v>0</v>
      </c>
      <c r="M13" s="14">
        <f t="shared" si="1"/>
        <v>0</v>
      </c>
      <c r="N13" s="8">
        <f t="shared" si="5"/>
        <v>0.79415708683034647</v>
      </c>
    </row>
    <row r="14" spans="2:14" ht="18" customHeight="1" x14ac:dyDescent="0.25">
      <c r="B14" s="15">
        <v>10</v>
      </c>
      <c r="C14" s="18">
        <v>151.971123340204</v>
      </c>
      <c r="D14" s="10">
        <v>1592.137180586499</v>
      </c>
      <c r="E14" s="14">
        <v>365.75945224107511</v>
      </c>
      <c r="F14" s="8">
        <f t="shared" si="2"/>
        <v>0.8985847592209355</v>
      </c>
      <c r="G14" s="18">
        <v>39.023788000000003</v>
      </c>
      <c r="H14" s="10">
        <f t="shared" si="3"/>
        <v>299.03155991476439</v>
      </c>
      <c r="I14" s="14">
        <f t="shared" si="0"/>
        <v>68.696102880361266</v>
      </c>
      <c r="J14" s="8">
        <v>0.93892131930527922</v>
      </c>
      <c r="K14" s="18">
        <v>0</v>
      </c>
      <c r="L14" s="7">
        <f t="shared" si="4"/>
        <v>0</v>
      </c>
      <c r="M14" s="14">
        <f t="shared" si="1"/>
        <v>0</v>
      </c>
      <c r="N14" s="8">
        <f t="shared" si="5"/>
        <v>0.93892131930527922</v>
      </c>
    </row>
    <row r="15" spans="2:14" ht="18" customHeight="1" x14ac:dyDescent="0.25">
      <c r="B15" s="15">
        <v>11</v>
      </c>
      <c r="C15" s="18">
        <v>128.95198350210089</v>
      </c>
      <c r="D15" s="10">
        <v>1439.044384921815</v>
      </c>
      <c r="E15" s="14">
        <v>331.01398497014799</v>
      </c>
      <c r="F15" s="8">
        <f t="shared" si="2"/>
        <v>0.95839133735025361</v>
      </c>
      <c r="G15" s="18">
        <v>152.21254500000001</v>
      </c>
      <c r="H15" s="10">
        <f t="shared" si="3"/>
        <v>1076.4375075509038</v>
      </c>
      <c r="I15" s="14">
        <f t="shared" si="0"/>
        <v>247.60589227073598</v>
      </c>
      <c r="J15" s="8">
        <v>0.86763497734776052</v>
      </c>
      <c r="K15" s="18">
        <v>0</v>
      </c>
      <c r="L15" s="7">
        <f t="shared" si="4"/>
        <v>0</v>
      </c>
      <c r="M15" s="14">
        <f t="shared" si="1"/>
        <v>0</v>
      </c>
      <c r="N15" s="8">
        <f t="shared" si="5"/>
        <v>0.86763497734776052</v>
      </c>
    </row>
    <row r="16" spans="2:14" ht="18" customHeight="1" x14ac:dyDescent="0.25">
      <c r="B16" s="15">
        <v>12</v>
      </c>
      <c r="C16" s="18">
        <v>92.646562354088672</v>
      </c>
      <c r="D16" s="10">
        <v>907.72577763678521</v>
      </c>
      <c r="E16" s="14">
        <v>208.60115317385601</v>
      </c>
      <c r="F16" s="8">
        <f t="shared" si="2"/>
        <v>0.84064369328464361</v>
      </c>
      <c r="G16" s="18">
        <v>344.33336099999997</v>
      </c>
      <c r="H16" s="10">
        <f t="shared" si="3"/>
        <v>2619.4773297396709</v>
      </c>
      <c r="I16" s="14">
        <f t="shared" si="0"/>
        <v>601.972539679394</v>
      </c>
      <c r="J16" s="8">
        <v>0.93244688482801752</v>
      </c>
      <c r="K16" s="18">
        <v>243.74626099999998</v>
      </c>
      <c r="L16" s="7">
        <f t="shared" si="4"/>
        <v>1854.2722756924759</v>
      </c>
      <c r="M16" s="14">
        <f t="shared" si="1"/>
        <v>426.12355464310184</v>
      </c>
      <c r="N16" s="8">
        <f t="shared" si="5"/>
        <v>0.93244688482801752</v>
      </c>
    </row>
    <row r="17" spans="2:14" ht="18" customHeight="1" x14ac:dyDescent="0.25">
      <c r="B17" s="15">
        <v>13</v>
      </c>
      <c r="C17" s="19">
        <v>8.3469744157026273</v>
      </c>
      <c r="D17" s="11">
        <v>107.3416506478211</v>
      </c>
      <c r="E17" s="171">
        <v>24.745046472340078</v>
      </c>
      <c r="F17" s="25">
        <f t="shared" si="2"/>
        <v>1.1068372205756745</v>
      </c>
      <c r="G17" s="19">
        <v>60</v>
      </c>
      <c r="H17" s="11">
        <f t="shared" si="3"/>
        <v>467.59972956961201</v>
      </c>
      <c r="I17" s="4">
        <f t="shared" si="0"/>
        <v>107.79391754107122</v>
      </c>
      <c r="J17" s="25">
        <v>0.95822948260752017</v>
      </c>
      <c r="K17" s="19">
        <v>1.2316750000000001</v>
      </c>
      <c r="L17" s="4">
        <f t="shared" si="4"/>
        <v>9.5988482819608638</v>
      </c>
      <c r="M17" s="171">
        <f t="shared" si="1"/>
        <v>2.2127845564566484</v>
      </c>
      <c r="N17" s="25">
        <f t="shared" si="5"/>
        <v>0.95822948260752017</v>
      </c>
    </row>
    <row r="18" spans="2:14" ht="18" customHeight="1" x14ac:dyDescent="0.25">
      <c r="B18" s="26" t="s">
        <v>5</v>
      </c>
      <c r="C18" s="27">
        <f>SUM(C5:C17)</f>
        <v>1605.9158003037001</v>
      </c>
      <c r="D18" s="28">
        <f>SUM(D5:D17)</f>
        <v>15877.622974024031</v>
      </c>
      <c r="E18" s="28">
        <f>SUM(E5:E17)</f>
        <v>3654.6418449565754</v>
      </c>
      <c r="F18" s="29">
        <f>SUMPRODUCT(F5:F17,C5:C17)/C18</f>
        <v>0.84966282106685365</v>
      </c>
      <c r="G18" s="30">
        <f>SUM(G5:G17)</f>
        <v>1936.1127280000001</v>
      </c>
      <c r="H18" s="28">
        <f>SUM(H5:H17)</f>
        <v>13381.112978294381</v>
      </c>
      <c r="I18" s="28">
        <f>SUM(I5:I17)</f>
        <v>3079.7134329585442</v>
      </c>
      <c r="J18" s="130">
        <f>SUMPRODUCT(J5:J17,C5:C17)/C18</f>
        <v>0.83606575975377362</v>
      </c>
      <c r="K18" s="30">
        <f>SUM(K5:K17)</f>
        <v>352.10589599999997</v>
      </c>
      <c r="L18" s="28">
        <f>SUM(L5:L17)</f>
        <v>2667.3133858003489</v>
      </c>
      <c r="M18" s="28">
        <f>SUM(M5:M17)</f>
        <v>613.17723147852712</v>
      </c>
      <c r="N18" s="167">
        <f>SUMPRODUCT(N5:N17,C5:C17)/C18</f>
        <v>0.83606575975377362</v>
      </c>
    </row>
    <row r="20" spans="2:14" x14ac:dyDescent="0.25">
      <c r="J20" s="20"/>
      <c r="M20" s="20"/>
    </row>
    <row r="21" spans="2:14" x14ac:dyDescent="0.25">
      <c r="J21" s="20"/>
      <c r="M21" s="20"/>
    </row>
    <row r="22" spans="2:14" x14ac:dyDescent="0.25">
      <c r="J22" s="20"/>
      <c r="M22" s="20"/>
    </row>
    <row r="23" spans="2:14" x14ac:dyDescent="0.25">
      <c r="J23" s="20"/>
      <c r="M23" s="20"/>
    </row>
    <row r="24" spans="2:14" x14ac:dyDescent="0.25">
      <c r="J24" s="20"/>
      <c r="M24" s="20"/>
    </row>
    <row r="25" spans="2:14" x14ac:dyDescent="0.25">
      <c r="J25" s="20"/>
      <c r="M25" s="20"/>
    </row>
    <row r="26" spans="2:14" x14ac:dyDescent="0.25">
      <c r="J26" s="20"/>
    </row>
    <row r="27" spans="2:14" x14ac:dyDescent="0.25">
      <c r="J27" s="20"/>
    </row>
    <row r="28" spans="2:14" x14ac:dyDescent="0.25">
      <c r="J28" s="20"/>
    </row>
    <row r="29" spans="2:14" x14ac:dyDescent="0.25">
      <c r="J29" s="20"/>
    </row>
    <row r="30" spans="2:14" x14ac:dyDescent="0.25">
      <c r="J30" s="20"/>
    </row>
  </sheetData>
  <mergeCells count="4">
    <mergeCell ref="B3:B4"/>
    <mergeCell ref="C2:F2"/>
    <mergeCell ref="G2:J2"/>
    <mergeCell ref="K2:N2"/>
  </mergeCells>
  <pageMargins left="0.7" right="0.7" top="0.75" bottom="0.75" header="0.3" footer="0.3"/>
  <pageSetup orientation="portrait" r:id="rId1"/>
  <ignoredErrors>
    <ignoredError sqref="F18 J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AE07-82BA-4169-A86F-7D42BB7E1BDE}">
  <sheetPr>
    <tabColor rgb="FF00B0F0"/>
    <pageSetUpPr fitToPage="1"/>
  </sheetPr>
  <dimension ref="B1:X29"/>
  <sheetViews>
    <sheetView rightToLeft="1" zoomScale="85" zoomScaleNormal="85" workbookViewId="0">
      <pane ySplit="4" topLeftCell="A8" activePane="bottomLeft" state="frozen"/>
      <selection activeCell="C1" sqref="C1"/>
      <selection pane="bottomLeft" activeCell="F31" sqref="F31"/>
    </sheetView>
  </sheetViews>
  <sheetFormatPr defaultColWidth="9.28515625" defaultRowHeight="15" x14ac:dyDescent="0.25"/>
  <cols>
    <col min="1" max="1" width="9.28515625" style="31" customWidth="1"/>
    <col min="2" max="2" width="3" style="31" customWidth="1"/>
    <col min="3" max="3" width="21.140625" style="31" bestFit="1" customWidth="1"/>
    <col min="4" max="8" width="11.42578125" style="31" customWidth="1"/>
    <col min="9" max="9" width="8.5703125" style="31" customWidth="1"/>
    <col min="10" max="10" width="10" style="31" customWidth="1"/>
    <col min="11" max="11" width="15.5703125" style="31" customWidth="1"/>
    <col min="12" max="12" width="10.28515625" style="31" customWidth="1"/>
    <col min="13" max="14" width="8.42578125" style="31" customWidth="1"/>
    <col min="15" max="15" width="9.7109375" style="31" customWidth="1"/>
    <col min="16" max="16" width="11.7109375" style="31" customWidth="1"/>
    <col min="17" max="17" width="9.42578125" style="31" bestFit="1" customWidth="1"/>
    <col min="18" max="18" width="11.28515625" style="31" customWidth="1"/>
    <col min="19" max="19" width="10.5703125" style="31" customWidth="1"/>
    <col min="20" max="20" width="11.5703125" style="31" customWidth="1"/>
    <col min="21" max="21" width="12.28515625" style="31" bestFit="1" customWidth="1"/>
    <col min="22" max="23" width="10.5703125" style="31" customWidth="1"/>
    <col min="24" max="24" width="12.7109375" style="31" customWidth="1"/>
    <col min="25" max="16384" width="9.28515625" style="31"/>
  </cols>
  <sheetData>
    <row r="1" spans="3:24" ht="10.5" customHeight="1" x14ac:dyDescent="0.25"/>
    <row r="2" spans="3:24" ht="24.75" customHeight="1" x14ac:dyDescent="0.6">
      <c r="C2" s="32"/>
      <c r="D2" s="32"/>
      <c r="E2" s="33" t="s">
        <v>12</v>
      </c>
      <c r="I2" s="32"/>
      <c r="J2" s="32"/>
      <c r="L2" s="205" t="s">
        <v>39</v>
      </c>
      <c r="M2" s="205"/>
      <c r="N2" s="168">
        <v>0.7</v>
      </c>
    </row>
    <row r="3" spans="3:24" ht="24" customHeight="1" x14ac:dyDescent="0.25">
      <c r="C3" s="197" t="s">
        <v>13</v>
      </c>
      <c r="D3" s="210" t="s">
        <v>14</v>
      </c>
      <c r="E3" s="209"/>
      <c r="F3" s="209"/>
      <c r="G3" s="209"/>
      <c r="H3" s="211"/>
      <c r="I3" s="199" t="s">
        <v>15</v>
      </c>
      <c r="J3" s="201" t="s">
        <v>16</v>
      </c>
      <c r="K3" s="203" t="s">
        <v>17</v>
      </c>
      <c r="L3" s="194" t="s">
        <v>18</v>
      </c>
      <c r="M3" s="195"/>
      <c r="N3" s="195"/>
      <c r="O3" s="195"/>
      <c r="P3" s="195"/>
      <c r="Q3" s="195"/>
      <c r="R3" s="196"/>
      <c r="S3" s="206" t="s">
        <v>19</v>
      </c>
      <c r="T3" s="207"/>
      <c r="U3" s="207"/>
      <c r="V3" s="208"/>
      <c r="W3" s="209" t="s">
        <v>20</v>
      </c>
      <c r="X3" s="209"/>
    </row>
    <row r="4" spans="3:24" ht="41.25" customHeight="1" x14ac:dyDescent="0.25">
      <c r="C4" s="198"/>
      <c r="D4" s="34" t="s">
        <v>21</v>
      </c>
      <c r="E4" s="34" t="s">
        <v>37</v>
      </c>
      <c r="F4" s="35" t="s">
        <v>22</v>
      </c>
      <c r="G4" s="35" t="s">
        <v>23</v>
      </c>
      <c r="H4" s="35" t="s">
        <v>24</v>
      </c>
      <c r="I4" s="200"/>
      <c r="J4" s="202"/>
      <c r="K4" s="204"/>
      <c r="L4" s="36" t="s">
        <v>25</v>
      </c>
      <c r="M4" s="37" t="s">
        <v>22</v>
      </c>
      <c r="N4" s="37" t="s">
        <v>23</v>
      </c>
      <c r="O4" s="37" t="s">
        <v>24</v>
      </c>
      <c r="P4" s="38" t="s">
        <v>26</v>
      </c>
      <c r="Q4" s="39" t="s">
        <v>27</v>
      </c>
      <c r="R4" s="40" t="s">
        <v>28</v>
      </c>
      <c r="S4" s="41" t="s">
        <v>29</v>
      </c>
      <c r="T4" s="35" t="s">
        <v>30</v>
      </c>
      <c r="U4" s="37"/>
      <c r="V4" s="42" t="s">
        <v>31</v>
      </c>
      <c r="W4" s="43" t="s">
        <v>32</v>
      </c>
      <c r="X4" s="43" t="s">
        <v>33</v>
      </c>
    </row>
    <row r="5" spans="3:24" ht="19.5" hidden="1" customHeight="1" x14ac:dyDescent="0.6">
      <c r="C5" s="32"/>
      <c r="D5" s="32"/>
      <c r="E5" s="33"/>
      <c r="I5" s="32"/>
      <c r="J5" s="32"/>
      <c r="T5" s="44"/>
      <c r="U5" s="172"/>
    </row>
    <row r="6" spans="3:24" ht="22.5" customHeight="1" x14ac:dyDescent="0.25">
      <c r="C6" s="45">
        <v>1</v>
      </c>
      <c r="D6" s="46">
        <v>42.587899999999998</v>
      </c>
      <c r="E6" s="46">
        <f>هیدرومدول!C5</f>
        <v>43.871776657116328</v>
      </c>
      <c r="F6" s="91">
        <f>هیدرومدول!K5*$N$2</f>
        <v>0.807338</v>
      </c>
      <c r="G6" s="92">
        <f>هیدرومدول!G5*$N$2</f>
        <v>7.2705079999999986</v>
      </c>
      <c r="H6" s="126">
        <v>0</v>
      </c>
      <c r="I6" s="47">
        <v>0.1</v>
      </c>
      <c r="J6" s="48">
        <v>0.05</v>
      </c>
      <c r="K6" s="49">
        <f>SUM(E6:H6)*(1+I6)*(1+J6)</f>
        <v>60.001814168969368</v>
      </c>
      <c r="L6" s="50">
        <f>هیدرومدول!E5*1000/31/24/3600*1000</f>
        <v>50.899805791956233</v>
      </c>
      <c r="M6" s="54">
        <f>F6*هیدرومدول!N5</f>
        <v>0.81145749934911893</v>
      </c>
      <c r="N6" s="55">
        <f>G6*هیدرومدول!J5</f>
        <v>7.3076062822235084</v>
      </c>
      <c r="O6" s="55">
        <f>H6*هیدرومدول!N5</f>
        <v>0</v>
      </c>
      <c r="P6" s="51">
        <f t="shared" ref="P6:P18" si="0">SUM(L6:O6)*(J6+I6)</f>
        <v>8.8528304360293308</v>
      </c>
      <c r="Q6" s="52">
        <v>0.05</v>
      </c>
      <c r="R6" s="53">
        <f t="shared" ref="R6:R18" si="1">SUM(L6:O6)*(1+J6)*(1+Q6)*(1+I6)</f>
        <v>71.575134075297143</v>
      </c>
      <c r="S6" s="54">
        <f>R6*3600*24*31/1000/1000</f>
        <v>191.70683910727587</v>
      </c>
      <c r="T6" s="55">
        <f>S6/V6</f>
        <v>832.7014786280987</v>
      </c>
      <c r="U6" s="55">
        <f>T6*1000/K6</f>
        <v>13877.938361716069</v>
      </c>
      <c r="V6" s="56">
        <f>(هیدرومدول!E5/هیدرومدول!D5)</f>
        <v>0.23022276773558609</v>
      </c>
      <c r="W6" s="57">
        <f t="shared" ref="W6:W18" si="2">R6/K6</f>
        <v>1.1928828330712882</v>
      </c>
      <c r="X6" s="58">
        <f>S6*1000/K6</f>
        <v>3195.0173800981388</v>
      </c>
    </row>
    <row r="7" spans="3:24" ht="22.5" customHeight="1" x14ac:dyDescent="0.25">
      <c r="C7" s="60">
        <v>2</v>
      </c>
      <c r="D7" s="61">
        <v>124.5886</v>
      </c>
      <c r="E7" s="61">
        <f>هیدرومدول!C6</f>
        <v>124.1817619095913</v>
      </c>
      <c r="F7" s="62">
        <f>هیدرومدول!K6*$N$2</f>
        <v>16.290916599999999</v>
      </c>
      <c r="G7" s="63">
        <f>هیدرومدول!G6*$N$2</f>
        <v>79.083682999999994</v>
      </c>
      <c r="H7" s="127">
        <v>0</v>
      </c>
      <c r="I7" s="64">
        <f t="shared" ref="I7:J18" si="3">I6</f>
        <v>0.1</v>
      </c>
      <c r="J7" s="65">
        <f>J6</f>
        <v>0.05</v>
      </c>
      <c r="K7" s="66">
        <f t="shared" ref="K7:K18" si="4">SUM(E7:H7)*(1+I7)*(1+J7)</f>
        <v>253.58759754357797</v>
      </c>
      <c r="L7" s="67">
        <f>هیدرومدول!E6*1000/31/24/3600*1000</f>
        <v>121.60866421080911</v>
      </c>
      <c r="M7" s="71">
        <f>F7*هیدرومدول!N6</f>
        <v>16.064287651859026</v>
      </c>
      <c r="N7" s="72">
        <f>G7*هیدرومدول!J6</f>
        <v>77.983520723470747</v>
      </c>
      <c r="O7" s="72">
        <f>H7*هیدرومدول!N6</f>
        <v>0</v>
      </c>
      <c r="P7" s="68">
        <f t="shared" si="0"/>
        <v>32.348470887920833</v>
      </c>
      <c r="Q7" s="69">
        <f t="shared" ref="Q7:Q18" si="5">Q6</f>
        <v>0.05</v>
      </c>
      <c r="R7" s="70">
        <f t="shared" si="1"/>
        <v>261.53738712883995</v>
      </c>
      <c r="S7" s="71">
        <f t="shared" ref="S7:S18" si="6">R7*3600*24*31/1000/1000</f>
        <v>700.5017376858849</v>
      </c>
      <c r="T7" s="72">
        <f t="shared" ref="T7:T18" si="7">S7/V7</f>
        <v>3046.1072844804753</v>
      </c>
      <c r="U7" s="72">
        <f t="shared" ref="U7:U19" si="8">T7*1000/K7</f>
        <v>12012.051511931748</v>
      </c>
      <c r="V7" s="73">
        <f>(هیدرومدول!E6/هیدرومدول!D6)</f>
        <v>0.22996620678951499</v>
      </c>
      <c r="W7" s="59">
        <f t="shared" si="2"/>
        <v>1.0313492838856042</v>
      </c>
      <c r="X7" s="74">
        <f t="shared" ref="X7:X18" si="9">S7*1000/K7</f>
        <v>2762.3659219592023</v>
      </c>
    </row>
    <row r="8" spans="3:24" ht="22.5" customHeight="1" x14ac:dyDescent="0.25">
      <c r="C8" s="60">
        <v>3</v>
      </c>
      <c r="D8" s="61">
        <v>103.5865</v>
      </c>
      <c r="E8" s="61">
        <f>هیدرومدول!C7</f>
        <v>102.82180311608489</v>
      </c>
      <c r="F8" s="62">
        <f>هیدرومدول!K7*$N$2</f>
        <v>0</v>
      </c>
      <c r="G8" s="63">
        <f>هیدرومدول!G7*$N$2</f>
        <v>103.4493999</v>
      </c>
      <c r="H8" s="127">
        <v>7.1359824143999893</v>
      </c>
      <c r="I8" s="64">
        <f t="shared" si="3"/>
        <v>0.1</v>
      </c>
      <c r="J8" s="65">
        <f t="shared" si="3"/>
        <v>0.05</v>
      </c>
      <c r="K8" s="66">
        <f t="shared" si="4"/>
        <v>246.48529917221003</v>
      </c>
      <c r="L8" s="67">
        <f>هیدرومدول!E7*1000/31/24/3600*1000</f>
        <v>95.555610314885485</v>
      </c>
      <c r="M8" s="71">
        <f>F8*هیدرومدول!N7</f>
        <v>0</v>
      </c>
      <c r="N8" s="72">
        <f>G8*هیدرومدول!J7</f>
        <v>88.896815479166506</v>
      </c>
      <c r="O8" s="72">
        <f>H8*هیدرومدول!N7</f>
        <v>6.1321391189190733</v>
      </c>
      <c r="P8" s="68">
        <f t="shared" si="0"/>
        <v>28.587684736945661</v>
      </c>
      <c r="Q8" s="69">
        <f t="shared" si="5"/>
        <v>0.05</v>
      </c>
      <c r="R8" s="70">
        <f t="shared" si="1"/>
        <v>231.13143109820567</v>
      </c>
      <c r="S8" s="71">
        <f t="shared" si="6"/>
        <v>619.06242505343414</v>
      </c>
      <c r="T8" s="72">
        <f t="shared" si="7"/>
        <v>2685.7720202004803</v>
      </c>
      <c r="U8" s="72">
        <f t="shared" si="8"/>
        <v>10896.276691633573</v>
      </c>
      <c r="V8" s="73">
        <f>(هیدرومدول!E7/هیدرومدول!D7)</f>
        <v>0.23049701180788384</v>
      </c>
      <c r="W8" s="59">
        <f t="shared" si="2"/>
        <v>0.93770878780370104</v>
      </c>
      <c r="X8" s="74">
        <f t="shared" si="9"/>
        <v>2511.559217253433</v>
      </c>
    </row>
    <row r="9" spans="3:24" ht="22.5" customHeight="1" x14ac:dyDescent="0.25">
      <c r="C9" s="75">
        <v>4</v>
      </c>
      <c r="D9" s="76">
        <v>51.905000000000001</v>
      </c>
      <c r="E9" s="76">
        <f>هیدرومدول!C8</f>
        <v>60.116223804079112</v>
      </c>
      <c r="F9" s="77">
        <f>هیدرومدول!K8*$N$2</f>
        <v>8.6046253999999998</v>
      </c>
      <c r="G9" s="78">
        <f>هیدرومدول!G8*$N$2</f>
        <v>46.909533999999987</v>
      </c>
      <c r="H9" s="128">
        <v>0</v>
      </c>
      <c r="I9" s="79">
        <f t="shared" si="3"/>
        <v>0.1</v>
      </c>
      <c r="J9" s="80">
        <f t="shared" si="3"/>
        <v>0.05</v>
      </c>
      <c r="K9" s="81">
        <f t="shared" si="4"/>
        <v>133.55309260071138</v>
      </c>
      <c r="L9" s="82">
        <f>هیدرومدول!E8*1000/31/24/3600*1000</f>
        <v>55.032424667838683</v>
      </c>
      <c r="M9" s="86">
        <f>F9*هیدرومدول!N8</f>
        <v>7.414721550096778</v>
      </c>
      <c r="N9" s="87">
        <f>G9*هیدرومدول!J8</f>
        <v>40.422576984559655</v>
      </c>
      <c r="O9" s="87">
        <f>H9*هیدرومدول!N8</f>
        <v>0</v>
      </c>
      <c r="P9" s="83">
        <f t="shared" si="0"/>
        <v>15.43045848037427</v>
      </c>
      <c r="Q9" s="84">
        <f t="shared" si="5"/>
        <v>0.05</v>
      </c>
      <c r="R9" s="85">
        <f t="shared" si="1"/>
        <v>124.75525681382598</v>
      </c>
      <c r="S9" s="86">
        <f t="shared" si="6"/>
        <v>334.14447985015147</v>
      </c>
      <c r="T9" s="87">
        <f t="shared" si="7"/>
        <v>1452.7515449774528</v>
      </c>
      <c r="U9" s="87">
        <f t="shared" si="8"/>
        <v>10877.708008760215</v>
      </c>
      <c r="V9" s="88">
        <f>(هیدرومدول!E8/هیدرومدول!D8)</f>
        <v>0.23000800171603844</v>
      </c>
      <c r="W9" s="89">
        <f t="shared" si="2"/>
        <v>0.93412480672994513</v>
      </c>
      <c r="X9" s="90">
        <f t="shared" si="9"/>
        <v>2501.9598823454849</v>
      </c>
    </row>
    <row r="10" spans="3:24" ht="22.5" customHeight="1" x14ac:dyDescent="0.25">
      <c r="C10" s="45">
        <v>5</v>
      </c>
      <c r="D10" s="46">
        <v>44.6798</v>
      </c>
      <c r="E10" s="46">
        <f>هیدرومدول!C9</f>
        <v>52.672953621769501</v>
      </c>
      <c r="F10" s="91">
        <f>هیدرومدول!K9*$N$2</f>
        <v>45.676698899999998</v>
      </c>
      <c r="G10" s="92">
        <f>هیدرومدول!G9*$N$2</f>
        <v>32.486343399999996</v>
      </c>
      <c r="H10" s="126">
        <v>9.0382270467999906</v>
      </c>
      <c r="I10" s="93">
        <f t="shared" si="3"/>
        <v>0.1</v>
      </c>
      <c r="J10" s="94">
        <f t="shared" si="3"/>
        <v>0.05</v>
      </c>
      <c r="K10" s="49">
        <f t="shared" si="4"/>
        <v>161.55472752869775</v>
      </c>
      <c r="L10" s="50">
        <f>هیدرومدول!E9*1000/31/24/3600*1000</f>
        <v>49.797160348887161</v>
      </c>
      <c r="M10" s="54">
        <f>F10*هیدرومدول!N9</f>
        <v>41.345290924625381</v>
      </c>
      <c r="N10" s="55">
        <f>G10*هیدرومدول!J9</f>
        <v>29.405744094836145</v>
      </c>
      <c r="O10" s="55">
        <f>H10*هیدرومدول!N9</f>
        <v>8.1811544111556476</v>
      </c>
      <c r="P10" s="95">
        <f t="shared" si="0"/>
        <v>19.309402466925654</v>
      </c>
      <c r="Q10" s="96">
        <f t="shared" si="5"/>
        <v>0.05</v>
      </c>
      <c r="R10" s="53">
        <f t="shared" si="1"/>
        <v>156.1165189450939</v>
      </c>
      <c r="S10" s="54">
        <f t="shared" si="6"/>
        <v>418.14248434253955</v>
      </c>
      <c r="T10" s="55">
        <f t="shared" si="7"/>
        <v>1817.1221090375407</v>
      </c>
      <c r="U10" s="55">
        <f t="shared" si="8"/>
        <v>11247.718570877205</v>
      </c>
      <c r="V10" s="56">
        <f>(هیدرومدول!E9/هیدرومدول!D9)</f>
        <v>0.23011248515599947</v>
      </c>
      <c r="W10" s="57">
        <f t="shared" si="2"/>
        <v>0.96633828878428929</v>
      </c>
      <c r="X10" s="58">
        <f t="shared" si="9"/>
        <v>2588.2404726798409</v>
      </c>
    </row>
    <row r="11" spans="3:24" ht="22.5" customHeight="1" x14ac:dyDescent="0.25">
      <c r="C11" s="60">
        <v>6</v>
      </c>
      <c r="D11" s="61">
        <v>78.962400000000002</v>
      </c>
      <c r="E11" s="61">
        <f>هیدرومدول!C10</f>
        <v>83.623541015700667</v>
      </c>
      <c r="F11" s="62">
        <f>هیدرومدول!K10*$N$2</f>
        <v>3.6099930999999996</v>
      </c>
      <c r="G11" s="63">
        <f>هیدرومدول!G10*$N$2</f>
        <v>105.1596651</v>
      </c>
      <c r="H11" s="127">
        <v>0</v>
      </c>
      <c r="I11" s="64">
        <f t="shared" si="3"/>
        <v>0.1</v>
      </c>
      <c r="J11" s="65">
        <f t="shared" si="3"/>
        <v>0.05</v>
      </c>
      <c r="K11" s="66">
        <f t="shared" si="4"/>
        <v>222.2141450941343</v>
      </c>
      <c r="L11" s="67">
        <f>هیدرومدول!E10*1000/31/24/3600*1000</f>
        <v>81.269316158551632</v>
      </c>
      <c r="M11" s="71">
        <f>F11*هیدرومدول!N10</f>
        <v>3.3759255726093595</v>
      </c>
      <c r="N11" s="72">
        <f>G11*هیدرومدول!J10</f>
        <v>98.341241322075106</v>
      </c>
      <c r="O11" s="72">
        <f>H11*هیدرومدول!N10</f>
        <v>0</v>
      </c>
      <c r="P11" s="68">
        <f t="shared" si="0"/>
        <v>27.447972457985419</v>
      </c>
      <c r="Q11" s="69">
        <f t="shared" si="5"/>
        <v>0.05</v>
      </c>
      <c r="R11" s="70">
        <f t="shared" si="1"/>
        <v>221.91685732281212</v>
      </c>
      <c r="S11" s="71">
        <f t="shared" si="6"/>
        <v>594.38211065342</v>
      </c>
      <c r="T11" s="72">
        <f t="shared" si="7"/>
        <v>2584.6791676332386</v>
      </c>
      <c r="U11" s="72">
        <f t="shared" si="8"/>
        <v>11631.479024606277</v>
      </c>
      <c r="V11" s="73">
        <f>(هیدرومدول!E10/هیدرومدول!D10)</f>
        <v>0.22996359397197022</v>
      </c>
      <c r="W11" s="59">
        <f t="shared" si="2"/>
        <v>0.99866215640234679</v>
      </c>
      <c r="X11" s="74">
        <f t="shared" si="9"/>
        <v>2674.8167197080456</v>
      </c>
    </row>
    <row r="12" spans="3:24" ht="22.5" customHeight="1" x14ac:dyDescent="0.25">
      <c r="C12" s="60">
        <v>7</v>
      </c>
      <c r="D12" s="61">
        <v>478.28590000000003</v>
      </c>
      <c r="E12" s="61">
        <f>هیدرومدول!C11</f>
        <v>372.47932817527101</v>
      </c>
      <c r="F12" s="62">
        <f>هیدرومدول!K11*$N$2</f>
        <v>0</v>
      </c>
      <c r="G12" s="63">
        <f>هیدرومدول!G11*$N$2</f>
        <v>199.80766749999998</v>
      </c>
      <c r="H12" s="127">
        <v>0</v>
      </c>
      <c r="I12" s="64">
        <f t="shared" si="3"/>
        <v>0.1</v>
      </c>
      <c r="J12" s="65">
        <f t="shared" si="3"/>
        <v>0.05</v>
      </c>
      <c r="K12" s="66">
        <f t="shared" si="4"/>
        <v>660.99148000493813</v>
      </c>
      <c r="L12" s="67">
        <f>هیدرومدول!E11*1000/31/24/3600*1000</f>
        <v>264.04381945716079</v>
      </c>
      <c r="M12" s="71">
        <f>F12*هیدرومدول!N11</f>
        <v>0</v>
      </c>
      <c r="N12" s="72">
        <f>G12*هیدرومدول!J11</f>
        <v>139.05272696874746</v>
      </c>
      <c r="O12" s="72">
        <f>H12*هیدرومدول!N11</f>
        <v>0</v>
      </c>
      <c r="P12" s="68">
        <f t="shared" si="0"/>
        <v>60.46448196388625</v>
      </c>
      <c r="Q12" s="69">
        <f t="shared" si="5"/>
        <v>0.05</v>
      </c>
      <c r="R12" s="70">
        <f t="shared" si="1"/>
        <v>488.85533667802036</v>
      </c>
      <c r="S12" s="71">
        <f t="shared" si="6"/>
        <v>1309.3501337584096</v>
      </c>
      <c r="T12" s="72">
        <f t="shared" si="7"/>
        <v>5680.6684747099398</v>
      </c>
      <c r="U12" s="72">
        <f t="shared" si="8"/>
        <v>8594.1629303111458</v>
      </c>
      <c r="V12" s="73">
        <f>(هیدرومدول!E11/هیدرومدول!D11)</f>
        <v>0.23049226329393677</v>
      </c>
      <c r="W12" s="59">
        <f t="shared" si="2"/>
        <v>0.7395788772865397</v>
      </c>
      <c r="X12" s="74">
        <f t="shared" si="9"/>
        <v>1980.8880649242676</v>
      </c>
    </row>
    <row r="13" spans="3:24" s="165" customFormat="1" ht="22.5" customHeight="1" x14ac:dyDescent="0.25">
      <c r="C13" s="75">
        <v>8</v>
      </c>
      <c r="D13" s="76">
        <v>111.2728</v>
      </c>
      <c r="E13" s="76">
        <f>هیدرومدول!C12</f>
        <v>94.7596580134242</v>
      </c>
      <c r="F13" s="77">
        <f>هیدرومدول!K12*$N$2</f>
        <v>0</v>
      </c>
      <c r="G13" s="78">
        <f>هیدرومدول!G12*$N$2</f>
        <v>113.70530149999998</v>
      </c>
      <c r="H13" s="128">
        <v>0</v>
      </c>
      <c r="I13" s="79">
        <f t="shared" si="3"/>
        <v>0.1</v>
      </c>
      <c r="J13" s="80">
        <f t="shared" si="3"/>
        <v>0.05</v>
      </c>
      <c r="K13" s="81">
        <f t="shared" si="4"/>
        <v>240.77702823800493</v>
      </c>
      <c r="L13" s="82">
        <f>هیدرومدول!E12*1000/31/24/3600*1000</f>
        <v>75.541919909019001</v>
      </c>
      <c r="M13" s="86">
        <f>F13*هیدرومدول!N12</f>
        <v>0</v>
      </c>
      <c r="N13" s="87">
        <f>G13*هیدرومدول!J12</f>
        <v>86.390245292718802</v>
      </c>
      <c r="O13" s="87">
        <f>H13*هیدرومدول!N12</f>
        <v>0</v>
      </c>
      <c r="P13" s="83">
        <f t="shared" si="0"/>
        <v>24.289824780260673</v>
      </c>
      <c r="Q13" s="84">
        <f t="shared" si="5"/>
        <v>0.05</v>
      </c>
      <c r="R13" s="85">
        <f t="shared" si="1"/>
        <v>196.38323334840754</v>
      </c>
      <c r="S13" s="86">
        <f t="shared" si="6"/>
        <v>525.99285220037484</v>
      </c>
      <c r="T13" s="87">
        <f t="shared" si="7"/>
        <v>2283.5203711396071</v>
      </c>
      <c r="U13" s="87">
        <f t="shared" si="8"/>
        <v>9483.9627677536464</v>
      </c>
      <c r="V13" s="88">
        <f>(هیدرومدول!E12/هیدرومدول!D12)</f>
        <v>0.23034296468214749</v>
      </c>
      <c r="W13" s="89">
        <f t="shared" si="2"/>
        <v>0.81562279751324651</v>
      </c>
      <c r="X13" s="90">
        <f t="shared" si="9"/>
        <v>2184.5641008594798</v>
      </c>
    </row>
    <row r="14" spans="3:24" s="165" customFormat="1" ht="22.15" customHeight="1" x14ac:dyDescent="0.25">
      <c r="C14" s="45">
        <v>9</v>
      </c>
      <c r="D14" s="46">
        <v>386.35109999999997</v>
      </c>
      <c r="E14" s="46">
        <f>هیدرومدول!C13</f>
        <v>289.47211037856698</v>
      </c>
      <c r="F14" s="91">
        <f>هیدرومدول!K13*$N$2</f>
        <v>0</v>
      </c>
      <c r="G14" s="92">
        <f>هیدرومدول!G13*$N$2</f>
        <v>250.50802139999999</v>
      </c>
      <c r="H14" s="126">
        <v>0</v>
      </c>
      <c r="I14" s="93">
        <f t="shared" si="3"/>
        <v>0.1</v>
      </c>
      <c r="J14" s="94">
        <f t="shared" si="3"/>
        <v>0.05</v>
      </c>
      <c r="K14" s="49">
        <f t="shared" si="4"/>
        <v>623.67705220424489</v>
      </c>
      <c r="L14" s="50">
        <f>هیدرومدول!E13*1000/31/24/3600*1000</f>
        <v>223.471338915069</v>
      </c>
      <c r="M14" s="54">
        <f>F14*هیدرومدول!N13</f>
        <v>0</v>
      </c>
      <c r="N14" s="55">
        <f>G14*هیدرومدول!J13</f>
        <v>198.94272050265809</v>
      </c>
      <c r="O14" s="55">
        <f>H14*هیدرومدول!N13</f>
        <v>0</v>
      </c>
      <c r="P14" s="95">
        <f t="shared" si="0"/>
        <v>63.362108912659075</v>
      </c>
      <c r="Q14" s="96">
        <f t="shared" si="5"/>
        <v>0.05</v>
      </c>
      <c r="R14" s="53">
        <f t="shared" si="1"/>
        <v>512.28265055884867</v>
      </c>
      <c r="S14" s="54">
        <f t="shared" si="6"/>
        <v>1372.0978512568201</v>
      </c>
      <c r="T14" s="55">
        <f t="shared" si="7"/>
        <v>5957.4425646396439</v>
      </c>
      <c r="U14" s="55">
        <f t="shared" si="8"/>
        <v>9552.1272485245627</v>
      </c>
      <c r="V14" s="56">
        <f>(هیدرومدول!E13/هیدرومدول!D13)</f>
        <v>0.23031658910165526</v>
      </c>
      <c r="W14" s="57">
        <f t="shared" si="2"/>
        <v>0.82139089252731357</v>
      </c>
      <c r="X14" s="58">
        <f t="shared" si="9"/>
        <v>2200.0133665451567</v>
      </c>
    </row>
    <row r="15" spans="3:24" s="165" customFormat="1" ht="22.5" customHeight="1" x14ac:dyDescent="0.25">
      <c r="C15" s="60">
        <v>10</v>
      </c>
      <c r="D15" s="61">
        <v>154.0668</v>
      </c>
      <c r="E15" s="61">
        <f>هیدرومدول!C14</f>
        <v>151.971123340204</v>
      </c>
      <c r="F15" s="62">
        <f>هیدرومدول!K14*$N$2</f>
        <v>0</v>
      </c>
      <c r="G15" s="63">
        <f>هیدرومدول!G14*$N$2</f>
        <v>27.3166516</v>
      </c>
      <c r="H15" s="127">
        <v>0</v>
      </c>
      <c r="I15" s="64">
        <f t="shared" si="3"/>
        <v>0.1</v>
      </c>
      <c r="J15" s="65">
        <f t="shared" si="3"/>
        <v>0.05</v>
      </c>
      <c r="K15" s="66">
        <f t="shared" si="4"/>
        <v>207.07738005593563</v>
      </c>
      <c r="L15" s="67">
        <f>هیدرومدول!E14*1000/31/24/3600*1000</f>
        <v>136.55893527519234</v>
      </c>
      <c r="M15" s="71">
        <f>F15*هیدرومدول!N14</f>
        <v>0</v>
      </c>
      <c r="N15" s="72">
        <f>G15*هیدرومدول!J14</f>
        <v>25.648186559274667</v>
      </c>
      <c r="O15" s="72">
        <f>H15*هیدرومدول!N14</f>
        <v>0</v>
      </c>
      <c r="P15" s="68">
        <f t="shared" si="0"/>
        <v>24.331068275170058</v>
      </c>
      <c r="Q15" s="69">
        <f t="shared" si="5"/>
        <v>0.05</v>
      </c>
      <c r="R15" s="70">
        <f t="shared" si="1"/>
        <v>196.7166870047499</v>
      </c>
      <c r="S15" s="71">
        <f t="shared" si="6"/>
        <v>526.8859744735222</v>
      </c>
      <c r="T15" s="72">
        <f t="shared" si="7"/>
        <v>2293.5148900429081</v>
      </c>
      <c r="U15" s="72">
        <f t="shared" si="8"/>
        <v>11075.641817678903</v>
      </c>
      <c r="V15" s="73">
        <f>(هیدرومدول!E14/هیدرومدول!D14)</f>
        <v>0.22972860423141397</v>
      </c>
      <c r="W15" s="59">
        <f t="shared" si="2"/>
        <v>0.94996704590145431</v>
      </c>
      <c r="X15" s="74">
        <f t="shared" si="9"/>
        <v>2544.3917357424552</v>
      </c>
    </row>
    <row r="16" spans="3:24" s="165" customFormat="1" ht="22.5" customHeight="1" x14ac:dyDescent="0.25">
      <c r="C16" s="60">
        <v>11</v>
      </c>
      <c r="D16" s="61">
        <v>107.71250000000001</v>
      </c>
      <c r="E16" s="61">
        <f>هیدرومدول!C15</f>
        <v>128.95198350210089</v>
      </c>
      <c r="F16" s="62">
        <f>هیدرومدول!K15*$N$2</f>
        <v>0</v>
      </c>
      <c r="G16" s="63">
        <f>هیدرومدول!G15*$N$2</f>
        <v>106.5487815</v>
      </c>
      <c r="H16" s="127">
        <v>0</v>
      </c>
      <c r="I16" s="64">
        <f t="shared" si="3"/>
        <v>0.1</v>
      </c>
      <c r="J16" s="65">
        <f t="shared" si="3"/>
        <v>0.05</v>
      </c>
      <c r="K16" s="66">
        <f t="shared" si="4"/>
        <v>272.00338357742652</v>
      </c>
      <c r="L16" s="67">
        <f>هیدرومدول!E15*1000/31/24/3600*1000</f>
        <v>123.58646392254629</v>
      </c>
      <c r="M16" s="71">
        <f>F16*هیدرومدول!N15</f>
        <v>0</v>
      </c>
      <c r="N16" s="72">
        <f>G16*هیدرومدول!J15</f>
        <v>92.44544962318399</v>
      </c>
      <c r="O16" s="72">
        <f>H16*هیدرومدول!N15</f>
        <v>0</v>
      </c>
      <c r="P16" s="68">
        <f t="shared" si="0"/>
        <v>32.404787031859549</v>
      </c>
      <c r="Q16" s="69">
        <f t="shared" si="5"/>
        <v>0.05</v>
      </c>
      <c r="R16" s="70">
        <f t="shared" si="1"/>
        <v>261.99270315258445</v>
      </c>
      <c r="S16" s="71">
        <f t="shared" si="6"/>
        <v>701.72125612388209</v>
      </c>
      <c r="T16" s="72">
        <f t="shared" si="7"/>
        <v>3050.6506650962897</v>
      </c>
      <c r="U16" s="72">
        <f t="shared" si="8"/>
        <v>11215.487928766568</v>
      </c>
      <c r="V16" s="73">
        <f>(هیدرومدول!E15/هیدرومدول!D15)</f>
        <v>0.23002347143596436</v>
      </c>
      <c r="W16" s="59">
        <f t="shared" si="2"/>
        <v>0.9631964856716847</v>
      </c>
      <c r="X16" s="74">
        <f t="shared" si="9"/>
        <v>2579.8254672230401</v>
      </c>
    </row>
    <row r="17" spans="2:24" ht="22.5" customHeight="1" x14ac:dyDescent="0.25">
      <c r="C17" s="75">
        <v>12</v>
      </c>
      <c r="D17" s="76">
        <v>90.439300000000003</v>
      </c>
      <c r="E17" s="76">
        <f>هیدرومدول!C16</f>
        <v>92.646562354088672</v>
      </c>
      <c r="F17" s="77">
        <f>هیدرومدول!K16*$N$2</f>
        <v>170.62238269999997</v>
      </c>
      <c r="G17" s="78">
        <f>هیدرومدول!G16*$N$2</f>
        <v>241.03335269999997</v>
      </c>
      <c r="H17" s="128">
        <v>13.5202111015999</v>
      </c>
      <c r="I17" s="79">
        <f t="shared" si="3"/>
        <v>0.1</v>
      </c>
      <c r="J17" s="80">
        <f t="shared" si="3"/>
        <v>0.05</v>
      </c>
      <c r="K17" s="81">
        <f>SUM(E17:H17)*(1+I17)*(1+J17)</f>
        <v>598.08499772832033</v>
      </c>
      <c r="L17" s="82">
        <f>هیدرومدول!E16*1000/31/24/3600*1000</f>
        <v>77.882748347467142</v>
      </c>
      <c r="M17" s="86">
        <f>F17*هیدرومدول!N16</f>
        <v>159.0963092305488</v>
      </c>
      <c r="N17" s="87">
        <f>G17*هیدرومدول!J16</f>
        <v>224.7507988647678</v>
      </c>
      <c r="O17" s="87">
        <f>H17*هیدرومدول!N16</f>
        <v>12.606878723904005</v>
      </c>
      <c r="P17" s="83">
        <f t="shared" si="0"/>
        <v>71.150510275003185</v>
      </c>
      <c r="Q17" s="84">
        <f t="shared" si="5"/>
        <v>0.05</v>
      </c>
      <c r="R17" s="85">
        <f t="shared" si="1"/>
        <v>575.25187557340075</v>
      </c>
      <c r="S17" s="86">
        <f t="shared" si="6"/>
        <v>1540.7546235357966</v>
      </c>
      <c r="T17" s="87">
        <f t="shared" si="7"/>
        <v>6704.5779350551911</v>
      </c>
      <c r="U17" s="87">
        <f t="shared" si="8"/>
        <v>11210.075424932729</v>
      </c>
      <c r="V17" s="88">
        <f>(هیدرومدول!E16/هیدرومدول!D16)</f>
        <v>0.22980635596461499</v>
      </c>
      <c r="W17" s="89">
        <f t="shared" si="2"/>
        <v>0.96182294783911049</v>
      </c>
      <c r="X17" s="90">
        <f t="shared" si="9"/>
        <v>2576.1465834922733</v>
      </c>
    </row>
    <row r="18" spans="2:24" ht="22.5" customHeight="1" x14ac:dyDescent="0.25">
      <c r="C18" s="97">
        <v>13</v>
      </c>
      <c r="D18" s="98">
        <v>7.2237</v>
      </c>
      <c r="E18" s="98">
        <f>هیدرومدول!C17</f>
        <v>8.3469744157026273</v>
      </c>
      <c r="F18" s="99">
        <f>هیدرومدول!K17*$N$2</f>
        <v>0.86217250000000001</v>
      </c>
      <c r="G18" s="100">
        <f>هیدرومدول!G17*$N$2</f>
        <v>42</v>
      </c>
      <c r="H18" s="129">
        <v>0</v>
      </c>
      <c r="I18" s="101">
        <f t="shared" si="3"/>
        <v>0.1</v>
      </c>
      <c r="J18" s="102">
        <f t="shared" si="3"/>
        <v>0.05</v>
      </c>
      <c r="K18" s="103">
        <f t="shared" si="4"/>
        <v>59.146564687636541</v>
      </c>
      <c r="L18" s="104">
        <f>هیدرومدول!E17*1000/31/24/3600*1000</f>
        <v>9.2387419624925631</v>
      </c>
      <c r="M18" s="108">
        <f>F18*هیدرومدول!N17</f>
        <v>0.82615910859343222</v>
      </c>
      <c r="N18" s="109">
        <f>G18*هیدرومدول!J17</f>
        <v>40.245638269515844</v>
      </c>
      <c r="O18" s="109">
        <f>H18*هیدرومدول!N17</f>
        <v>0</v>
      </c>
      <c r="P18" s="105">
        <f t="shared" si="0"/>
        <v>7.5465809010902767</v>
      </c>
      <c r="Q18" s="106">
        <f t="shared" si="5"/>
        <v>0.05</v>
      </c>
      <c r="R18" s="107">
        <f t="shared" si="1"/>
        <v>61.014106585314885</v>
      </c>
      <c r="S18" s="108">
        <f t="shared" si="6"/>
        <v>163.42018307810739</v>
      </c>
      <c r="T18" s="109">
        <f t="shared" si="7"/>
        <v>708.90116211264012</v>
      </c>
      <c r="U18" s="109">
        <f t="shared" si="8"/>
        <v>11985.500186806663</v>
      </c>
      <c r="V18" s="110">
        <f>(هیدرومدول!E17/هیدرومدول!D17)</f>
        <v>0.23052604765252296</v>
      </c>
      <c r="W18" s="111">
        <f t="shared" si="2"/>
        <v>1.0315748160107212</v>
      </c>
      <c r="X18" s="112">
        <f t="shared" si="9"/>
        <v>2762.9699872031156</v>
      </c>
    </row>
    <row r="19" spans="2:24" ht="22.5" customHeight="1" x14ac:dyDescent="0.25">
      <c r="C19" s="113" t="s">
        <v>34</v>
      </c>
      <c r="D19" s="114">
        <f>SUM(D6:D18)</f>
        <v>1781.6623</v>
      </c>
      <c r="E19" s="114">
        <f>SUM(E6:E18)</f>
        <v>1605.9158003037001</v>
      </c>
      <c r="F19" s="115">
        <f>SUM(F6:F18)</f>
        <v>246.47412719999997</v>
      </c>
      <c r="G19" s="115">
        <f>SUM(G6:G18)</f>
        <v>1355.2789095999999</v>
      </c>
      <c r="H19" s="115">
        <f>SUM(H6:H18)</f>
        <v>29.694420562799877</v>
      </c>
      <c r="I19" s="116">
        <f>SUM($E19:$H19)*(I20)</f>
        <v>323.73632576665</v>
      </c>
      <c r="J19" s="115">
        <f>SUM($E19:$I19)*(J20)</f>
        <v>178.05497917165749</v>
      </c>
      <c r="K19" s="117">
        <f t="shared" ref="K19:P19" si="10">SUM(K6:K18)</f>
        <v>3739.1545626048078</v>
      </c>
      <c r="L19" s="115">
        <f t="shared" si="10"/>
        <v>1364.4869492818757</v>
      </c>
      <c r="M19" s="115">
        <f t="shared" si="10"/>
        <v>228.93415153768188</v>
      </c>
      <c r="N19" s="115">
        <f t="shared" si="10"/>
        <v>1149.8332709671984</v>
      </c>
      <c r="O19" s="115">
        <f t="shared" si="10"/>
        <v>26.920172253978727</v>
      </c>
      <c r="P19" s="118">
        <f t="shared" si="10"/>
        <v>415.5261816061103</v>
      </c>
      <c r="Q19" s="119">
        <f>SUM($L19:$P19)*(Q20)</f>
        <v>159.28503628234225</v>
      </c>
      <c r="R19" s="120">
        <f>SUM(R6:R18)</f>
        <v>3359.5291782854015</v>
      </c>
      <c r="S19" s="121">
        <f>SUM(S6:S18)</f>
        <v>8998.1629511196188</v>
      </c>
      <c r="T19" s="122">
        <f>SUM(T6:T18)</f>
        <v>39098.409667753505</v>
      </c>
      <c r="U19" s="122">
        <f t="shared" si="8"/>
        <v>10456.4839492798</v>
      </c>
      <c r="V19" s="123">
        <f>SUMPRODUCT(V6:V18,K6:K18)/K19</f>
        <v>0.2301629636254944</v>
      </c>
      <c r="W19" s="124">
        <f>SUMPRODUCT(W6:W18,K6:K18)/K19</f>
        <v>0.89847293607062129</v>
      </c>
      <c r="X19" s="125">
        <f>ROUND(SUMPRODUCT(X6:X18,K6:K18)/K19,-1)</f>
        <v>2410</v>
      </c>
    </row>
    <row r="20" spans="2:24" s="166" customFormat="1" ht="22.5" customHeight="1" thickBot="1" x14ac:dyDescent="0.3">
      <c r="C20" s="175"/>
      <c r="D20" s="175"/>
      <c r="E20" s="176" t="s">
        <v>35</v>
      </c>
      <c r="F20" s="176"/>
      <c r="G20" s="176" t="s">
        <v>36</v>
      </c>
      <c r="H20" s="176"/>
      <c r="I20" s="177">
        <f>SUMPRODUCT(I6:I18,$E6:$E18)/$E19</f>
        <v>0.1</v>
      </c>
      <c r="J20" s="177">
        <f>SUMPRODUCT(J6:J18,$E6:$E18)/$E19</f>
        <v>0.05</v>
      </c>
      <c r="K20" s="175"/>
      <c r="L20" s="178">
        <f>L19/1000*3600*24*31/V19/1000/1000</f>
        <v>15.878496641636755</v>
      </c>
      <c r="M20" s="190" t="s">
        <v>40</v>
      </c>
      <c r="N20" s="190"/>
      <c r="O20" s="190"/>
      <c r="P20" s="175"/>
      <c r="Q20" s="177">
        <f>SUMPRODUCT(Q6:Q18,$E6:$E18)/$E19</f>
        <v>0.05</v>
      </c>
      <c r="R20" s="179">
        <f>R19/L19</f>
        <v>2.4621189525143565</v>
      </c>
      <c r="S20" s="175"/>
      <c r="T20" s="180">
        <f>T19/1000</f>
        <v>39.098409667753508</v>
      </c>
      <c r="U20" s="189" t="s">
        <v>40</v>
      </c>
      <c r="V20" s="189"/>
      <c r="W20" s="175"/>
      <c r="X20" s="181">
        <f>X19*K19/1000/1000</f>
        <v>9.011362495877588</v>
      </c>
    </row>
    <row r="21" spans="2:24" ht="12.75" customHeight="1" thickBot="1" x14ac:dyDescent="0.3"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</row>
    <row r="22" spans="2:24" ht="22.5" hidden="1" customHeight="1" x14ac:dyDescent="0.25"/>
    <row r="23" spans="2:24" ht="22.5" hidden="1" customHeight="1" x14ac:dyDescent="0.25"/>
    <row r="24" spans="2:24" ht="22.5" customHeight="1" x14ac:dyDescent="0.25">
      <c r="B24" s="193" t="s">
        <v>38</v>
      </c>
      <c r="C24" s="145">
        <v>14</v>
      </c>
      <c r="D24" s="161"/>
      <c r="E24" s="146">
        <v>3468.5660086580087</v>
      </c>
      <c r="F24" s="147">
        <v>0</v>
      </c>
      <c r="G24" s="148">
        <v>7000</v>
      </c>
      <c r="H24" s="149">
        <v>0</v>
      </c>
      <c r="I24" s="150">
        <f>I23</f>
        <v>0</v>
      </c>
      <c r="J24" s="151">
        <f>J23</f>
        <v>0</v>
      </c>
      <c r="K24" s="152">
        <f>SUM(E24:H24)*(1+I24)*(1+J24)</f>
        <v>10468.566008658008</v>
      </c>
      <c r="L24" s="146">
        <v>342.71609354415631</v>
      </c>
      <c r="M24" s="153">
        <v>0</v>
      </c>
      <c r="N24" s="154">
        <v>965.88209081128764</v>
      </c>
      <c r="O24" s="154">
        <v>0</v>
      </c>
      <c r="P24" s="155">
        <f t="shared" ref="P24:P25" si="11">SUM(L24:O24)*(J24+I24)</f>
        <v>0</v>
      </c>
      <c r="Q24" s="156">
        <f>Q8</f>
        <v>0.05</v>
      </c>
      <c r="R24" s="157">
        <f>SUM(L24:O24)*(1+J24)*(1+Q24)*(1+I24)</f>
        <v>1374.0280935732162</v>
      </c>
      <c r="S24" s="153">
        <f t="shared" ref="S24" si="12">R24*3600*24*31/1000/1000</f>
        <v>3680.1968458265023</v>
      </c>
      <c r="T24" s="154">
        <f t="shared" ref="T24" si="13">S24/V24</f>
        <v>16000.855851419574</v>
      </c>
      <c r="U24" s="173">
        <f t="shared" ref="U24:U26" si="14">T24*1000/K24</f>
        <v>1528.4668251779751</v>
      </c>
      <c r="V24" s="163">
        <v>0.23</v>
      </c>
      <c r="W24" s="158">
        <f>R24/K24</f>
        <v>0.13125275156471564</v>
      </c>
      <c r="X24" s="159">
        <f t="shared" ref="X24:X25" si="15">S24*1000/K24</f>
        <v>351.54736979093434</v>
      </c>
    </row>
    <row r="25" spans="2:24" ht="22.5" customHeight="1" x14ac:dyDescent="0.25">
      <c r="B25" s="193"/>
      <c r="C25" s="131">
        <v>15</v>
      </c>
      <c r="D25" s="162"/>
      <c r="E25" s="132">
        <v>181</v>
      </c>
      <c r="F25" s="133">
        <v>0</v>
      </c>
      <c r="G25" s="133">
        <v>0</v>
      </c>
      <c r="H25" s="134">
        <v>0</v>
      </c>
      <c r="I25" s="135">
        <f t="shared" ref="I25:J25" si="16">I24</f>
        <v>0</v>
      </c>
      <c r="J25" s="136">
        <f t="shared" si="16"/>
        <v>0</v>
      </c>
      <c r="K25" s="137">
        <f>SUM(E25:H25)*(1+I25)*(1+J25)</f>
        <v>181</v>
      </c>
      <c r="L25" s="132">
        <v>17.883936121340351</v>
      </c>
      <c r="M25" s="138">
        <v>0</v>
      </c>
      <c r="N25" s="139">
        <v>0</v>
      </c>
      <c r="O25" s="139">
        <v>0</v>
      </c>
      <c r="P25" s="140">
        <f t="shared" si="11"/>
        <v>0</v>
      </c>
      <c r="Q25" s="141">
        <f>Q24</f>
        <v>0.05</v>
      </c>
      <c r="R25" s="142">
        <f>SUM(L25:O25)*(1+J25)*(1+Q25)*(1+I25)</f>
        <v>18.77813292740737</v>
      </c>
      <c r="S25" s="138">
        <f t="shared" ref="S25" si="17">R25*3600*24*31/1000/1000</f>
        <v>50.295351232767899</v>
      </c>
      <c r="T25" s="139">
        <f t="shared" ref="T25" si="18">S25/V25</f>
        <v>218.67544014246911</v>
      </c>
      <c r="U25" s="139">
        <f t="shared" si="14"/>
        <v>1208.1516029970669</v>
      </c>
      <c r="V25" s="164">
        <v>0.23</v>
      </c>
      <c r="W25" s="143">
        <f>R25/K25</f>
        <v>0.10374659075915674</v>
      </c>
      <c r="X25" s="144">
        <f t="shared" si="15"/>
        <v>277.87486868932541</v>
      </c>
    </row>
    <row r="26" spans="2:24" ht="22.5" customHeight="1" x14ac:dyDescent="0.25">
      <c r="C26" s="113" t="s">
        <v>34</v>
      </c>
      <c r="D26" s="160"/>
      <c r="E26" s="114">
        <f>SUM(E24:E25)</f>
        <v>3649.5660086580087</v>
      </c>
      <c r="F26" s="115">
        <f>SUM(F24:F25)</f>
        <v>0</v>
      </c>
      <c r="G26" s="115">
        <f>SUM(G24:G25)</f>
        <v>7000</v>
      </c>
      <c r="H26" s="115">
        <f>SUM(H24:H25)</f>
        <v>0</v>
      </c>
      <c r="I26" s="116">
        <f>SUM($E26:$H26)*(I27)</f>
        <v>0</v>
      </c>
      <c r="J26" s="115">
        <f>SUM($E26:$I26)*(J27)</f>
        <v>0</v>
      </c>
      <c r="K26" s="117">
        <f t="shared" ref="K26:P26" si="19">SUM(K24:K25)</f>
        <v>10649.566008658008</v>
      </c>
      <c r="L26" s="115">
        <f t="shared" si="19"/>
        <v>360.60002966549666</v>
      </c>
      <c r="M26" s="115">
        <f t="shared" si="19"/>
        <v>0</v>
      </c>
      <c r="N26" s="115">
        <f t="shared" si="19"/>
        <v>965.88209081128764</v>
      </c>
      <c r="O26" s="115">
        <f t="shared" si="19"/>
        <v>0</v>
      </c>
      <c r="P26" s="118">
        <f t="shared" si="19"/>
        <v>0</v>
      </c>
      <c r="Q26" s="119">
        <f>SUM($L26:$P26)*(Q27)</f>
        <v>66.324106023839221</v>
      </c>
      <c r="R26" s="120">
        <f>SUM(R24:R25)</f>
        <v>1392.8062265006236</v>
      </c>
      <c r="S26" s="121">
        <f>SUM(S24:S25)</f>
        <v>3730.4921970592704</v>
      </c>
      <c r="T26" s="122">
        <f>SUM(T24:T25)</f>
        <v>16219.531291562043</v>
      </c>
      <c r="U26" s="122">
        <f t="shared" si="14"/>
        <v>1523.0227483801405</v>
      </c>
      <c r="V26" s="123">
        <f>SUMPRODUCT(V24:V25,K24:K25)/K26</f>
        <v>0.23</v>
      </c>
      <c r="W26" s="124">
        <f>SUMPRODUCT(W24:W25,K24:K25)/K26</f>
        <v>0.1307852569173508</v>
      </c>
      <c r="X26" s="125">
        <f>ROUND(SUMPRODUCT(X24:X25,K24:K25)/K26,-1)</f>
        <v>350</v>
      </c>
    </row>
    <row r="27" spans="2:24" s="166" customFormat="1" ht="22.5" customHeight="1" thickBot="1" x14ac:dyDescent="0.3">
      <c r="C27" s="175"/>
      <c r="D27" s="175"/>
      <c r="E27" s="176" t="s">
        <v>35</v>
      </c>
      <c r="F27" s="176"/>
      <c r="G27" s="176" t="s">
        <v>36</v>
      </c>
      <c r="H27" s="176"/>
      <c r="I27" s="177">
        <f>SUMPRODUCT(I24:I25,$E24:$E25)/$E26</f>
        <v>0</v>
      </c>
      <c r="J27" s="177">
        <f>SUMPRODUCT(J24:J25,$E24:$E25)/$E26</f>
        <v>0</v>
      </c>
      <c r="K27" s="175"/>
      <c r="L27" s="180">
        <f>L26/1000*3600*24*31/V26/1000/1000</f>
        <v>4.1992657367655051</v>
      </c>
      <c r="M27" s="190" t="s">
        <v>40</v>
      </c>
      <c r="N27" s="190"/>
      <c r="O27" s="190"/>
      <c r="P27" s="175"/>
      <c r="Q27" s="177">
        <f>SUMPRODUCT(Q24:Q25,$E24:$E25)/$E26</f>
        <v>0.05</v>
      </c>
      <c r="R27" s="179">
        <f>R26/L26</f>
        <v>3.8624684190753733</v>
      </c>
      <c r="S27" s="175"/>
      <c r="T27" s="180">
        <f>T26/1000</f>
        <v>16.219531291562042</v>
      </c>
      <c r="U27" s="189" t="s">
        <v>40</v>
      </c>
      <c r="V27" s="189"/>
      <c r="W27" s="175"/>
      <c r="X27" s="181">
        <f>X26*K26/1000/1000</f>
        <v>3.7273481030303026</v>
      </c>
    </row>
    <row r="28" spans="2:24" ht="11.25" customHeight="1" thickBot="1" x14ac:dyDescent="0.3"/>
    <row r="29" spans="2:24" ht="27" customHeight="1" thickBot="1" x14ac:dyDescent="0.3">
      <c r="L29" s="174">
        <f>L20+L27</f>
        <v>20.077762378402259</v>
      </c>
      <c r="M29" s="191" t="s">
        <v>40</v>
      </c>
      <c r="N29" s="191"/>
      <c r="O29" s="192"/>
      <c r="T29" s="174">
        <f>T20+T27</f>
        <v>55.31794095931555</v>
      </c>
      <c r="U29" s="191" t="s">
        <v>40</v>
      </c>
      <c r="V29" s="192"/>
    </row>
  </sheetData>
  <mergeCells count="16">
    <mergeCell ref="L2:M2"/>
    <mergeCell ref="S3:V3"/>
    <mergeCell ref="W3:X3"/>
    <mergeCell ref="D3:H3"/>
    <mergeCell ref="B24:B25"/>
    <mergeCell ref="L3:R3"/>
    <mergeCell ref="C3:C4"/>
    <mergeCell ref="I3:I4"/>
    <mergeCell ref="J3:J4"/>
    <mergeCell ref="K3:K4"/>
    <mergeCell ref="M20:O20"/>
    <mergeCell ref="U20:V20"/>
    <mergeCell ref="M27:O27"/>
    <mergeCell ref="U27:V27"/>
    <mergeCell ref="U29:V29"/>
    <mergeCell ref="M29:O29"/>
  </mergeCells>
  <conditionalFormatting sqref="I3:J3 D3 D19 W20:X20 V3:X19 Q3:Q20 E4:J20">
    <cfRule type="expression" dxfId="505" priority="876">
      <formula>IF(#REF!&lt;&gt;#REF!,1,0)</formula>
    </cfRule>
  </conditionalFormatting>
  <conditionalFormatting sqref="W20:X20 V3:X19">
    <cfRule type="expression" dxfId="504" priority="874">
      <formula>IF(#REF!&lt;&gt;#REF!,1,0)</formula>
    </cfRule>
  </conditionalFormatting>
  <conditionalFormatting sqref="L3:S5 L19:S19 L6:L18 P6:S18 D3 C18 C19:D20 L20:M20 P20:S20 T18:X19 E4:E20">
    <cfRule type="expression" dxfId="503" priority="877">
      <formula>IF(#REF!&lt;&gt;#REF!,1,0)</formula>
    </cfRule>
  </conditionalFormatting>
  <conditionalFormatting sqref="E4:J4 E17:G17 I17:L17 S14:W17 V4:X4 V6:W13 X6:X17 E7:L13 F6:K6 P7:Q13 P17:Q17">
    <cfRule type="expression" dxfId="502" priority="466">
      <formula>IF(#REF!&lt;&gt;#REF!,1,0)</formula>
    </cfRule>
  </conditionalFormatting>
  <conditionalFormatting sqref="S6:X17 S7:S18 V7:X18">
    <cfRule type="expression" dxfId="501" priority="465">
      <formula>IF(#REF!&lt;&gt;#REF!,1,0)</formula>
    </cfRule>
  </conditionalFormatting>
  <conditionalFormatting sqref="S14:W17 V4:X4 V6:X18">
    <cfRule type="expression" dxfId="500" priority="464">
      <formula>IF(#REF!&lt;&gt;#REF!,1,0)</formula>
    </cfRule>
  </conditionalFormatting>
  <conditionalFormatting sqref="P10:Q10 E6:E20">
    <cfRule type="expression" dxfId="499" priority="440">
      <formula>IF(#REF!&lt;&gt;#REF!,1,0)</formula>
    </cfRule>
  </conditionalFormatting>
  <conditionalFormatting sqref="P11:Q11">
    <cfRule type="expression" dxfId="498" priority="438">
      <formula>IF(#REF!&lt;&gt;#REF!,1,0)</formula>
    </cfRule>
  </conditionalFormatting>
  <conditionalFormatting sqref="R12">
    <cfRule type="expression" dxfId="497" priority="416">
      <formula>IF(#REF!&lt;&gt;#REF!,1,0)</formula>
    </cfRule>
  </conditionalFormatting>
  <conditionalFormatting sqref="L11 P11:Q11">
    <cfRule type="expression" dxfId="496" priority="439">
      <formula>IF(#REF!&lt;&gt;#REF!,1,0)</formula>
    </cfRule>
  </conditionalFormatting>
  <conditionalFormatting sqref="R13">
    <cfRule type="expression" dxfId="495" priority="415">
      <formula>IF(#REF!&lt;&gt;#REF!,1,0)</formula>
    </cfRule>
  </conditionalFormatting>
  <conditionalFormatting sqref="R13">
    <cfRule type="expression" dxfId="494" priority="414">
      <formula>IF(#REF!&lt;&gt;#REF!,1,0)</formula>
    </cfRule>
  </conditionalFormatting>
  <conditionalFormatting sqref="S6:V13 E6:K6 Q6 S7:S18 V7:V18">
    <cfRule type="expression" dxfId="493" priority="448">
      <formula>IF(#REF!&lt;&gt;#REF!,1,0)</formula>
    </cfRule>
  </conditionalFormatting>
  <conditionalFormatting sqref="E6:L6 L7:L18 P7:P18 P6:Q6 E7:G18">
    <cfRule type="expression" dxfId="492" priority="447">
      <formula>IF(#REF!&lt;&gt;#REF!,1,0)</formula>
    </cfRule>
  </conditionalFormatting>
  <conditionalFormatting sqref="S4 S6:V13 S7:S18 V7:V18">
    <cfRule type="expression" dxfId="491" priority="446">
      <formula>IF(#REF!&lt;&gt;#REF!,1,0)</formula>
    </cfRule>
  </conditionalFormatting>
  <conditionalFormatting sqref="P7:P18 P6:Q6 L6:L18">
    <cfRule type="expression" dxfId="490" priority="445">
      <formula>IF(#REF!&lt;&gt;#REF!,1,0)</formula>
    </cfRule>
  </conditionalFormatting>
  <conditionalFormatting sqref="P6:Q6 P7:P18">
    <cfRule type="expression" dxfId="489" priority="444">
      <formula>IF(#REF!&lt;&gt;#REF!,1,0)</formula>
    </cfRule>
  </conditionalFormatting>
  <conditionalFormatting sqref="S4 L4:Q4">
    <cfRule type="expression" dxfId="488" priority="443">
      <formula>IF(#REF!&lt;&gt;#REF!,1,0)</formula>
    </cfRule>
  </conditionalFormatting>
  <conditionalFormatting sqref="M4:Q4">
    <cfRule type="expression" dxfId="487" priority="442">
      <formula>IF(#REF!&lt;&gt;#REF!,1,0)</formula>
    </cfRule>
  </conditionalFormatting>
  <conditionalFormatting sqref="E4 L4">
    <cfRule type="expression" dxfId="486" priority="449">
      <formula>IF(#REF!&lt;&gt;#REF!,1,0)</formula>
    </cfRule>
  </conditionalFormatting>
  <conditionalFormatting sqref="L10 P10:Q10">
    <cfRule type="expression" dxfId="485" priority="441">
      <formula>IF(#REF!&lt;&gt;#REF!,1,0)</formula>
    </cfRule>
  </conditionalFormatting>
  <conditionalFormatting sqref="L12 P12:Q12">
    <cfRule type="expression" dxfId="484" priority="435">
      <formula>IF(#REF!&lt;&gt;#REF!,1,0)</formula>
    </cfRule>
  </conditionalFormatting>
  <conditionalFormatting sqref="P12:Q12">
    <cfRule type="expression" dxfId="483" priority="434">
      <formula>IF(#REF!&lt;&gt;#REF!,1,0)</formula>
    </cfRule>
  </conditionalFormatting>
  <conditionalFormatting sqref="L9 P9:Q9">
    <cfRule type="expression" dxfId="482" priority="437">
      <formula>IF(#REF!&lt;&gt;#REF!,1,0)</formula>
    </cfRule>
  </conditionalFormatting>
  <conditionalFormatting sqref="P9:Q9">
    <cfRule type="expression" dxfId="481" priority="436">
      <formula>IF(#REF!&lt;&gt;#REF!,1,0)</formula>
    </cfRule>
  </conditionalFormatting>
  <conditionalFormatting sqref="L13 P13:Q13">
    <cfRule type="expression" dxfId="480" priority="433">
      <formula>IF(#REF!&lt;&gt;#REF!,1,0)</formula>
    </cfRule>
  </conditionalFormatting>
  <conditionalFormatting sqref="P13:Q13">
    <cfRule type="expression" dxfId="479" priority="432">
      <formula>IF(#REF!&lt;&gt;#REF!,1,0)</formula>
    </cfRule>
  </conditionalFormatting>
  <conditionalFormatting sqref="L17 P17:Q17">
    <cfRule type="expression" dxfId="478" priority="431">
      <formula>IF(#REF!&lt;&gt;#REF!,1,0)</formula>
    </cfRule>
  </conditionalFormatting>
  <conditionalFormatting sqref="P17:Q17">
    <cfRule type="expression" dxfId="477" priority="430">
      <formula>IF(#REF!&lt;&gt;#REF!,1,0)</formula>
    </cfRule>
  </conditionalFormatting>
  <conditionalFormatting sqref="C17">
    <cfRule type="expression" dxfId="476" priority="450">
      <formula>IF(#REF!&lt;&gt;#REF!,1,0)</formula>
    </cfRule>
  </conditionalFormatting>
  <conditionalFormatting sqref="R7:R8">
    <cfRule type="expression" dxfId="475" priority="405">
      <formula>IF(#REF!&lt;&gt;#REF!,1,0)</formula>
    </cfRule>
  </conditionalFormatting>
  <conditionalFormatting sqref="R4">
    <cfRule type="expression" dxfId="474" priority="429">
      <formula>IF(#REF!&lt;&gt;#REF!,1,0)</formula>
    </cfRule>
  </conditionalFormatting>
  <conditionalFormatting sqref="R4">
    <cfRule type="expression" dxfId="473" priority="428">
      <formula>IF(#REF!&lt;&gt;#REF!,1,0)</formula>
    </cfRule>
  </conditionalFormatting>
  <conditionalFormatting sqref="R10">
    <cfRule type="expression" dxfId="472" priority="427">
      <formula>IF(#REF!&lt;&gt;#REF!,1,0)</formula>
    </cfRule>
  </conditionalFormatting>
  <conditionalFormatting sqref="R10">
    <cfRule type="expression" dxfId="471" priority="426">
      <formula>IF(#REF!&lt;&gt;#REF!,1,0)</formula>
    </cfRule>
  </conditionalFormatting>
  <conditionalFormatting sqref="R10">
    <cfRule type="expression" dxfId="470" priority="425">
      <formula>IF(#REF!&lt;&gt;#REF!,1,0)</formula>
    </cfRule>
  </conditionalFormatting>
  <conditionalFormatting sqref="R12">
    <cfRule type="expression" dxfId="469" priority="418">
      <formula>IF(#REF!&lt;&gt;#REF!,1,0)</formula>
    </cfRule>
  </conditionalFormatting>
  <conditionalFormatting sqref="R12">
    <cfRule type="expression" dxfId="468" priority="417">
      <formula>IF(#REF!&lt;&gt;#REF!,1,0)</formula>
    </cfRule>
  </conditionalFormatting>
  <conditionalFormatting sqref="R11">
    <cfRule type="expression" dxfId="467" priority="424">
      <formula>IF(#REF!&lt;&gt;#REF!,1,0)</formula>
    </cfRule>
  </conditionalFormatting>
  <conditionalFormatting sqref="R11">
    <cfRule type="expression" dxfId="466" priority="423">
      <formula>IF(#REF!&lt;&gt;#REF!,1,0)</formula>
    </cfRule>
  </conditionalFormatting>
  <conditionalFormatting sqref="R11">
    <cfRule type="expression" dxfId="465" priority="422">
      <formula>IF(#REF!&lt;&gt;#REF!,1,0)</formula>
    </cfRule>
  </conditionalFormatting>
  <conditionalFormatting sqref="R9">
    <cfRule type="expression" dxfId="464" priority="421">
      <formula>IF(#REF!&lt;&gt;#REF!,1,0)</formula>
    </cfRule>
  </conditionalFormatting>
  <conditionalFormatting sqref="R9">
    <cfRule type="expression" dxfId="463" priority="420">
      <formula>IF(#REF!&lt;&gt;#REF!,1,0)</formula>
    </cfRule>
  </conditionalFormatting>
  <conditionalFormatting sqref="R9">
    <cfRule type="expression" dxfId="462" priority="419">
      <formula>IF(#REF!&lt;&gt;#REF!,1,0)</formula>
    </cfRule>
  </conditionalFormatting>
  <conditionalFormatting sqref="R13">
    <cfRule type="expression" dxfId="461" priority="413">
      <formula>IF(#REF!&lt;&gt;#REF!,1,0)</formula>
    </cfRule>
  </conditionalFormatting>
  <conditionalFormatting sqref="R17">
    <cfRule type="expression" dxfId="460" priority="412">
      <formula>IF(#REF!&lt;&gt;#REF!,1,0)</formula>
    </cfRule>
  </conditionalFormatting>
  <conditionalFormatting sqref="R17">
    <cfRule type="expression" dxfId="459" priority="411">
      <formula>IF(#REF!&lt;&gt;#REF!,1,0)</formula>
    </cfRule>
  </conditionalFormatting>
  <conditionalFormatting sqref="R17">
    <cfRule type="expression" dxfId="458" priority="410">
      <formula>IF(#REF!&lt;&gt;#REF!,1,0)</formula>
    </cfRule>
  </conditionalFormatting>
  <conditionalFormatting sqref="L7:L8 P7:Q8">
    <cfRule type="expression" dxfId="457" priority="409">
      <formula>IF(#REF!&lt;&gt;#REF!,1,0)</formula>
    </cfRule>
  </conditionalFormatting>
  <conditionalFormatting sqref="P7:Q8">
    <cfRule type="expression" dxfId="456" priority="408">
      <formula>IF(#REF!&lt;&gt;#REF!,1,0)</formula>
    </cfRule>
  </conditionalFormatting>
  <conditionalFormatting sqref="R7:R8">
    <cfRule type="expression" dxfId="455" priority="407">
      <formula>IF(#REF!&lt;&gt;#REF!,1,0)</formula>
    </cfRule>
  </conditionalFormatting>
  <conditionalFormatting sqref="R7:R8">
    <cfRule type="expression" dxfId="454" priority="406">
      <formula>IF(#REF!&lt;&gt;#REF!,1,0)</formula>
    </cfRule>
  </conditionalFormatting>
  <conditionalFormatting sqref="E14:K16 Q14:Q16">
    <cfRule type="expression" dxfId="453" priority="402">
      <formula>IF(#REF!&lt;&gt;#REF!,1,0)</formula>
    </cfRule>
  </conditionalFormatting>
  <conditionalFormatting sqref="E14:L16 P14:Q16">
    <cfRule type="expression" dxfId="452" priority="401">
      <formula>IF(#REF!&lt;&gt;#REF!,1,0)</formula>
    </cfRule>
  </conditionalFormatting>
  <conditionalFormatting sqref="F14:K16 Q14:Q16">
    <cfRule type="expression" dxfId="451" priority="400">
      <formula>IF(#REF!&lt;&gt;#REF!,1,0)</formula>
    </cfRule>
  </conditionalFormatting>
  <conditionalFormatting sqref="L14:L16 S19:X19 P14:Q16">
    <cfRule type="expression" dxfId="450" priority="399">
      <formula>IF(#REF!&lt;&gt;#REF!,1,0)</formula>
    </cfRule>
  </conditionalFormatting>
  <conditionalFormatting sqref="P14:Q16">
    <cfRule type="expression" dxfId="449" priority="398">
      <formula>IF(#REF!&lt;&gt;#REF!,1,0)</formula>
    </cfRule>
  </conditionalFormatting>
  <conditionalFormatting sqref="R14:R16">
    <cfRule type="expression" dxfId="448" priority="397">
      <formula>IF(#REF!&lt;&gt;#REF!,1,0)</formula>
    </cfRule>
  </conditionalFormatting>
  <conditionalFormatting sqref="R14:R16">
    <cfRule type="expression" dxfId="447" priority="396">
      <formula>IF(#REF!&lt;&gt;#REF!,1,0)</formula>
    </cfRule>
  </conditionalFormatting>
  <conditionalFormatting sqref="R14:R16">
    <cfRule type="expression" dxfId="446" priority="395">
      <formula>IF(#REF!&lt;&gt;#REF!,1,0)</formula>
    </cfRule>
  </conditionalFormatting>
  <conditionalFormatting sqref="O4:Q4">
    <cfRule type="expression" dxfId="445" priority="394">
      <formula>IF(#REF!&lt;&gt;#REF!,1,0)</formula>
    </cfRule>
  </conditionalFormatting>
  <conditionalFormatting sqref="O4:Q4">
    <cfRule type="expression" dxfId="444" priority="393">
      <formula>IF(#REF!&lt;&gt;#REF!,1,0)</formula>
    </cfRule>
  </conditionalFormatting>
  <conditionalFormatting sqref="R18">
    <cfRule type="expression" dxfId="443" priority="370">
      <formula>IF(#REF!&lt;&gt;#REF!,1,0)</formula>
    </cfRule>
  </conditionalFormatting>
  <conditionalFormatting sqref="X19 L19:Q19 D19:J19">
    <cfRule type="expression" dxfId="442" priority="367">
      <formula>IF(#REF!&lt;&gt;#REF!,1,0)</formula>
    </cfRule>
  </conditionalFormatting>
  <conditionalFormatting sqref="X19:X20">
    <cfRule type="expression" dxfId="441" priority="366">
      <formula>IF(#REF!&lt;&gt;#REF!,1,0)</formula>
    </cfRule>
  </conditionalFormatting>
  <conditionalFormatting sqref="R6:R18">
    <cfRule type="expression" dxfId="440" priority="378">
      <formula>IF(#REF!&lt;&gt;#REF!,1,0)</formula>
    </cfRule>
  </conditionalFormatting>
  <conditionalFormatting sqref="R6:R18">
    <cfRule type="expression" dxfId="439" priority="377">
      <formula>IF(#REF!&lt;&gt;#REF!,1,0)</formula>
    </cfRule>
  </conditionalFormatting>
  <conditionalFormatting sqref="R6:R18">
    <cfRule type="expression" dxfId="438" priority="376">
      <formula>IF(#REF!&lt;&gt;#REF!,1,0)</formula>
    </cfRule>
  </conditionalFormatting>
  <conditionalFormatting sqref="R19:R20">
    <cfRule type="expression" dxfId="437" priority="357">
      <formula>IF(#REF!&lt;&gt;#REF!,1,0)</formula>
    </cfRule>
  </conditionalFormatting>
  <conditionalFormatting sqref="H18">
    <cfRule type="expression" dxfId="436" priority="335">
      <formula>IF(#REF!&lt;&gt;#REF!,1,0)</formula>
    </cfRule>
  </conditionalFormatting>
  <conditionalFormatting sqref="H18">
    <cfRule type="expression" dxfId="435" priority="334">
      <formula>IF(#REF!&lt;&gt;#REF!,1,0)</formula>
    </cfRule>
  </conditionalFormatting>
  <conditionalFormatting sqref="K19:K20">
    <cfRule type="expression" dxfId="434" priority="348">
      <formula>IF(#REF!&lt;&gt;#REF!,1,0)</formula>
    </cfRule>
  </conditionalFormatting>
  <conditionalFormatting sqref="K19:K20">
    <cfRule type="expression" dxfId="433" priority="350">
      <formula>IF(#REF!&lt;&gt;#REF!,1,0)</formula>
    </cfRule>
  </conditionalFormatting>
  <conditionalFormatting sqref="K19:K20">
    <cfRule type="expression" dxfId="432" priority="349">
      <formula>IF(#REF!&lt;&gt;#REF!,1,0)</formula>
    </cfRule>
  </conditionalFormatting>
  <conditionalFormatting sqref="E18:G18 I18:L18 P18:Q18">
    <cfRule type="expression" dxfId="431" priority="375">
      <formula>IF(#REF!&lt;&gt;#REF!,1,0)</formula>
    </cfRule>
  </conditionalFormatting>
  <conditionalFormatting sqref="R18">
    <cfRule type="expression" dxfId="430" priority="372">
      <formula>IF(#REF!&lt;&gt;#REF!,1,0)</formula>
    </cfRule>
  </conditionalFormatting>
  <conditionalFormatting sqref="R18">
    <cfRule type="expression" dxfId="429" priority="371">
      <formula>IF(#REF!&lt;&gt;#REF!,1,0)</formula>
    </cfRule>
  </conditionalFormatting>
  <conditionalFormatting sqref="X19">
    <cfRule type="expression" dxfId="428" priority="365">
      <formula>IF(#REF!&lt;&gt;#REF!,1,0)</formula>
    </cfRule>
  </conditionalFormatting>
  <conditionalFormatting sqref="L19:Q19">
    <cfRule type="expression" dxfId="427" priority="361">
      <formula>IF(#REF!&lt;&gt;#REF!,1,0)</formula>
    </cfRule>
  </conditionalFormatting>
  <conditionalFormatting sqref="M19:Q19">
    <cfRule type="expression" dxfId="426" priority="360">
      <formula>IF(#REF!&lt;&gt;#REF!,1,0)</formula>
    </cfRule>
  </conditionalFormatting>
  <conditionalFormatting sqref="C19:D19">
    <cfRule type="expression" dxfId="425" priority="362">
      <formula>IF(#REF!&lt;&gt;#REF!,1,0)</formula>
    </cfRule>
  </conditionalFormatting>
  <conditionalFormatting sqref="R19">
    <cfRule type="expression" dxfId="424" priority="359">
      <formula>IF(#REF!&lt;&gt;#REF!,1,0)</formula>
    </cfRule>
  </conditionalFormatting>
  <conditionalFormatting sqref="R19">
    <cfRule type="expression" dxfId="423" priority="358">
      <formula>IF(#REF!&lt;&gt;#REF!,1,0)</formula>
    </cfRule>
  </conditionalFormatting>
  <conditionalFormatting sqref="H17">
    <cfRule type="expression" dxfId="422" priority="337">
      <formula>IF(#REF!&lt;&gt;#REF!,1,0)</formula>
    </cfRule>
  </conditionalFormatting>
  <conditionalFormatting sqref="H18">
    <cfRule type="expression" dxfId="421" priority="336">
      <formula>IF(#REF!&lt;&gt;#REF!,1,0)</formula>
    </cfRule>
  </conditionalFormatting>
  <conditionalFormatting sqref="S16">
    <cfRule type="expression" dxfId="420" priority="343">
      <formula>IF(#REF!&lt;&gt;#REF!,1,0)</formula>
    </cfRule>
  </conditionalFormatting>
  <conditionalFormatting sqref="S16">
    <cfRule type="expression" dxfId="419" priority="342">
      <formula>IF(#REF!&lt;&gt;#REF!,1,0)</formula>
    </cfRule>
  </conditionalFormatting>
  <conditionalFormatting sqref="T16:U16">
    <cfRule type="expression" dxfId="418" priority="341">
      <formula>IF(#REF!&lt;&gt;#REF!,1,0)</formula>
    </cfRule>
  </conditionalFormatting>
  <conditionalFormatting sqref="T16:U16">
    <cfRule type="expression" dxfId="417" priority="340">
      <formula>IF(#REF!&lt;&gt;#REF!,1,0)</formula>
    </cfRule>
  </conditionalFormatting>
  <conditionalFormatting sqref="B16">
    <cfRule type="expression" dxfId="416" priority="468">
      <formula>IF(#REF!&lt;&gt;#REF!,1,0)</formula>
    </cfRule>
  </conditionalFormatting>
  <conditionalFormatting sqref="C16">
    <cfRule type="expression" dxfId="415" priority="469">
      <formula>IF(#REF!&lt;&gt;#REF!,1,0)</formula>
    </cfRule>
  </conditionalFormatting>
  <conditionalFormatting sqref="C17">
    <cfRule type="expression" dxfId="414" priority="470">
      <formula>IF(#REF!&lt;&gt;#REF!,1,0)</formula>
    </cfRule>
  </conditionalFormatting>
  <conditionalFormatting sqref="T20:U20">
    <cfRule type="expression" dxfId="413" priority="332">
      <formula>IF(#REF!&lt;&gt;#REF!,1,0)</formula>
    </cfRule>
  </conditionalFormatting>
  <conditionalFormatting sqref="T20:U20">
    <cfRule type="expression" dxfId="412" priority="331">
      <formula>IF(#REF!&lt;&gt;#REF!,1,0)</formula>
    </cfRule>
  </conditionalFormatting>
  <conditionalFormatting sqref="T20:U20">
    <cfRule type="expression" dxfId="411" priority="330">
      <formula>IF(#REF!&lt;&gt;#REF!,1,0)</formula>
    </cfRule>
  </conditionalFormatting>
  <conditionalFormatting sqref="X20">
    <cfRule type="expression" dxfId="410" priority="329">
      <formula>IF(#REF!&lt;&gt;#REF!,1,0)</formula>
    </cfRule>
  </conditionalFormatting>
  <conditionalFormatting sqref="X20">
    <cfRule type="expression" dxfId="409" priority="328">
      <formula>IF(#REF!&lt;&gt;#REF!,1,0)</formula>
    </cfRule>
  </conditionalFormatting>
  <conditionalFormatting sqref="X20">
    <cfRule type="expression" dxfId="408" priority="327">
      <formula>IF(#REF!&lt;&gt;#REF!,1,0)</formula>
    </cfRule>
  </conditionalFormatting>
  <conditionalFormatting sqref="L20">
    <cfRule type="expression" dxfId="407" priority="323">
      <formula>IF(#REF!&lt;&gt;#REF!,1,0)</formula>
    </cfRule>
  </conditionalFormatting>
  <conditionalFormatting sqref="L20">
    <cfRule type="expression" dxfId="406" priority="322">
      <formula>IF(#REF!&lt;&gt;#REF!,1,0)</formula>
    </cfRule>
  </conditionalFormatting>
  <conditionalFormatting sqref="L20">
    <cfRule type="expression" dxfId="405" priority="321">
      <formula>IF(#REF!&lt;&gt;#REF!,1,0)</formula>
    </cfRule>
  </conditionalFormatting>
  <conditionalFormatting sqref="R20">
    <cfRule type="expression" dxfId="404" priority="320">
      <formula>IF(#REF!&lt;&gt;#REF!,1,0)</formula>
    </cfRule>
  </conditionalFormatting>
  <conditionalFormatting sqref="R20">
    <cfRule type="expression" dxfId="403" priority="319">
      <formula>IF(#REF!&lt;&gt;#REF!,1,0)</formula>
    </cfRule>
  </conditionalFormatting>
  <conditionalFormatting sqref="R20">
    <cfRule type="expression" dxfId="402" priority="318">
      <formula>IF(#REF!&lt;&gt;#REF!,1,0)</formula>
    </cfRule>
  </conditionalFormatting>
  <conditionalFormatting sqref="I20">
    <cfRule type="expression" dxfId="401" priority="314">
      <formula>IF(#REF!&lt;&gt;#REF!,1,0)</formula>
    </cfRule>
  </conditionalFormatting>
  <conditionalFormatting sqref="J20">
    <cfRule type="expression" dxfId="400" priority="313">
      <formula>IF(#REF!&lt;&gt;#REF!,1,0)</formula>
    </cfRule>
  </conditionalFormatting>
  <conditionalFormatting sqref="Q20">
    <cfRule type="expression" dxfId="399" priority="312">
      <formula>IF(#REF!&lt;&gt;#REF!,1,0)</formula>
    </cfRule>
  </conditionalFormatting>
  <conditionalFormatting sqref="N18 M6:M18">
    <cfRule type="expression" dxfId="398" priority="255">
      <formula>IF(#REF!&lt;&gt;#REF!,1,0)</formula>
    </cfRule>
  </conditionalFormatting>
  <conditionalFormatting sqref="M14:N17">
    <cfRule type="expression" dxfId="397" priority="254">
      <formula>IF(#REF!&lt;&gt;#REF!,1,0)</formula>
    </cfRule>
  </conditionalFormatting>
  <conditionalFormatting sqref="M6:N17 M18">
    <cfRule type="expression" dxfId="396" priority="253">
      <formula>IF(#REF!&lt;&gt;#REF!,1,0)</formula>
    </cfRule>
  </conditionalFormatting>
  <conditionalFormatting sqref="T5:U5">
    <cfRule type="expression" dxfId="395" priority="267">
      <formula>IF(#REF!&lt;&gt;#REF!,1,0)</formula>
    </cfRule>
  </conditionalFormatting>
  <conditionalFormatting sqref="T5:U5">
    <cfRule type="expression" dxfId="394" priority="268">
      <formula>IF(#REF!&lt;&gt;#REF!,1,0)</formula>
    </cfRule>
  </conditionalFormatting>
  <conditionalFormatting sqref="T5:U5">
    <cfRule type="expression" dxfId="393" priority="266">
      <formula>IF(#REF!&lt;&gt;#REF!,1,0)</formula>
    </cfRule>
  </conditionalFormatting>
  <conditionalFormatting sqref="T5:U5">
    <cfRule type="expression" dxfId="392" priority="265">
      <formula>IF(#REF!&lt;&gt;#REF!,1,0)</formula>
    </cfRule>
  </conditionalFormatting>
  <conditionalFormatting sqref="T5:U5">
    <cfRule type="expression" dxfId="391" priority="264">
      <formula>IF(#REF!&lt;&gt;#REF!,1,0)</formula>
    </cfRule>
  </conditionalFormatting>
  <conditionalFormatting sqref="C6 C14 B13:C13">
    <cfRule type="expression" dxfId="390" priority="905">
      <formula>IF(#REF!&lt;&gt;#REF!,1,0)</formula>
    </cfRule>
  </conditionalFormatting>
  <conditionalFormatting sqref="C6:C13 B13">
    <cfRule type="expression" dxfId="389" priority="906">
      <formula>IF(#REF!&lt;&gt;#REF!,1,0)</formula>
    </cfRule>
  </conditionalFormatting>
  <conditionalFormatting sqref="L6:L18">
    <cfRule type="expression" dxfId="388" priority="908">
      <formula>IF(#REF!&lt;&gt;#REF!,1,0)</formula>
    </cfRule>
  </conditionalFormatting>
  <conditionalFormatting sqref="C7:C12">
    <cfRule type="expression" dxfId="387" priority="909">
      <formula>IF(#REF!&lt;&gt;#REF!,1,0)</formula>
    </cfRule>
  </conditionalFormatting>
  <conditionalFormatting sqref="L12 E12">
    <cfRule type="expression" dxfId="386" priority="910">
      <formula>IF(#REF!&lt;&gt;#REF!,1,0)</formula>
    </cfRule>
  </conditionalFormatting>
  <conditionalFormatting sqref="B14">
    <cfRule type="expression" dxfId="385" priority="911">
      <formula>IF(#REF!&lt;&gt;#REF!,1,0)</formula>
    </cfRule>
  </conditionalFormatting>
  <conditionalFormatting sqref="B14:B15">
    <cfRule type="expression" dxfId="384" priority="918">
      <formula>IF(#REF!&lt;&gt;#REF!,1,0)</formula>
    </cfRule>
  </conditionalFormatting>
  <conditionalFormatting sqref="C14:C15">
    <cfRule type="expression" dxfId="383" priority="919">
      <formula>IF(#REF!&lt;&gt;#REF!,1,0)</formula>
    </cfRule>
  </conditionalFormatting>
  <conditionalFormatting sqref="B15:C16">
    <cfRule type="expression" dxfId="382" priority="920">
      <formula>IF(#REF!&lt;&gt;#REF!,1,0)</formula>
    </cfRule>
  </conditionalFormatting>
  <conditionalFormatting sqref="O6:O13">
    <cfRule type="expression" dxfId="381" priority="240">
      <formula>IF(#REF!&lt;&gt;#REF!,1,0)</formula>
    </cfRule>
  </conditionalFormatting>
  <conditionalFormatting sqref="O16">
    <cfRule type="expression" dxfId="380" priority="239">
      <formula>IF(#REF!&lt;&gt;#REF!,1,0)</formula>
    </cfRule>
  </conditionalFormatting>
  <conditionalFormatting sqref="O16">
    <cfRule type="expression" dxfId="379" priority="238">
      <formula>IF(#REF!&lt;&gt;#REF!,1,0)</formula>
    </cfRule>
  </conditionalFormatting>
  <conditionalFormatting sqref="V4:X4 E4:J4 L4:S4">
    <cfRule type="expression" dxfId="378" priority="928">
      <formula>IF(#REF!&lt;&gt;#REF!,1,0)</formula>
    </cfRule>
  </conditionalFormatting>
  <conditionalFormatting sqref="M14:N17">
    <cfRule type="expression" dxfId="377" priority="252">
      <formula>IF(#REF!&lt;&gt;#REF!,1,0)</formula>
    </cfRule>
  </conditionalFormatting>
  <conditionalFormatting sqref="M6:N13 M14:M18">
    <cfRule type="expression" dxfId="376" priority="251">
      <formula>IF(#REF!&lt;&gt;#REF!,1,0)</formula>
    </cfRule>
  </conditionalFormatting>
  <conditionalFormatting sqref="M6:N13 M14:M18">
    <cfRule type="expression" dxfId="375" priority="250">
      <formula>IF(#REF!&lt;&gt;#REF!,1,0)</formula>
    </cfRule>
  </conditionalFormatting>
  <conditionalFormatting sqref="M16">
    <cfRule type="expression" dxfId="374" priority="249">
      <formula>IF(#REF!&lt;&gt;#REF!,1,0)</formula>
    </cfRule>
  </conditionalFormatting>
  <conditionalFormatting sqref="M16">
    <cfRule type="expression" dxfId="373" priority="248">
      <formula>IF(#REF!&lt;&gt;#REF!,1,0)</formula>
    </cfRule>
  </conditionalFormatting>
  <conditionalFormatting sqref="N16">
    <cfRule type="expression" dxfId="372" priority="247">
      <formula>IF(#REF!&lt;&gt;#REF!,1,0)</formula>
    </cfRule>
  </conditionalFormatting>
  <conditionalFormatting sqref="N16">
    <cfRule type="expression" dxfId="371" priority="246">
      <formula>IF(#REF!&lt;&gt;#REF!,1,0)</formula>
    </cfRule>
  </conditionalFormatting>
  <conditionalFormatting sqref="O18">
    <cfRule type="expression" dxfId="370" priority="245">
      <formula>IF(#REF!&lt;&gt;#REF!,1,0)</formula>
    </cfRule>
  </conditionalFormatting>
  <conditionalFormatting sqref="O14:O17">
    <cfRule type="expression" dxfId="369" priority="244">
      <formula>IF(#REF!&lt;&gt;#REF!,1,0)</formula>
    </cfRule>
  </conditionalFormatting>
  <conditionalFormatting sqref="O6:O17">
    <cfRule type="expression" dxfId="368" priority="243">
      <formula>IF(#REF!&lt;&gt;#REF!,1,0)</formula>
    </cfRule>
  </conditionalFormatting>
  <conditionalFormatting sqref="O14:O17">
    <cfRule type="expression" dxfId="367" priority="242">
      <formula>IF(#REF!&lt;&gt;#REF!,1,0)</formula>
    </cfRule>
  </conditionalFormatting>
  <conditionalFormatting sqref="O6:O13">
    <cfRule type="expression" dxfId="366" priority="241">
      <formula>IF(#REF!&lt;&gt;#REF!,1,0)</formula>
    </cfRule>
  </conditionalFormatting>
  <conditionalFormatting sqref="E24:J24 Q24:Q25 V24:X25">
    <cfRule type="expression" dxfId="365" priority="235">
      <formula>IF(#REF!&lt;&gt;#REF!,1,0)</formula>
    </cfRule>
  </conditionalFormatting>
  <conditionalFormatting sqref="V24:X25">
    <cfRule type="expression" dxfId="364" priority="234">
      <formula>IF(#REF!&lt;&gt;#REF!,1,0)</formula>
    </cfRule>
  </conditionalFormatting>
  <conditionalFormatting sqref="E24 L24 P24:X25">
    <cfRule type="expression" dxfId="363" priority="236">
      <formula>IF(#REF!&lt;&gt;#REF!,1,0)</formula>
    </cfRule>
  </conditionalFormatting>
  <conditionalFormatting sqref="S24:S25 V24:X25">
    <cfRule type="expression" dxfId="362" priority="233">
      <formula>IF(#REF!&lt;&gt;#REF!,1,0)</formula>
    </cfRule>
  </conditionalFormatting>
  <conditionalFormatting sqref="V24:X25">
    <cfRule type="expression" dxfId="361" priority="232">
      <formula>IF(#REF!&lt;&gt;#REF!,1,0)</formula>
    </cfRule>
  </conditionalFormatting>
  <conditionalFormatting sqref="S24:S25 V24:V25">
    <cfRule type="expression" dxfId="360" priority="231">
      <formula>IF(#REF!&lt;&gt;#REF!,1,0)</formula>
    </cfRule>
  </conditionalFormatting>
  <conditionalFormatting sqref="L24 P24:P25">
    <cfRule type="expression" dxfId="359" priority="230">
      <formula>IF(#REF!&lt;&gt;#REF!,1,0)</formula>
    </cfRule>
  </conditionalFormatting>
  <conditionalFormatting sqref="S24:S25 V24:V25">
    <cfRule type="expression" dxfId="358" priority="229">
      <formula>IF(#REF!&lt;&gt;#REF!,1,0)</formula>
    </cfRule>
  </conditionalFormatting>
  <conditionalFormatting sqref="L24 P24:P25">
    <cfRule type="expression" dxfId="357" priority="228">
      <formula>IF(#REF!&lt;&gt;#REF!,1,0)</formula>
    </cfRule>
  </conditionalFormatting>
  <conditionalFormatting sqref="P24:P25">
    <cfRule type="expression" dxfId="356" priority="227">
      <formula>IF(#REF!&lt;&gt;#REF!,1,0)</formula>
    </cfRule>
  </conditionalFormatting>
  <conditionalFormatting sqref="R24:R25">
    <cfRule type="expression" dxfId="355" priority="220">
      <formula>IF(#REF!&lt;&gt;#REF!,1,0)</formula>
    </cfRule>
  </conditionalFormatting>
  <conditionalFormatting sqref="R24:R25">
    <cfRule type="expression" dxfId="354" priority="226">
      <formula>IF(#REF!&lt;&gt;#REF!,1,0)</formula>
    </cfRule>
  </conditionalFormatting>
  <conditionalFormatting sqref="R24:R25">
    <cfRule type="expression" dxfId="353" priority="225">
      <formula>IF(#REF!&lt;&gt;#REF!,1,0)</formula>
    </cfRule>
  </conditionalFormatting>
  <conditionalFormatting sqref="R24:R25">
    <cfRule type="expression" dxfId="352" priority="224">
      <formula>IF(#REF!&lt;&gt;#REF!,1,0)</formula>
    </cfRule>
  </conditionalFormatting>
  <conditionalFormatting sqref="H24">
    <cfRule type="expression" dxfId="351" priority="218">
      <formula>IF(#REF!&lt;&gt;#REF!,1,0)</formula>
    </cfRule>
  </conditionalFormatting>
  <conditionalFormatting sqref="H24">
    <cfRule type="expression" dxfId="350" priority="217">
      <formula>IF(#REF!&lt;&gt;#REF!,1,0)</formula>
    </cfRule>
  </conditionalFormatting>
  <conditionalFormatting sqref="E24:G24 I24:L24 P24:Q25">
    <cfRule type="expression" dxfId="349" priority="223">
      <formula>IF(#REF!&lt;&gt;#REF!,1,0)</formula>
    </cfRule>
  </conditionalFormatting>
  <conditionalFormatting sqref="R24:R25">
    <cfRule type="expression" dxfId="348" priority="222">
      <formula>IF(#REF!&lt;&gt;#REF!,1,0)</formula>
    </cfRule>
  </conditionalFormatting>
  <conditionalFormatting sqref="R24:R25">
    <cfRule type="expression" dxfId="347" priority="221">
      <formula>IF(#REF!&lt;&gt;#REF!,1,0)</formula>
    </cfRule>
  </conditionalFormatting>
  <conditionalFormatting sqref="H24">
    <cfRule type="expression" dxfId="346" priority="219">
      <formula>IF(#REF!&lt;&gt;#REF!,1,0)</formula>
    </cfRule>
  </conditionalFormatting>
  <conditionalFormatting sqref="M24:N24">
    <cfRule type="expression" dxfId="345" priority="216">
      <formula>IF(#REF!&lt;&gt;#REF!,1,0)</formula>
    </cfRule>
  </conditionalFormatting>
  <conditionalFormatting sqref="M24">
    <cfRule type="expression" dxfId="344" priority="215">
      <formula>IF(#REF!&lt;&gt;#REF!,1,0)</formula>
    </cfRule>
  </conditionalFormatting>
  <conditionalFormatting sqref="X24:X25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">
    <cfRule type="expression" dxfId="343" priority="214">
      <formula>IF(#REF!&lt;&gt;#REF!,1,0)</formula>
    </cfRule>
  </conditionalFormatting>
  <conditionalFormatting sqref="M24">
    <cfRule type="expression" dxfId="342" priority="213">
      <formula>IF(#REF!&lt;&gt;#REF!,1,0)</formula>
    </cfRule>
  </conditionalFormatting>
  <conditionalFormatting sqref="O24">
    <cfRule type="expression" dxfId="341" priority="212">
      <formula>IF(#REF!&lt;&gt;#REF!,1,0)</formula>
    </cfRule>
  </conditionalFormatting>
  <conditionalFormatting sqref="I25:J25">
    <cfRule type="expression" dxfId="340" priority="180">
      <formula>IF(#REF!&lt;&gt;#REF!,1,0)</formula>
    </cfRule>
  </conditionalFormatting>
  <conditionalFormatting sqref="E25:H25">
    <cfRule type="expression" dxfId="339" priority="206">
      <formula>IF(#REF!&lt;&gt;#REF!,1,0)</formula>
    </cfRule>
  </conditionalFormatting>
  <conditionalFormatting sqref="E25 L25">
    <cfRule type="expression" dxfId="338" priority="207">
      <formula>IF(#REF!&lt;&gt;#REF!,1,0)</formula>
    </cfRule>
  </conditionalFormatting>
  <conditionalFormatting sqref="I25:J25">
    <cfRule type="expression" dxfId="337" priority="181">
      <formula>IF(#REF!&lt;&gt;#REF!,1,0)</formula>
    </cfRule>
  </conditionalFormatting>
  <conditionalFormatting sqref="L25">
    <cfRule type="expression" dxfId="336" priority="201">
      <formula>IF(#REF!&lt;&gt;#REF!,1,0)</formula>
    </cfRule>
  </conditionalFormatting>
  <conditionalFormatting sqref="D6:D11 D13:D17">
    <cfRule type="expression" dxfId="335" priority="178">
      <formula>IF(#REF!&lt;&gt;#REF!,1,0)</formula>
    </cfRule>
  </conditionalFormatting>
  <conditionalFormatting sqref="L25">
    <cfRule type="expression" dxfId="334" priority="199">
      <formula>IF(#REF!&lt;&gt;#REF!,1,0)</formula>
    </cfRule>
  </conditionalFormatting>
  <conditionalFormatting sqref="D6">
    <cfRule type="expression" dxfId="333" priority="169">
      <formula>IF(#REF!&lt;&gt;#REF!,1,0)</formula>
    </cfRule>
  </conditionalFormatting>
  <conditionalFormatting sqref="D6">
    <cfRule type="expression" dxfId="332" priority="174">
      <formula>IF(#REF!&lt;&gt;#REF!,1,0)</formula>
    </cfRule>
  </conditionalFormatting>
  <conditionalFormatting sqref="D6">
    <cfRule type="expression" dxfId="331" priority="173">
      <formula>IF(#REF!&lt;&gt;#REF!,1,0)</formula>
    </cfRule>
  </conditionalFormatting>
  <conditionalFormatting sqref="H25">
    <cfRule type="expression" dxfId="330" priority="189">
      <formula>IF(#REF!&lt;&gt;#REF!,1,0)</formula>
    </cfRule>
  </conditionalFormatting>
  <conditionalFormatting sqref="H25">
    <cfRule type="expression" dxfId="329" priority="188">
      <formula>IF(#REF!&lt;&gt;#REF!,1,0)</formula>
    </cfRule>
  </conditionalFormatting>
  <conditionalFormatting sqref="E25:G25 K25:L25">
    <cfRule type="expression" dxfId="328" priority="194">
      <formula>IF(#REF!&lt;&gt;#REF!,1,0)</formula>
    </cfRule>
  </conditionalFormatting>
  <conditionalFormatting sqref="D14:D16">
    <cfRule type="expression" dxfId="327" priority="171">
      <formula>IF(#REF!&lt;&gt;#REF!,1,0)</formula>
    </cfRule>
  </conditionalFormatting>
  <conditionalFormatting sqref="D18">
    <cfRule type="expression" dxfId="326" priority="170">
      <formula>IF(#REF!&lt;&gt;#REF!,1,0)</formula>
    </cfRule>
  </conditionalFormatting>
  <conditionalFormatting sqref="H25">
    <cfRule type="expression" dxfId="325" priority="190">
      <formula>IF(#REF!&lt;&gt;#REF!,1,0)</formula>
    </cfRule>
  </conditionalFormatting>
  <conditionalFormatting sqref="M25:N25">
    <cfRule type="expression" dxfId="324" priority="187">
      <formula>IF(#REF!&lt;&gt;#REF!,1,0)</formula>
    </cfRule>
  </conditionalFormatting>
  <conditionalFormatting sqref="M25">
    <cfRule type="expression" dxfId="323" priority="186">
      <formula>IF(#REF!&lt;&gt;#REF!,1,0)</formula>
    </cfRule>
  </conditionalFormatting>
  <conditionalFormatting sqref="M25">
    <cfRule type="expression" dxfId="322" priority="185">
      <formula>IF(#REF!&lt;&gt;#REF!,1,0)</formula>
    </cfRule>
  </conditionalFormatting>
  <conditionalFormatting sqref="M25">
    <cfRule type="expression" dxfId="321" priority="184">
      <formula>IF(#REF!&lt;&gt;#REF!,1,0)</formula>
    </cfRule>
  </conditionalFormatting>
  <conditionalFormatting sqref="O25">
    <cfRule type="expression" dxfId="320" priority="183">
      <formula>IF(#REF!&lt;&gt;#REF!,1,0)</formula>
    </cfRule>
  </conditionalFormatting>
  <conditionalFormatting sqref="C24:D25">
    <cfRule type="expression" dxfId="319" priority="182">
      <formula>IF(#REF!&lt;&gt;#REF!,1,0)</formula>
    </cfRule>
  </conditionalFormatting>
  <conditionalFormatting sqref="D4">
    <cfRule type="expression" dxfId="318" priority="158">
      <formula>IF(#REF!&lt;&gt;#REF!,1,0)</formula>
    </cfRule>
  </conditionalFormatting>
  <conditionalFormatting sqref="D6:D18">
    <cfRule type="expression" dxfId="317" priority="176">
      <formula>IF(#REF!&lt;&gt;#REF!,1,0)</formula>
    </cfRule>
  </conditionalFormatting>
  <conditionalFormatting sqref="D6:D18">
    <cfRule type="expression" dxfId="316" priority="177">
      <formula>IF(#REF!&lt;&gt;#REF!,1,0)</formula>
    </cfRule>
  </conditionalFormatting>
  <conditionalFormatting sqref="D17 D7:D13">
    <cfRule type="expression" dxfId="315" priority="175">
      <formula>IF(#REF!&lt;&gt;#REF!,1,0)</formula>
    </cfRule>
  </conditionalFormatting>
  <conditionalFormatting sqref="D14:D16">
    <cfRule type="expression" dxfId="314" priority="172">
      <formula>IF(#REF!&lt;&gt;#REF!,1,0)</formula>
    </cfRule>
  </conditionalFormatting>
  <conditionalFormatting sqref="D6">
    <cfRule type="expression" dxfId="313" priority="168">
      <formula>IF(#REF!&lt;&gt;#REF!,1,0)</formula>
    </cfRule>
  </conditionalFormatting>
  <conditionalFormatting sqref="D12">
    <cfRule type="expression" dxfId="312" priority="179">
      <formula>IF(#REF!&lt;&gt;#REF!,1,0)</formula>
    </cfRule>
  </conditionalFormatting>
  <conditionalFormatting sqref="D4">
    <cfRule type="expression" dxfId="311" priority="160">
      <formula>IF(#REF!&lt;&gt;#REF!,1,0)</formula>
    </cfRule>
  </conditionalFormatting>
  <conditionalFormatting sqref="D4">
    <cfRule type="expression" dxfId="310" priority="161">
      <formula>IF(#REF!&lt;&gt;#REF!,1,0)</formula>
    </cfRule>
  </conditionalFormatting>
  <conditionalFormatting sqref="D4">
    <cfRule type="expression" dxfId="309" priority="159">
      <formula>IF(#REF!&lt;&gt;#REF!,1,0)</formula>
    </cfRule>
  </conditionalFormatting>
  <conditionalFormatting sqref="D4">
    <cfRule type="expression" dxfId="308" priority="162">
      <formula>IF(#REF!&lt;&gt;#REF!,1,0)</formula>
    </cfRule>
  </conditionalFormatting>
  <conditionalFormatting sqref="W27:X27 Q27 E27:J27">
    <cfRule type="expression" dxfId="307" priority="156">
      <formula>IF(#REF!&lt;&gt;#REF!,1,0)</formula>
    </cfRule>
  </conditionalFormatting>
  <conditionalFormatting sqref="W27:X27">
    <cfRule type="expression" dxfId="306" priority="155">
      <formula>IF(#REF!&lt;&gt;#REF!,1,0)</formula>
    </cfRule>
  </conditionalFormatting>
  <conditionalFormatting sqref="L27 C27:E27 P27:S27">
    <cfRule type="expression" dxfId="305" priority="157">
      <formula>IF(#REF!&lt;&gt;#REF!,1,0)</formula>
    </cfRule>
  </conditionalFormatting>
  <conditionalFormatting sqref="X27">
    <cfRule type="expression" dxfId="304" priority="154">
      <formula>IF(#REF!&lt;&gt;#REF!,1,0)</formula>
    </cfRule>
  </conditionalFormatting>
  <conditionalFormatting sqref="R27">
    <cfRule type="expression" dxfId="303" priority="153">
      <formula>IF(#REF!&lt;&gt;#REF!,1,0)</formula>
    </cfRule>
  </conditionalFormatting>
  <conditionalFormatting sqref="K27">
    <cfRule type="expression" dxfId="302" priority="150">
      <formula>IF(#REF!&lt;&gt;#REF!,1,0)</formula>
    </cfRule>
  </conditionalFormatting>
  <conditionalFormatting sqref="K27">
    <cfRule type="expression" dxfId="301" priority="152">
      <formula>IF(#REF!&lt;&gt;#REF!,1,0)</formula>
    </cfRule>
  </conditionalFormatting>
  <conditionalFormatting sqref="K27">
    <cfRule type="expression" dxfId="300" priority="151">
      <formula>IF(#REF!&lt;&gt;#REF!,1,0)</formula>
    </cfRule>
  </conditionalFormatting>
  <conditionalFormatting sqref="T27">
    <cfRule type="expression" dxfId="299" priority="149">
      <formula>IF(#REF!&lt;&gt;#REF!,1,0)</formula>
    </cfRule>
  </conditionalFormatting>
  <conditionalFormatting sqref="T27">
    <cfRule type="expression" dxfId="298" priority="148">
      <formula>IF(#REF!&lt;&gt;#REF!,1,0)</formula>
    </cfRule>
  </conditionalFormatting>
  <conditionalFormatting sqref="T27">
    <cfRule type="expression" dxfId="297" priority="147">
      <formula>IF(#REF!&lt;&gt;#REF!,1,0)</formula>
    </cfRule>
  </conditionalFormatting>
  <conditionalFormatting sqref="X27">
    <cfRule type="expression" dxfId="296" priority="146">
      <formula>IF(#REF!&lt;&gt;#REF!,1,0)</formula>
    </cfRule>
  </conditionalFormatting>
  <conditionalFormatting sqref="X27">
    <cfRule type="expression" dxfId="295" priority="145">
      <formula>IF(#REF!&lt;&gt;#REF!,1,0)</formula>
    </cfRule>
  </conditionalFormatting>
  <conditionalFormatting sqref="X27">
    <cfRule type="expression" dxfId="294" priority="144">
      <formula>IF(#REF!&lt;&gt;#REF!,1,0)</formula>
    </cfRule>
  </conditionalFormatting>
  <conditionalFormatting sqref="L27">
    <cfRule type="expression" dxfId="293" priority="143">
      <formula>IF(#REF!&lt;&gt;#REF!,1,0)</formula>
    </cfRule>
  </conditionalFormatting>
  <conditionalFormatting sqref="L27">
    <cfRule type="expression" dxfId="292" priority="142">
      <formula>IF(#REF!&lt;&gt;#REF!,1,0)</formula>
    </cfRule>
  </conditionalFormatting>
  <conditionalFormatting sqref="L27">
    <cfRule type="expression" dxfId="291" priority="141">
      <formula>IF(#REF!&lt;&gt;#REF!,1,0)</formula>
    </cfRule>
  </conditionalFormatting>
  <conditionalFormatting sqref="R27">
    <cfRule type="expression" dxfId="290" priority="140">
      <formula>IF(#REF!&lt;&gt;#REF!,1,0)</formula>
    </cfRule>
  </conditionalFormatting>
  <conditionalFormatting sqref="R27">
    <cfRule type="expression" dxfId="289" priority="139">
      <formula>IF(#REF!&lt;&gt;#REF!,1,0)</formula>
    </cfRule>
  </conditionalFormatting>
  <conditionalFormatting sqref="R27">
    <cfRule type="expression" dxfId="288" priority="138">
      <formula>IF(#REF!&lt;&gt;#REF!,1,0)</formula>
    </cfRule>
  </conditionalFormatting>
  <conditionalFormatting sqref="I27">
    <cfRule type="expression" dxfId="287" priority="137">
      <formula>IF(#REF!&lt;&gt;#REF!,1,0)</formula>
    </cfRule>
  </conditionalFormatting>
  <conditionalFormatting sqref="J27">
    <cfRule type="expression" dxfId="286" priority="136">
      <formula>IF(#REF!&lt;&gt;#REF!,1,0)</formula>
    </cfRule>
  </conditionalFormatting>
  <conditionalFormatting sqref="Q27">
    <cfRule type="expression" dxfId="285" priority="135">
      <formula>IF(#REF!&lt;&gt;#REF!,1,0)</formula>
    </cfRule>
  </conditionalFormatting>
  <conditionalFormatting sqref="V26:X26 Q26 E26:J26">
    <cfRule type="expression" dxfId="284" priority="133">
      <formula>IF(#REF!&lt;&gt;#REF!,1,0)</formula>
    </cfRule>
  </conditionalFormatting>
  <conditionalFormatting sqref="V26:X26">
    <cfRule type="expression" dxfId="283" priority="132">
      <formula>IF(#REF!&lt;&gt;#REF!,1,0)</formula>
    </cfRule>
  </conditionalFormatting>
  <conditionalFormatting sqref="L26:X26 C26:E26">
    <cfRule type="expression" dxfId="282" priority="134">
      <formula>IF(#REF!&lt;&gt;#REF!,1,0)</formula>
    </cfRule>
  </conditionalFormatting>
  <conditionalFormatting sqref="S26:X26">
    <cfRule type="expression" dxfId="281" priority="131">
      <formula>IF(#REF!&lt;&gt;#REF!,1,0)</formula>
    </cfRule>
  </conditionalFormatting>
  <conditionalFormatting sqref="X26 E26:J26 L26:Q26">
    <cfRule type="expression" dxfId="280" priority="130">
      <formula>IF(#REF!&lt;&gt;#REF!,1,0)</formula>
    </cfRule>
  </conditionalFormatting>
  <conditionalFormatting sqref="X26">
    <cfRule type="expression" dxfId="279" priority="129">
      <formula>IF(#REF!&lt;&gt;#REF!,1,0)</formula>
    </cfRule>
  </conditionalFormatting>
  <conditionalFormatting sqref="R26">
    <cfRule type="expression" dxfId="278" priority="122">
      <formula>IF(#REF!&lt;&gt;#REF!,1,0)</formula>
    </cfRule>
  </conditionalFormatting>
  <conditionalFormatting sqref="K26">
    <cfRule type="expression" dxfId="277" priority="119">
      <formula>IF(#REF!&lt;&gt;#REF!,1,0)</formula>
    </cfRule>
  </conditionalFormatting>
  <conditionalFormatting sqref="K26">
    <cfRule type="expression" dxfId="276" priority="121">
      <formula>IF(#REF!&lt;&gt;#REF!,1,0)</formula>
    </cfRule>
  </conditionalFormatting>
  <conditionalFormatting sqref="K26">
    <cfRule type="expression" dxfId="275" priority="120">
      <formula>IF(#REF!&lt;&gt;#REF!,1,0)</formula>
    </cfRule>
  </conditionalFormatting>
  <conditionalFormatting sqref="X26">
    <cfRule type="expression" dxfId="274" priority="128">
      <formula>IF(#REF!&lt;&gt;#REF!,1,0)</formula>
    </cfRule>
  </conditionalFormatting>
  <conditionalFormatting sqref="L26:Q26">
    <cfRule type="expression" dxfId="273" priority="126">
      <formula>IF(#REF!&lt;&gt;#REF!,1,0)</formula>
    </cfRule>
  </conditionalFormatting>
  <conditionalFormatting sqref="M26:Q26">
    <cfRule type="expression" dxfId="272" priority="125">
      <formula>IF(#REF!&lt;&gt;#REF!,1,0)</formula>
    </cfRule>
  </conditionalFormatting>
  <conditionalFormatting sqref="C26:D26">
    <cfRule type="expression" dxfId="271" priority="127">
      <formula>IF(#REF!&lt;&gt;#REF!,1,0)</formula>
    </cfRule>
  </conditionalFormatting>
  <conditionalFormatting sqref="R26">
    <cfRule type="expression" dxfId="270" priority="124">
      <formula>IF(#REF!&lt;&gt;#REF!,1,0)</formula>
    </cfRule>
  </conditionalFormatting>
  <conditionalFormatting sqref="R26">
    <cfRule type="expression" dxfId="269" priority="123">
      <formula>IF(#REF!&lt;&gt;#REF!,1,0)</formula>
    </cfRule>
  </conditionalFormatting>
  <conditionalFormatting sqref="T29">
    <cfRule type="expression" dxfId="268" priority="16">
      <formula>IF(#REF!&lt;&gt;#REF!,1,0)</formula>
    </cfRule>
  </conditionalFormatting>
  <conditionalFormatting sqref="T29">
    <cfRule type="expression" dxfId="267" priority="15">
      <formula>IF(#REF!&lt;&gt;#REF!,1,0)</formula>
    </cfRule>
  </conditionalFormatting>
  <conditionalFormatting sqref="T29">
    <cfRule type="expression" dxfId="266" priority="14">
      <formula>IF(#REF!&lt;&gt;#REF!,1,0)</formula>
    </cfRule>
  </conditionalFormatting>
  <conditionalFormatting sqref="L29">
    <cfRule type="expression" dxfId="265" priority="13">
      <formula>IF(#REF!&lt;&gt;#REF!,1,0)</formula>
    </cfRule>
  </conditionalFormatting>
  <conditionalFormatting sqref="L29">
    <cfRule type="expression" dxfId="264" priority="12">
      <formula>IF(#REF!&lt;&gt;#REF!,1,0)</formula>
    </cfRule>
  </conditionalFormatting>
  <conditionalFormatting sqref="L29">
    <cfRule type="expression" dxfId="263" priority="11">
      <formula>IF(#REF!&lt;&gt;#REF!,1,0)</formula>
    </cfRule>
  </conditionalFormatting>
  <conditionalFormatting sqref="M27">
    <cfRule type="expression" dxfId="262" priority="10">
      <formula>IF(#REF!&lt;&gt;#REF!,1,0)</formula>
    </cfRule>
  </conditionalFormatting>
  <conditionalFormatting sqref="U27">
    <cfRule type="expression" dxfId="261" priority="9">
      <formula>IF(#REF!&lt;&gt;#REF!,1,0)</formula>
    </cfRule>
  </conditionalFormatting>
  <conditionalFormatting sqref="U27">
    <cfRule type="expression" dxfId="260" priority="8">
      <formula>IF(#REF!&lt;&gt;#REF!,1,0)</formula>
    </cfRule>
  </conditionalFormatting>
  <conditionalFormatting sqref="U27">
    <cfRule type="expression" dxfId="259" priority="7">
      <formula>IF(#REF!&lt;&gt;#REF!,1,0)</formula>
    </cfRule>
  </conditionalFormatting>
  <conditionalFormatting sqref="U29">
    <cfRule type="expression" dxfId="258" priority="6">
      <formula>IF(#REF!&lt;&gt;#REF!,1,0)</formula>
    </cfRule>
  </conditionalFormatting>
  <conditionalFormatting sqref="U29">
    <cfRule type="expression" dxfId="257" priority="5">
      <formula>IF(#REF!&lt;&gt;#REF!,1,0)</formula>
    </cfRule>
  </conditionalFormatting>
  <conditionalFormatting sqref="U29">
    <cfRule type="expression" dxfId="256" priority="4">
      <formula>IF(#REF!&lt;&gt;#REF!,1,0)</formula>
    </cfRule>
  </conditionalFormatting>
  <conditionalFormatting sqref="M29">
    <cfRule type="expression" dxfId="255" priority="3">
      <formula>IF(#REF!&lt;&gt;#REF!,1,0)</formula>
    </cfRule>
  </conditionalFormatting>
  <conditionalFormatting sqref="M29">
    <cfRule type="expression" dxfId="254" priority="2">
      <formula>IF(#REF!&lt;&gt;#REF!,1,0)</formula>
    </cfRule>
  </conditionalFormatting>
  <conditionalFormatting sqref="M29">
    <cfRule type="expression" dxfId="253" priority="1">
      <formula>IF(#REF!&lt;&gt;#REF!,1,0)</formula>
    </cfRule>
  </conditionalFormatting>
  <conditionalFormatting sqref="X6:X18">
    <cfRule type="colorScale" priority="9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0" orientation="landscape" r:id="rId1"/>
  <ignoredErrors>
    <ignoredError sqref="N6 Q19 N7:N18" formula="1"/>
    <ignoredError sqref="K7:K18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13B2E-4358-41F0-8454-B301BACD6395}">
  <sheetPr>
    <tabColor rgb="FF00B0F0"/>
    <pageSetUpPr fitToPage="1"/>
  </sheetPr>
  <dimension ref="B1:X29"/>
  <sheetViews>
    <sheetView rightToLeft="1" tabSelected="1" zoomScale="85" zoomScaleNormal="85" workbookViewId="0">
      <pane ySplit="4" topLeftCell="A8" activePane="bottomLeft" state="frozen"/>
      <selection activeCell="C1" sqref="C1"/>
      <selection pane="bottomLeft" activeCell="H30" sqref="H30"/>
    </sheetView>
  </sheetViews>
  <sheetFormatPr defaultColWidth="9.28515625" defaultRowHeight="15" x14ac:dyDescent="0.25"/>
  <cols>
    <col min="1" max="1" width="9.28515625" style="31" customWidth="1"/>
    <col min="2" max="2" width="3" style="31" customWidth="1"/>
    <col min="3" max="3" width="21.140625" style="31" bestFit="1" customWidth="1"/>
    <col min="4" max="8" width="11.42578125" style="31" customWidth="1"/>
    <col min="9" max="9" width="8.5703125" style="31" hidden="1" customWidth="1"/>
    <col min="10" max="10" width="10" style="31" hidden="1" customWidth="1"/>
    <col min="11" max="11" width="15.5703125" style="31" customWidth="1"/>
    <col min="12" max="12" width="10.28515625" style="31" customWidth="1"/>
    <col min="13" max="14" width="8.42578125" style="31" customWidth="1"/>
    <col min="15" max="15" width="9.7109375" style="31" customWidth="1"/>
    <col min="16" max="16" width="11.7109375" style="31" customWidth="1"/>
    <col min="17" max="17" width="9.42578125" style="31" bestFit="1" customWidth="1"/>
    <col min="18" max="18" width="11.28515625" style="31" customWidth="1"/>
    <col min="19" max="19" width="10.5703125" style="31" customWidth="1"/>
    <col min="20" max="20" width="11.5703125" style="31" customWidth="1"/>
    <col min="21" max="21" width="12.28515625" style="31" bestFit="1" customWidth="1"/>
    <col min="22" max="23" width="10.5703125" style="31" customWidth="1"/>
    <col min="24" max="24" width="12.7109375" style="31" customWidth="1"/>
    <col min="25" max="16384" width="9.28515625" style="31"/>
  </cols>
  <sheetData>
    <row r="1" spans="3:24" ht="10.5" customHeight="1" x14ac:dyDescent="0.25"/>
    <row r="2" spans="3:24" ht="24.75" customHeight="1" x14ac:dyDescent="0.6">
      <c r="C2" s="32"/>
      <c r="D2" s="32"/>
      <c r="E2" s="33" t="s">
        <v>12</v>
      </c>
      <c r="I2" s="32"/>
      <c r="J2" s="32"/>
      <c r="L2" s="205" t="s">
        <v>39</v>
      </c>
      <c r="M2" s="205"/>
      <c r="N2" s="168">
        <v>0.7</v>
      </c>
    </row>
    <row r="3" spans="3:24" ht="24" customHeight="1" x14ac:dyDescent="0.25">
      <c r="C3" s="197" t="s">
        <v>13</v>
      </c>
      <c r="D3" s="210" t="s">
        <v>14</v>
      </c>
      <c r="E3" s="209"/>
      <c r="F3" s="209"/>
      <c r="G3" s="209"/>
      <c r="H3" s="211"/>
      <c r="I3" s="199" t="s">
        <v>15</v>
      </c>
      <c r="J3" s="201" t="s">
        <v>16</v>
      </c>
      <c r="K3" s="203" t="s">
        <v>17</v>
      </c>
      <c r="L3" s="194" t="s">
        <v>18</v>
      </c>
      <c r="M3" s="195"/>
      <c r="N3" s="195"/>
      <c r="O3" s="195"/>
      <c r="P3" s="195"/>
      <c r="Q3" s="195"/>
      <c r="R3" s="196"/>
      <c r="S3" s="206" t="s">
        <v>19</v>
      </c>
      <c r="T3" s="207"/>
      <c r="U3" s="207"/>
      <c r="V3" s="208"/>
      <c r="W3" s="209" t="s">
        <v>20</v>
      </c>
      <c r="X3" s="209"/>
    </row>
    <row r="4" spans="3:24" ht="41.25" customHeight="1" x14ac:dyDescent="0.25">
      <c r="C4" s="198"/>
      <c r="D4" s="34" t="s">
        <v>21</v>
      </c>
      <c r="E4" s="34" t="s">
        <v>37</v>
      </c>
      <c r="F4" s="35" t="s">
        <v>22</v>
      </c>
      <c r="G4" s="35" t="s">
        <v>23</v>
      </c>
      <c r="H4" s="35" t="s">
        <v>24</v>
      </c>
      <c r="I4" s="200"/>
      <c r="J4" s="202"/>
      <c r="K4" s="204"/>
      <c r="L4" s="36" t="s">
        <v>25</v>
      </c>
      <c r="M4" s="37" t="s">
        <v>22</v>
      </c>
      <c r="N4" s="37" t="s">
        <v>23</v>
      </c>
      <c r="O4" s="37" t="s">
        <v>24</v>
      </c>
      <c r="P4" s="38" t="s">
        <v>26</v>
      </c>
      <c r="Q4" s="39" t="s">
        <v>27</v>
      </c>
      <c r="R4" s="40" t="s">
        <v>28</v>
      </c>
      <c r="S4" s="41" t="s">
        <v>29</v>
      </c>
      <c r="T4" s="35" t="s">
        <v>30</v>
      </c>
      <c r="U4" s="37"/>
      <c r="V4" s="42" t="s">
        <v>31</v>
      </c>
      <c r="W4" s="43" t="s">
        <v>32</v>
      </c>
      <c r="X4" s="43" t="s">
        <v>33</v>
      </c>
    </row>
    <row r="5" spans="3:24" ht="19.5" hidden="1" customHeight="1" x14ac:dyDescent="0.6">
      <c r="C5" s="32"/>
      <c r="D5" s="32"/>
      <c r="E5" s="33"/>
      <c r="I5" s="32"/>
      <c r="J5" s="32"/>
      <c r="T5" s="44"/>
      <c r="U5" s="172"/>
    </row>
    <row r="6" spans="3:24" ht="22.5" customHeight="1" x14ac:dyDescent="0.25">
      <c r="C6" s="45">
        <v>1</v>
      </c>
      <c r="D6" s="46">
        <v>42.587899999999998</v>
      </c>
      <c r="E6" s="46">
        <f>هیدرومدول!C5</f>
        <v>43.871776657116328</v>
      </c>
      <c r="F6" s="91">
        <f>هیدرومدول!K5*$N$2</f>
        <v>0.807338</v>
      </c>
      <c r="G6" s="92">
        <f>هیدرومدول!G5*$N$2</f>
        <v>7.2705079999999986</v>
      </c>
      <c r="H6" s="126">
        <v>0</v>
      </c>
      <c r="I6" s="47">
        <v>0.1</v>
      </c>
      <c r="J6" s="48">
        <v>0.05</v>
      </c>
      <c r="K6" s="49">
        <f>SUM(E6:H6)*(1+I6)*(1+J6)</f>
        <v>60.001814168969368</v>
      </c>
      <c r="L6" s="50">
        <f>هیدرومدول!E5*1000/31/24/3600*1000</f>
        <v>50.899805791956233</v>
      </c>
      <c r="M6" s="54">
        <f>F6*هیدرومدول!N5</f>
        <v>0.81145749934911893</v>
      </c>
      <c r="N6" s="55">
        <f>G6*هیدرومدول!J5</f>
        <v>7.3076062822235084</v>
      </c>
      <c r="O6" s="55">
        <f>H6*هیدرومدول!N5</f>
        <v>0</v>
      </c>
      <c r="P6" s="51">
        <f t="shared" ref="P6:P18" si="0">SUM(L6:O6)*(J6+I6)</f>
        <v>8.8528304360293308</v>
      </c>
      <c r="Q6" s="52">
        <v>0.05</v>
      </c>
      <c r="R6" s="53">
        <f t="shared" ref="R6:R18" si="1">SUM(L6:O6)*(1+J6)*(1+Q6)*(1+I6)</f>
        <v>71.575134075297143</v>
      </c>
      <c r="S6" s="54">
        <f>R6*3600*24*31/1000/1000</f>
        <v>191.70683910727587</v>
      </c>
      <c r="T6" s="55">
        <f>S6/V6</f>
        <v>832.7014786280987</v>
      </c>
      <c r="U6" s="55">
        <f>T6*1000/K6</f>
        <v>13877.938361716069</v>
      </c>
      <c r="V6" s="56">
        <f>(هیدرومدول!E5/هیدرومدول!D5)</f>
        <v>0.23022276773558609</v>
      </c>
      <c r="W6" s="57">
        <f t="shared" ref="W6:W18" si="2">R6/K6</f>
        <v>1.1928828330712882</v>
      </c>
      <c r="X6" s="58">
        <f>S6*1000/K6</f>
        <v>3195.0173800981388</v>
      </c>
    </row>
    <row r="7" spans="3:24" ht="22.5" customHeight="1" x14ac:dyDescent="0.25">
      <c r="C7" s="60">
        <v>2</v>
      </c>
      <c r="D7" s="61">
        <v>124.5886</v>
      </c>
      <c r="E7" s="61">
        <f>هیدرومدول!C6</f>
        <v>124.1817619095913</v>
      </c>
      <c r="F7" s="62">
        <f>هیدرومدول!K6*$N$2</f>
        <v>16.290916599999999</v>
      </c>
      <c r="G7" s="63">
        <f>هیدرومدول!G6*$N$2</f>
        <v>79.083682999999994</v>
      </c>
      <c r="H7" s="127">
        <v>0</v>
      </c>
      <c r="I7" s="64">
        <f t="shared" ref="I7:J18" si="3">I6</f>
        <v>0.1</v>
      </c>
      <c r="J7" s="65">
        <f>J6</f>
        <v>0.05</v>
      </c>
      <c r="K7" s="66">
        <f t="shared" ref="K7:K18" si="4">SUM(E7:H7)*(1+I7)*(1+J7)</f>
        <v>253.58759754357797</v>
      </c>
      <c r="L7" s="67">
        <f>هیدرومدول!E6*1000/31/24/3600*1000</f>
        <v>121.60866421080911</v>
      </c>
      <c r="M7" s="71">
        <f>F7*هیدرومدول!N6</f>
        <v>16.064287651859026</v>
      </c>
      <c r="N7" s="72">
        <f>G7*هیدرومدول!J6</f>
        <v>77.983520723470747</v>
      </c>
      <c r="O7" s="72">
        <f>H7*هیدرومدول!N6</f>
        <v>0</v>
      </c>
      <c r="P7" s="68">
        <f t="shared" si="0"/>
        <v>32.348470887920833</v>
      </c>
      <c r="Q7" s="69">
        <f t="shared" ref="Q7:Q18" si="5">Q6</f>
        <v>0.05</v>
      </c>
      <c r="R7" s="70">
        <f t="shared" si="1"/>
        <v>261.53738712883995</v>
      </c>
      <c r="S7" s="71">
        <f t="shared" ref="S7:S18" si="6">R7*3600*24*31/1000/1000</f>
        <v>700.5017376858849</v>
      </c>
      <c r="T7" s="72">
        <f t="shared" ref="T7:T18" si="7">S7/V7</f>
        <v>3046.1072844804753</v>
      </c>
      <c r="U7" s="72">
        <f t="shared" ref="U7:U19" si="8">T7*1000/K7</f>
        <v>12012.051511931748</v>
      </c>
      <c r="V7" s="73">
        <f>(هیدرومدول!E6/هیدرومدول!D6)</f>
        <v>0.22996620678951499</v>
      </c>
      <c r="W7" s="59">
        <f t="shared" si="2"/>
        <v>1.0313492838856042</v>
      </c>
      <c r="X7" s="74">
        <f t="shared" ref="X7:X18" si="9">S7*1000/K7</f>
        <v>2762.3659219592023</v>
      </c>
    </row>
    <row r="8" spans="3:24" ht="22.5" customHeight="1" x14ac:dyDescent="0.25">
      <c r="C8" s="60">
        <v>3</v>
      </c>
      <c r="D8" s="61">
        <v>103.5865</v>
      </c>
      <c r="E8" s="61">
        <f>هیدرومدول!C7</f>
        <v>102.82180311608489</v>
      </c>
      <c r="F8" s="62">
        <f>هیدرومدول!K7*$N$2</f>
        <v>0</v>
      </c>
      <c r="G8" s="63">
        <f>هیدرومدول!G7*$N$2</f>
        <v>103.4493999</v>
      </c>
      <c r="H8" s="127">
        <v>7.1359824143999893</v>
      </c>
      <c r="I8" s="64">
        <v>0</v>
      </c>
      <c r="J8" s="65">
        <v>0</v>
      </c>
      <c r="K8" s="66">
        <f t="shared" si="4"/>
        <v>213.40718543048487</v>
      </c>
      <c r="L8" s="67">
        <f>هیدرومدول!E7*1000/31/24/3600*1000</f>
        <v>95.555610314885485</v>
      </c>
      <c r="M8" s="71">
        <f>F8*هیدرومدول!N7</f>
        <v>0</v>
      </c>
      <c r="N8" s="72">
        <f>G8*هیدرومدول!J7</f>
        <v>88.896815479166506</v>
      </c>
      <c r="O8" s="72">
        <f>H8*هیدرومدول!N7</f>
        <v>6.1321391189190733</v>
      </c>
      <c r="P8" s="68">
        <f t="shared" si="0"/>
        <v>0</v>
      </c>
      <c r="Q8" s="69">
        <f t="shared" si="5"/>
        <v>0.05</v>
      </c>
      <c r="R8" s="70">
        <f t="shared" si="1"/>
        <v>200.11379315861961</v>
      </c>
      <c r="S8" s="71">
        <f t="shared" si="6"/>
        <v>535.98478359604678</v>
      </c>
      <c r="T8" s="72">
        <f t="shared" si="7"/>
        <v>2325.3437404333158</v>
      </c>
      <c r="U8" s="72">
        <f t="shared" si="8"/>
        <v>10896.276691633571</v>
      </c>
      <c r="V8" s="73">
        <f>(هیدرومدول!E7/هیدرومدول!D7)</f>
        <v>0.23049701180788384</v>
      </c>
      <c r="W8" s="59">
        <f t="shared" si="2"/>
        <v>0.93770878780370104</v>
      </c>
      <c r="X8" s="74">
        <f t="shared" si="9"/>
        <v>2511.5592172534325</v>
      </c>
    </row>
    <row r="9" spans="3:24" ht="22.5" customHeight="1" x14ac:dyDescent="0.25">
      <c r="C9" s="75">
        <v>4</v>
      </c>
      <c r="D9" s="76">
        <v>51.905000000000001</v>
      </c>
      <c r="E9" s="76">
        <f>هیدرومدول!C8</f>
        <v>60.116223804079112</v>
      </c>
      <c r="F9" s="77">
        <f>هیدرومدول!K8*$N$2</f>
        <v>8.6046253999999998</v>
      </c>
      <c r="G9" s="78">
        <f>هیدرومدول!G8*$N$2</f>
        <v>46.909533999999987</v>
      </c>
      <c r="H9" s="128">
        <v>0</v>
      </c>
      <c r="I9" s="79">
        <f t="shared" si="3"/>
        <v>0</v>
      </c>
      <c r="J9" s="80">
        <f t="shared" si="3"/>
        <v>0</v>
      </c>
      <c r="K9" s="81">
        <f t="shared" si="4"/>
        <v>115.6303832040791</v>
      </c>
      <c r="L9" s="82">
        <f>هیدرومدول!E8*1000/31/24/3600*1000</f>
        <v>55.032424667838683</v>
      </c>
      <c r="M9" s="86">
        <f>F9*هیدرومدول!N8</f>
        <v>7.414721550096778</v>
      </c>
      <c r="N9" s="87">
        <f>G9*هیدرومدول!J8</f>
        <v>40.422576984559655</v>
      </c>
      <c r="O9" s="87">
        <f>H9*هیدرومدول!N8</f>
        <v>0</v>
      </c>
      <c r="P9" s="83">
        <f t="shared" si="0"/>
        <v>0</v>
      </c>
      <c r="Q9" s="84">
        <f t="shared" si="5"/>
        <v>0.05</v>
      </c>
      <c r="R9" s="85">
        <f t="shared" si="1"/>
        <v>108.01320936261989</v>
      </c>
      <c r="S9" s="86">
        <f t="shared" si="6"/>
        <v>289.30257995684116</v>
      </c>
      <c r="T9" s="87">
        <f t="shared" si="7"/>
        <v>1257.7935454350243</v>
      </c>
      <c r="U9" s="87">
        <f t="shared" si="8"/>
        <v>10877.708008760219</v>
      </c>
      <c r="V9" s="88">
        <f>(هیدرومدول!E8/هیدرومدول!D8)</f>
        <v>0.23000800171603844</v>
      </c>
      <c r="W9" s="89">
        <f t="shared" si="2"/>
        <v>0.93412480672994525</v>
      </c>
      <c r="X9" s="90">
        <f t="shared" si="9"/>
        <v>2501.9598823454853</v>
      </c>
    </row>
    <row r="10" spans="3:24" ht="22.5" customHeight="1" x14ac:dyDescent="0.25">
      <c r="C10" s="45">
        <v>5</v>
      </c>
      <c r="D10" s="46">
        <v>44.6798</v>
      </c>
      <c r="E10" s="46">
        <f>هیدرومدول!C9</f>
        <v>52.672953621769501</v>
      </c>
      <c r="F10" s="91">
        <f>هیدرومدول!K9*$N$2</f>
        <v>45.676698899999998</v>
      </c>
      <c r="G10" s="92">
        <f>هیدرومدول!G9*$N$2</f>
        <v>32.486343399999996</v>
      </c>
      <c r="H10" s="126">
        <v>9.0382270467999906</v>
      </c>
      <c r="I10" s="93">
        <f t="shared" si="3"/>
        <v>0</v>
      </c>
      <c r="J10" s="94">
        <f t="shared" si="3"/>
        <v>0</v>
      </c>
      <c r="K10" s="49">
        <f t="shared" si="4"/>
        <v>139.87422296856948</v>
      </c>
      <c r="L10" s="50">
        <f>هیدرومدول!E9*1000/31/24/3600*1000</f>
        <v>49.797160348887161</v>
      </c>
      <c r="M10" s="54">
        <f>F10*هیدرومدول!N9</f>
        <v>41.345290924625381</v>
      </c>
      <c r="N10" s="55">
        <f>G10*هیدرومدول!J9</f>
        <v>29.405744094836145</v>
      </c>
      <c r="O10" s="55">
        <f>H10*هیدرومدول!N9</f>
        <v>8.1811544111556476</v>
      </c>
      <c r="P10" s="95">
        <f t="shared" si="0"/>
        <v>0</v>
      </c>
      <c r="Q10" s="96">
        <f t="shared" si="5"/>
        <v>0.05</v>
      </c>
      <c r="R10" s="53">
        <f t="shared" si="1"/>
        <v>135.16581726847954</v>
      </c>
      <c r="S10" s="54">
        <f t="shared" si="6"/>
        <v>362.02812497189558</v>
      </c>
      <c r="T10" s="55">
        <f t="shared" si="7"/>
        <v>1573.2658952705974</v>
      </c>
      <c r="U10" s="55">
        <f t="shared" si="8"/>
        <v>11247.718570877201</v>
      </c>
      <c r="V10" s="56">
        <f>(هیدرومدول!E9/هیدرومدول!D9)</f>
        <v>0.23011248515599947</v>
      </c>
      <c r="W10" s="57">
        <f t="shared" si="2"/>
        <v>0.96633828878428907</v>
      </c>
      <c r="X10" s="58">
        <f t="shared" si="9"/>
        <v>2588.24047267984</v>
      </c>
    </row>
    <row r="11" spans="3:24" ht="22.5" customHeight="1" x14ac:dyDescent="0.25">
      <c r="C11" s="60">
        <v>6</v>
      </c>
      <c r="D11" s="61">
        <v>78.962400000000002</v>
      </c>
      <c r="E11" s="61">
        <f>هیدرومدول!C10</f>
        <v>83.623541015700667</v>
      </c>
      <c r="F11" s="62">
        <f>هیدرومدول!K10*$N$2</f>
        <v>3.6099930999999996</v>
      </c>
      <c r="G11" s="63">
        <f>هیدرومدول!G10*$N$2</f>
        <v>105.1596651</v>
      </c>
      <c r="H11" s="127">
        <v>0</v>
      </c>
      <c r="I11" s="64">
        <f t="shared" si="3"/>
        <v>0</v>
      </c>
      <c r="J11" s="65">
        <f t="shared" si="3"/>
        <v>0</v>
      </c>
      <c r="K11" s="66">
        <f t="shared" si="4"/>
        <v>192.39319921570066</v>
      </c>
      <c r="L11" s="67">
        <f>هیدرومدول!E10*1000/31/24/3600*1000</f>
        <v>81.269316158551632</v>
      </c>
      <c r="M11" s="71">
        <f>F11*هیدرومدول!N10</f>
        <v>3.3759255726093595</v>
      </c>
      <c r="N11" s="72">
        <f>G11*هیدرومدول!J10</f>
        <v>98.341241322075106</v>
      </c>
      <c r="O11" s="72">
        <f>H11*هیدرومدول!N10</f>
        <v>0</v>
      </c>
      <c r="P11" s="68">
        <f t="shared" si="0"/>
        <v>0</v>
      </c>
      <c r="Q11" s="69">
        <f t="shared" si="5"/>
        <v>0.05</v>
      </c>
      <c r="R11" s="70">
        <f t="shared" si="1"/>
        <v>192.13580720589792</v>
      </c>
      <c r="S11" s="71">
        <f t="shared" si="6"/>
        <v>514.61654602027693</v>
      </c>
      <c r="T11" s="72">
        <f t="shared" si="7"/>
        <v>2237.8174611543186</v>
      </c>
      <c r="U11" s="72">
        <f t="shared" si="8"/>
        <v>11631.479024606273</v>
      </c>
      <c r="V11" s="73">
        <f>(هیدرومدول!E10/هیدرومدول!D10)</f>
        <v>0.22996359397197022</v>
      </c>
      <c r="W11" s="59">
        <f t="shared" si="2"/>
        <v>0.99866215640234679</v>
      </c>
      <c r="X11" s="74">
        <f t="shared" si="9"/>
        <v>2674.8167197080452</v>
      </c>
    </row>
    <row r="12" spans="3:24" ht="22.5" customHeight="1" x14ac:dyDescent="0.25">
      <c r="C12" s="60">
        <v>7</v>
      </c>
      <c r="D12" s="61">
        <v>478.28590000000003</v>
      </c>
      <c r="E12" s="61">
        <f>هیدرومدول!C11</f>
        <v>372.47932817527101</v>
      </c>
      <c r="F12" s="62">
        <f>هیدرومدول!K11*$N$2</f>
        <v>0</v>
      </c>
      <c r="G12" s="63">
        <f>هیدرومدول!G11*$N$2</f>
        <v>199.80766749999998</v>
      </c>
      <c r="H12" s="127">
        <v>0</v>
      </c>
      <c r="I12" s="64">
        <f t="shared" si="3"/>
        <v>0</v>
      </c>
      <c r="J12" s="65">
        <f t="shared" si="3"/>
        <v>0</v>
      </c>
      <c r="K12" s="66">
        <f t="shared" si="4"/>
        <v>572.28699567527099</v>
      </c>
      <c r="L12" s="67">
        <f>هیدرومدول!E11*1000/31/24/3600*1000</f>
        <v>264.04381945716079</v>
      </c>
      <c r="M12" s="71">
        <f>F12*هیدرومدول!N11</f>
        <v>0</v>
      </c>
      <c r="N12" s="72">
        <f>G12*هیدرومدول!J11</f>
        <v>139.05272696874746</v>
      </c>
      <c r="O12" s="72">
        <f>H12*هیدرومدول!N11</f>
        <v>0</v>
      </c>
      <c r="P12" s="68">
        <f t="shared" si="0"/>
        <v>0</v>
      </c>
      <c r="Q12" s="69">
        <f t="shared" si="5"/>
        <v>0.05</v>
      </c>
      <c r="R12" s="70">
        <f t="shared" si="1"/>
        <v>423.25137374720373</v>
      </c>
      <c r="S12" s="71">
        <f t="shared" si="6"/>
        <v>1133.6364794445105</v>
      </c>
      <c r="T12" s="72">
        <f t="shared" si="7"/>
        <v>4918.3276837315498</v>
      </c>
      <c r="U12" s="72">
        <f t="shared" si="8"/>
        <v>8594.1629303111458</v>
      </c>
      <c r="V12" s="73">
        <f>(هیدرومدول!E11/هیدرومدول!D11)</f>
        <v>0.23049226329393677</v>
      </c>
      <c r="W12" s="59">
        <f t="shared" si="2"/>
        <v>0.7395788772865397</v>
      </c>
      <c r="X12" s="74">
        <f t="shared" si="9"/>
        <v>1980.8880649242681</v>
      </c>
    </row>
    <row r="13" spans="3:24" s="165" customFormat="1" ht="22.5" customHeight="1" x14ac:dyDescent="0.25">
      <c r="C13" s="75">
        <v>8</v>
      </c>
      <c r="D13" s="76">
        <v>111.2728</v>
      </c>
      <c r="E13" s="76">
        <f>هیدرومدول!C12</f>
        <v>94.7596580134242</v>
      </c>
      <c r="F13" s="77">
        <f>هیدرومدول!K12*$N$2</f>
        <v>0</v>
      </c>
      <c r="G13" s="78">
        <f>هیدرومدول!G12*$N$2</f>
        <v>113.70530149999998</v>
      </c>
      <c r="H13" s="128">
        <v>0</v>
      </c>
      <c r="I13" s="79">
        <f t="shared" si="3"/>
        <v>0</v>
      </c>
      <c r="J13" s="80">
        <f t="shared" si="3"/>
        <v>0</v>
      </c>
      <c r="K13" s="81">
        <f t="shared" si="4"/>
        <v>208.46495951342416</v>
      </c>
      <c r="L13" s="82">
        <f>هیدرومدول!E12*1000/31/24/3600*1000</f>
        <v>75.541919909019001</v>
      </c>
      <c r="M13" s="86">
        <f>F13*هیدرومدول!N12</f>
        <v>0</v>
      </c>
      <c r="N13" s="87">
        <f>G13*هیدرومدول!J12</f>
        <v>86.390245292718802</v>
      </c>
      <c r="O13" s="87">
        <f>H13*هیدرومدول!N12</f>
        <v>0</v>
      </c>
      <c r="P13" s="83">
        <f t="shared" si="0"/>
        <v>0</v>
      </c>
      <c r="Q13" s="84">
        <f t="shared" si="5"/>
        <v>0.05</v>
      </c>
      <c r="R13" s="85">
        <f t="shared" si="1"/>
        <v>170.0287734618247</v>
      </c>
      <c r="S13" s="86">
        <f t="shared" si="6"/>
        <v>455.40506684015128</v>
      </c>
      <c r="T13" s="87">
        <f t="shared" si="7"/>
        <v>1977.0739144065858</v>
      </c>
      <c r="U13" s="87">
        <f t="shared" si="8"/>
        <v>9483.9627677536446</v>
      </c>
      <c r="V13" s="88">
        <f>(هیدرومدول!E12/هیدرومدول!D12)</f>
        <v>0.23034296468214749</v>
      </c>
      <c r="W13" s="89">
        <f t="shared" si="2"/>
        <v>0.81562279751324651</v>
      </c>
      <c r="X13" s="90">
        <f t="shared" si="9"/>
        <v>2184.5641008594794</v>
      </c>
    </row>
    <row r="14" spans="3:24" s="165" customFormat="1" ht="22.15" customHeight="1" x14ac:dyDescent="0.25">
      <c r="C14" s="45">
        <v>9</v>
      </c>
      <c r="D14" s="46">
        <v>386.35109999999997</v>
      </c>
      <c r="E14" s="46">
        <f>هیدرومدول!C13</f>
        <v>289.47211037856698</v>
      </c>
      <c r="F14" s="91">
        <f>هیدرومدول!K13*$N$2</f>
        <v>0</v>
      </c>
      <c r="G14" s="92">
        <f>هیدرومدول!G13*$N$2</f>
        <v>250.50802139999999</v>
      </c>
      <c r="H14" s="126">
        <v>0</v>
      </c>
      <c r="I14" s="93">
        <f t="shared" si="3"/>
        <v>0</v>
      </c>
      <c r="J14" s="94">
        <f t="shared" si="3"/>
        <v>0</v>
      </c>
      <c r="K14" s="49">
        <f t="shared" si="4"/>
        <v>539.98013177856694</v>
      </c>
      <c r="L14" s="50">
        <f>هیدرومدول!E13*1000/31/24/3600*1000</f>
        <v>223.471338915069</v>
      </c>
      <c r="M14" s="54">
        <f>F14*هیدرومدول!N13</f>
        <v>0</v>
      </c>
      <c r="N14" s="55">
        <f>G14*هیدرومدول!J13</f>
        <v>198.94272050265809</v>
      </c>
      <c r="O14" s="55">
        <f>H14*هیدرومدول!N13</f>
        <v>0</v>
      </c>
      <c r="P14" s="95">
        <f t="shared" si="0"/>
        <v>0</v>
      </c>
      <c r="Q14" s="96">
        <f t="shared" si="5"/>
        <v>0.05</v>
      </c>
      <c r="R14" s="53">
        <f t="shared" si="1"/>
        <v>443.5347623886135</v>
      </c>
      <c r="S14" s="54">
        <f t="shared" si="6"/>
        <v>1187.9635075816625</v>
      </c>
      <c r="T14" s="55">
        <f t="shared" si="7"/>
        <v>5157.9589304239344</v>
      </c>
      <c r="U14" s="55">
        <f t="shared" si="8"/>
        <v>9552.1272485245645</v>
      </c>
      <c r="V14" s="56">
        <f>(هیدرومدول!E13/هیدرومدول!D13)</f>
        <v>0.23031658910165526</v>
      </c>
      <c r="W14" s="57">
        <f t="shared" si="2"/>
        <v>0.82139089252731357</v>
      </c>
      <c r="X14" s="58">
        <f t="shared" si="9"/>
        <v>2200.0133665451567</v>
      </c>
    </row>
    <row r="15" spans="3:24" s="165" customFormat="1" ht="22.5" customHeight="1" x14ac:dyDescent="0.25">
      <c r="C15" s="60">
        <v>10</v>
      </c>
      <c r="D15" s="61">
        <v>154.0668</v>
      </c>
      <c r="E15" s="61">
        <f>هیدرومدول!C14</f>
        <v>151.971123340204</v>
      </c>
      <c r="F15" s="62">
        <f>هیدرومدول!K14*$N$2</f>
        <v>0</v>
      </c>
      <c r="G15" s="63">
        <f>هیدرومدول!G14*$N$2</f>
        <v>27.3166516</v>
      </c>
      <c r="H15" s="127">
        <v>0</v>
      </c>
      <c r="I15" s="64">
        <f t="shared" si="3"/>
        <v>0</v>
      </c>
      <c r="J15" s="65">
        <f t="shared" si="3"/>
        <v>0</v>
      </c>
      <c r="K15" s="66">
        <f t="shared" si="4"/>
        <v>179.287774940204</v>
      </c>
      <c r="L15" s="67">
        <f>هیدرومدول!E14*1000/31/24/3600*1000</f>
        <v>136.55893527519234</v>
      </c>
      <c r="M15" s="71">
        <f>F15*هیدرومدول!N14</f>
        <v>0</v>
      </c>
      <c r="N15" s="72">
        <f>G15*هیدرومدول!J14</f>
        <v>25.648186559274667</v>
      </c>
      <c r="O15" s="72">
        <f>H15*هیدرومدول!N14</f>
        <v>0</v>
      </c>
      <c r="P15" s="68">
        <f t="shared" si="0"/>
        <v>0</v>
      </c>
      <c r="Q15" s="69">
        <f t="shared" si="5"/>
        <v>0.05</v>
      </c>
      <c r="R15" s="70">
        <f t="shared" si="1"/>
        <v>170.31747792619038</v>
      </c>
      <c r="S15" s="71">
        <f t="shared" si="6"/>
        <v>456.17833287750835</v>
      </c>
      <c r="T15" s="72">
        <f t="shared" si="7"/>
        <v>1985.7271775263273</v>
      </c>
      <c r="U15" s="72">
        <f t="shared" si="8"/>
        <v>11075.641817678905</v>
      </c>
      <c r="V15" s="73">
        <f>(هیدرومدول!E14/هیدرومدول!D14)</f>
        <v>0.22972860423141397</v>
      </c>
      <c r="W15" s="59">
        <f t="shared" si="2"/>
        <v>0.94996704590145431</v>
      </c>
      <c r="X15" s="74">
        <f t="shared" si="9"/>
        <v>2544.3917357424552</v>
      </c>
    </row>
    <row r="16" spans="3:24" s="165" customFormat="1" ht="22.5" customHeight="1" x14ac:dyDescent="0.25">
      <c r="C16" s="60">
        <v>11</v>
      </c>
      <c r="D16" s="61">
        <v>107.71250000000001</v>
      </c>
      <c r="E16" s="61">
        <f>هیدرومدول!C15</f>
        <v>128.95198350210089</v>
      </c>
      <c r="F16" s="62">
        <f>هیدرومدول!K15*$N$2</f>
        <v>0</v>
      </c>
      <c r="G16" s="63">
        <f>هیدرومدول!G15*$N$2</f>
        <v>106.5487815</v>
      </c>
      <c r="H16" s="127">
        <v>0</v>
      </c>
      <c r="I16" s="64">
        <f t="shared" si="3"/>
        <v>0</v>
      </c>
      <c r="J16" s="65">
        <f t="shared" si="3"/>
        <v>0</v>
      </c>
      <c r="K16" s="66">
        <f t="shared" si="4"/>
        <v>235.50076500210088</v>
      </c>
      <c r="L16" s="67">
        <f>هیدرومدول!E15*1000/31/24/3600*1000</f>
        <v>123.58646392254629</v>
      </c>
      <c r="M16" s="71">
        <f>F16*هیدرومدول!N15</f>
        <v>0</v>
      </c>
      <c r="N16" s="72">
        <f>G16*هیدرومدول!J15</f>
        <v>92.44544962318399</v>
      </c>
      <c r="O16" s="72">
        <f>H16*هیدرومدول!N15</f>
        <v>0</v>
      </c>
      <c r="P16" s="68">
        <f t="shared" si="0"/>
        <v>0</v>
      </c>
      <c r="Q16" s="69">
        <f t="shared" si="5"/>
        <v>0.05</v>
      </c>
      <c r="R16" s="70">
        <f t="shared" si="1"/>
        <v>226.83350922301679</v>
      </c>
      <c r="S16" s="71">
        <f t="shared" si="6"/>
        <v>607.55087110292823</v>
      </c>
      <c r="T16" s="72">
        <f t="shared" si="7"/>
        <v>2641.2559870963551</v>
      </c>
      <c r="U16" s="72">
        <f t="shared" si="8"/>
        <v>11215.487928766568</v>
      </c>
      <c r="V16" s="73">
        <f>(هیدرومدول!E15/هیدرومدول!D15)</f>
        <v>0.23002347143596436</v>
      </c>
      <c r="W16" s="59">
        <f t="shared" si="2"/>
        <v>0.96319648567168448</v>
      </c>
      <c r="X16" s="74">
        <f t="shared" si="9"/>
        <v>2579.8254672230396</v>
      </c>
    </row>
    <row r="17" spans="2:24" ht="22.5" customHeight="1" x14ac:dyDescent="0.25">
      <c r="C17" s="75">
        <v>12</v>
      </c>
      <c r="D17" s="76">
        <v>90.439300000000003</v>
      </c>
      <c r="E17" s="76">
        <f>هیدرومدول!C16</f>
        <v>92.646562354088672</v>
      </c>
      <c r="F17" s="77">
        <f>هیدرومدول!K16*$N$2</f>
        <v>170.62238269999997</v>
      </c>
      <c r="G17" s="78">
        <f>هیدرومدول!G16*$N$2</f>
        <v>241.03335269999997</v>
      </c>
      <c r="H17" s="128">
        <v>13.5202111015999</v>
      </c>
      <c r="I17" s="79">
        <f t="shared" si="3"/>
        <v>0</v>
      </c>
      <c r="J17" s="80">
        <f t="shared" si="3"/>
        <v>0</v>
      </c>
      <c r="K17" s="81">
        <f>SUM(E17:H17)*(1+I17)*(1+J17)</f>
        <v>517.82250885568851</v>
      </c>
      <c r="L17" s="82">
        <f>هیدرومدول!E16*1000/31/24/3600*1000</f>
        <v>77.882748347467142</v>
      </c>
      <c r="M17" s="86">
        <f>F17*هیدرومدول!N16</f>
        <v>159.0963092305488</v>
      </c>
      <c r="N17" s="87">
        <f>G17*هیدرومدول!J16</f>
        <v>224.7507988647678</v>
      </c>
      <c r="O17" s="87">
        <f>H17*هیدرومدول!N16</f>
        <v>12.606878723904005</v>
      </c>
      <c r="P17" s="83">
        <f t="shared" si="0"/>
        <v>0</v>
      </c>
      <c r="Q17" s="84">
        <f t="shared" si="5"/>
        <v>0.05</v>
      </c>
      <c r="R17" s="85">
        <f t="shared" si="1"/>
        <v>498.0535719250222</v>
      </c>
      <c r="S17" s="86">
        <f t="shared" si="6"/>
        <v>1333.9866870439794</v>
      </c>
      <c r="T17" s="87">
        <f t="shared" si="7"/>
        <v>5804.8293810001642</v>
      </c>
      <c r="U17" s="87">
        <f t="shared" si="8"/>
        <v>11210.075424932729</v>
      </c>
      <c r="V17" s="88">
        <f>(هیدرومدول!E16/هیدرومدول!D16)</f>
        <v>0.22980635596461499</v>
      </c>
      <c r="W17" s="89">
        <f t="shared" si="2"/>
        <v>0.96182294783911049</v>
      </c>
      <c r="X17" s="90">
        <f t="shared" si="9"/>
        <v>2576.1465834922733</v>
      </c>
    </row>
    <row r="18" spans="2:24" ht="22.5" customHeight="1" x14ac:dyDescent="0.25">
      <c r="C18" s="97">
        <v>13</v>
      </c>
      <c r="D18" s="98">
        <v>7.2237</v>
      </c>
      <c r="E18" s="98">
        <f>هیدرومدول!C17</f>
        <v>8.3469744157026273</v>
      </c>
      <c r="F18" s="99">
        <f>هیدرومدول!K17*$N$2</f>
        <v>0.86217250000000001</v>
      </c>
      <c r="G18" s="100">
        <f>هیدرومدول!G17*$N$2</f>
        <v>42</v>
      </c>
      <c r="H18" s="129">
        <v>0</v>
      </c>
      <c r="I18" s="101">
        <f t="shared" si="3"/>
        <v>0</v>
      </c>
      <c r="J18" s="102">
        <f t="shared" si="3"/>
        <v>0</v>
      </c>
      <c r="K18" s="103">
        <f t="shared" si="4"/>
        <v>51.209146915702625</v>
      </c>
      <c r="L18" s="104">
        <f>هیدرومدول!E17*1000/31/24/3600*1000</f>
        <v>9.2387419624925631</v>
      </c>
      <c r="M18" s="108">
        <f>F18*هیدرومدول!N17</f>
        <v>0.82615910859343222</v>
      </c>
      <c r="N18" s="109">
        <f>G18*هیدرومدول!J17</f>
        <v>40.245638269515844</v>
      </c>
      <c r="O18" s="109">
        <f>H18*هیدرومدول!N17</f>
        <v>0</v>
      </c>
      <c r="P18" s="105">
        <f t="shared" si="0"/>
        <v>0</v>
      </c>
      <c r="Q18" s="106">
        <f t="shared" si="5"/>
        <v>0.05</v>
      </c>
      <c r="R18" s="107">
        <f t="shared" si="1"/>
        <v>52.826066307631926</v>
      </c>
      <c r="S18" s="108">
        <f t="shared" si="6"/>
        <v>141.48933599836135</v>
      </c>
      <c r="T18" s="109">
        <f t="shared" si="7"/>
        <v>613.76723992436371</v>
      </c>
      <c r="U18" s="109">
        <f t="shared" si="8"/>
        <v>11985.500186806663</v>
      </c>
      <c r="V18" s="110">
        <f>(هیدرومدول!E17/هیدرومدول!D17)</f>
        <v>0.23052604765252296</v>
      </c>
      <c r="W18" s="111">
        <f t="shared" si="2"/>
        <v>1.0315748160107212</v>
      </c>
      <c r="X18" s="112">
        <f t="shared" si="9"/>
        <v>2762.9699872031156</v>
      </c>
    </row>
    <row r="19" spans="2:24" ht="22.5" customHeight="1" x14ac:dyDescent="0.25">
      <c r="C19" s="113" t="s">
        <v>34</v>
      </c>
      <c r="D19" s="114">
        <f>SUM(D6:D18)</f>
        <v>1781.6623</v>
      </c>
      <c r="E19" s="114">
        <f>SUM(E6:E18)</f>
        <v>1605.9158003037001</v>
      </c>
      <c r="F19" s="115">
        <f>SUM(F6:F18)</f>
        <v>246.47412719999997</v>
      </c>
      <c r="G19" s="115">
        <f>SUM(G6:G18)</f>
        <v>1355.2789095999999</v>
      </c>
      <c r="H19" s="115">
        <f>SUM(H6:H18)</f>
        <v>29.694420562799877</v>
      </c>
      <c r="I19" s="116">
        <f>SUM($E19:$H19)*(I20)</f>
        <v>33.8778876808991</v>
      </c>
      <c r="J19" s="115">
        <f>SUM($E19:$I19)*(J20)</f>
        <v>17.116204033756816</v>
      </c>
      <c r="K19" s="117">
        <f t="shared" ref="K19:P19" si="10">SUM(K6:K18)</f>
        <v>3279.4466852123392</v>
      </c>
      <c r="L19" s="115">
        <f t="shared" si="10"/>
        <v>1364.4869492818757</v>
      </c>
      <c r="M19" s="115">
        <f t="shared" si="10"/>
        <v>228.93415153768188</v>
      </c>
      <c r="N19" s="115">
        <f t="shared" si="10"/>
        <v>1149.8332709671984</v>
      </c>
      <c r="O19" s="115">
        <f t="shared" si="10"/>
        <v>26.920172253978727</v>
      </c>
      <c r="P19" s="118">
        <f t="shared" si="10"/>
        <v>41.201301323950162</v>
      </c>
      <c r="Q19" s="119">
        <f>SUM($L19:$P19)*(Q20)</f>
        <v>140.56879226823423</v>
      </c>
      <c r="R19" s="120">
        <f>SUM(R6:R18)</f>
        <v>2953.3866831792579</v>
      </c>
      <c r="S19" s="121">
        <f>SUM(S6:S18)</f>
        <v>7910.3508922273222</v>
      </c>
      <c r="T19" s="122">
        <f>SUM(T6:T18)</f>
        <v>34371.969719511108</v>
      </c>
      <c r="U19" s="122">
        <f t="shared" si="8"/>
        <v>10481.027142322813</v>
      </c>
      <c r="V19" s="123">
        <f>SUMPRODUCT(V6:V18,K6:K18)/K19</f>
        <v>0.23016106869480174</v>
      </c>
      <c r="W19" s="124">
        <f>SUMPRODUCT(W6:W18,K6:K18)/K19</f>
        <v>0.90057469038806182</v>
      </c>
      <c r="X19" s="125">
        <f>ROUND(SUMPRODUCT(X6:X18,K6:K18)/K19,-1)</f>
        <v>2410</v>
      </c>
    </row>
    <row r="20" spans="2:24" s="166" customFormat="1" ht="22.5" customHeight="1" thickBot="1" x14ac:dyDescent="0.3">
      <c r="C20" s="175"/>
      <c r="D20" s="175"/>
      <c r="E20" s="176" t="s">
        <v>35</v>
      </c>
      <c r="F20" s="176"/>
      <c r="G20" s="176" t="s">
        <v>36</v>
      </c>
      <c r="H20" s="176"/>
      <c r="I20" s="177">
        <f>SUMPRODUCT(I6:I18,$E6:$E18)/$E19</f>
        <v>1.0464654406845394E-2</v>
      </c>
      <c r="J20" s="177">
        <f>SUMPRODUCT(J6:J18,$E6:$E18)/$E19</f>
        <v>5.2323272034226972E-3</v>
      </c>
      <c r="K20" s="175"/>
      <c r="L20" s="178">
        <f>L19/1000*3600*24*31/V19/1000/1000</f>
        <v>15.878627370307813</v>
      </c>
      <c r="M20" s="190" t="s">
        <v>40</v>
      </c>
      <c r="N20" s="190"/>
      <c r="O20" s="190"/>
      <c r="P20" s="175"/>
      <c r="Q20" s="177">
        <f>SUMPRODUCT(Q6:Q18,$E6:$E18)/$E19</f>
        <v>0.05</v>
      </c>
      <c r="R20" s="179">
        <f>R19/L19</f>
        <v>2.1644667871199603</v>
      </c>
      <c r="S20" s="175"/>
      <c r="T20" s="183">
        <f>T19/1000</f>
        <v>34.371969719511107</v>
      </c>
      <c r="U20" s="189" t="s">
        <v>40</v>
      </c>
      <c r="V20" s="189"/>
      <c r="W20" s="175"/>
      <c r="X20" s="181">
        <f>X19*K19/1000/1000</f>
        <v>7.9034665113617377</v>
      </c>
    </row>
    <row r="21" spans="2:24" ht="12.75" customHeight="1" thickBot="1" x14ac:dyDescent="0.3"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182"/>
      <c r="P21" s="182"/>
      <c r="Q21" s="182"/>
      <c r="R21" s="182"/>
      <c r="S21" s="182"/>
      <c r="T21" s="182"/>
      <c r="U21" s="182"/>
      <c r="V21" s="182"/>
      <c r="W21" s="182"/>
      <c r="X21" s="182"/>
    </row>
    <row r="22" spans="2:24" ht="22.5" hidden="1" customHeight="1" x14ac:dyDescent="0.25"/>
    <row r="23" spans="2:24" ht="22.5" hidden="1" customHeight="1" x14ac:dyDescent="0.25"/>
    <row r="24" spans="2:24" ht="22.5" customHeight="1" x14ac:dyDescent="0.25">
      <c r="B24" s="193" t="s">
        <v>38</v>
      </c>
      <c r="C24" s="145">
        <v>14</v>
      </c>
      <c r="D24" s="161"/>
      <c r="E24" s="146">
        <v>3468.5660086580087</v>
      </c>
      <c r="F24" s="147">
        <v>0</v>
      </c>
      <c r="G24" s="148">
        <v>7000</v>
      </c>
      <c r="H24" s="149">
        <v>0</v>
      </c>
      <c r="I24" s="150">
        <f>I23</f>
        <v>0</v>
      </c>
      <c r="J24" s="151">
        <f>J23</f>
        <v>0</v>
      </c>
      <c r="K24" s="152">
        <f>SUM(E24:H24)*(1+I24)*(1+J24)</f>
        <v>10468.566008658008</v>
      </c>
      <c r="L24" s="146">
        <v>342.71609354415631</v>
      </c>
      <c r="M24" s="153">
        <v>0</v>
      </c>
      <c r="N24" s="154">
        <v>965.88209081128764</v>
      </c>
      <c r="O24" s="154">
        <v>0</v>
      </c>
      <c r="P24" s="155">
        <f t="shared" ref="P24:P25" si="11">SUM(L24:O24)*(J24+I24)</f>
        <v>0</v>
      </c>
      <c r="Q24" s="156">
        <f>Q8</f>
        <v>0.05</v>
      </c>
      <c r="R24" s="157">
        <f>SUM(L24:O24)*(1+J24)*(1+Q24)*(1+I24)</f>
        <v>1374.0280935732162</v>
      </c>
      <c r="S24" s="153">
        <f t="shared" ref="S24:S25" si="12">R24*3600*24*31/1000/1000</f>
        <v>3680.1968458265023</v>
      </c>
      <c r="T24" s="154">
        <f t="shared" ref="T24:T25" si="13">S24/V24</f>
        <v>16000.855851419574</v>
      </c>
      <c r="U24" s="173">
        <f t="shared" ref="U24:U26" si="14">T24*1000/K24</f>
        <v>1528.4668251779751</v>
      </c>
      <c r="V24" s="163">
        <v>0.23</v>
      </c>
      <c r="W24" s="158">
        <f>R24/K24</f>
        <v>0.13125275156471564</v>
      </c>
      <c r="X24" s="159">
        <f t="shared" ref="X24:X25" si="15">S24*1000/K24</f>
        <v>351.54736979093434</v>
      </c>
    </row>
    <row r="25" spans="2:24" ht="22.5" customHeight="1" x14ac:dyDescent="0.25">
      <c r="B25" s="193"/>
      <c r="C25" s="131">
        <v>15</v>
      </c>
      <c r="D25" s="162"/>
      <c r="E25" s="132">
        <v>181</v>
      </c>
      <c r="F25" s="133">
        <v>0</v>
      </c>
      <c r="G25" s="133">
        <v>0</v>
      </c>
      <c r="H25" s="134">
        <v>0</v>
      </c>
      <c r="I25" s="135">
        <f t="shared" ref="I25:J25" si="16">I24</f>
        <v>0</v>
      </c>
      <c r="J25" s="136">
        <f t="shared" si="16"/>
        <v>0</v>
      </c>
      <c r="K25" s="137">
        <f>SUM(E25:H25)*(1+I25)*(1+J25)</f>
        <v>181</v>
      </c>
      <c r="L25" s="132">
        <v>17.883936121340351</v>
      </c>
      <c r="M25" s="138">
        <v>0</v>
      </c>
      <c r="N25" s="139">
        <v>0</v>
      </c>
      <c r="O25" s="139">
        <v>0</v>
      </c>
      <c r="P25" s="140">
        <f t="shared" si="11"/>
        <v>0</v>
      </c>
      <c r="Q25" s="141">
        <f>Q24</f>
        <v>0.05</v>
      </c>
      <c r="R25" s="142">
        <f>SUM(L25:O25)*(1+J25)*(1+Q25)*(1+I25)</f>
        <v>18.77813292740737</v>
      </c>
      <c r="S25" s="138">
        <f t="shared" si="12"/>
        <v>50.295351232767899</v>
      </c>
      <c r="T25" s="139">
        <f t="shared" si="13"/>
        <v>218.67544014246911</v>
      </c>
      <c r="U25" s="139">
        <f t="shared" si="14"/>
        <v>1208.1516029970669</v>
      </c>
      <c r="V25" s="164">
        <v>0.23</v>
      </c>
      <c r="W25" s="143">
        <f>R25/K25</f>
        <v>0.10374659075915674</v>
      </c>
      <c r="X25" s="144">
        <f t="shared" si="15"/>
        <v>277.87486868932541</v>
      </c>
    </row>
    <row r="26" spans="2:24" ht="22.5" customHeight="1" x14ac:dyDescent="0.25">
      <c r="C26" s="113" t="s">
        <v>34</v>
      </c>
      <c r="D26" s="160"/>
      <c r="E26" s="114">
        <f>SUM(E24:E25)</f>
        <v>3649.5660086580087</v>
      </c>
      <c r="F26" s="115">
        <f>SUM(F24:F25)</f>
        <v>0</v>
      </c>
      <c r="G26" s="115">
        <f>SUM(G24:G25)</f>
        <v>7000</v>
      </c>
      <c r="H26" s="115">
        <f>SUM(H24:H25)</f>
        <v>0</v>
      </c>
      <c r="I26" s="116">
        <f>SUM($E26:$H26)*(I27)</f>
        <v>0</v>
      </c>
      <c r="J26" s="115">
        <f>SUM($E26:$I26)*(J27)</f>
        <v>0</v>
      </c>
      <c r="K26" s="117">
        <f t="shared" ref="K26:P26" si="17">SUM(K24:K25)</f>
        <v>10649.566008658008</v>
      </c>
      <c r="L26" s="115">
        <f t="shared" si="17"/>
        <v>360.60002966549666</v>
      </c>
      <c r="M26" s="115">
        <f t="shared" si="17"/>
        <v>0</v>
      </c>
      <c r="N26" s="115">
        <f t="shared" si="17"/>
        <v>965.88209081128764</v>
      </c>
      <c r="O26" s="115">
        <f t="shared" si="17"/>
        <v>0</v>
      </c>
      <c r="P26" s="118">
        <f t="shared" si="17"/>
        <v>0</v>
      </c>
      <c r="Q26" s="119">
        <f>SUM($L26:$P26)*(Q27)</f>
        <v>66.324106023839221</v>
      </c>
      <c r="R26" s="120">
        <f>SUM(R24:R25)</f>
        <v>1392.8062265006236</v>
      </c>
      <c r="S26" s="121">
        <f>SUM(S24:S25)</f>
        <v>3730.4921970592704</v>
      </c>
      <c r="T26" s="122">
        <f>SUM(T24:T25)</f>
        <v>16219.531291562043</v>
      </c>
      <c r="U26" s="122">
        <f t="shared" si="14"/>
        <v>1523.0227483801405</v>
      </c>
      <c r="V26" s="123">
        <f>SUMPRODUCT(V24:V25,K24:K25)/K26</f>
        <v>0.23</v>
      </c>
      <c r="W26" s="124">
        <f>SUMPRODUCT(W24:W25,K24:K25)/K26</f>
        <v>0.1307852569173508</v>
      </c>
      <c r="X26" s="125">
        <f>ROUND(SUMPRODUCT(X24:X25,K24:K25)/K26,-1)</f>
        <v>350</v>
      </c>
    </row>
    <row r="27" spans="2:24" s="166" customFormat="1" ht="22.5" customHeight="1" thickBot="1" x14ac:dyDescent="0.3">
      <c r="C27" s="175"/>
      <c r="D27" s="175"/>
      <c r="E27" s="176" t="s">
        <v>35</v>
      </c>
      <c r="F27" s="176"/>
      <c r="G27" s="176" t="s">
        <v>36</v>
      </c>
      <c r="H27" s="176"/>
      <c r="I27" s="177">
        <f>SUMPRODUCT(I24:I25,$E24:$E25)/$E26</f>
        <v>0</v>
      </c>
      <c r="J27" s="177">
        <f>SUMPRODUCT(J24:J25,$E24:$E25)/$E26</f>
        <v>0</v>
      </c>
      <c r="K27" s="175"/>
      <c r="L27" s="183">
        <f>L26/1000*3600*24*31/V26/1000/1000</f>
        <v>4.1992657367655051</v>
      </c>
      <c r="M27" s="190" t="s">
        <v>40</v>
      </c>
      <c r="N27" s="190"/>
      <c r="O27" s="190"/>
      <c r="P27" s="175"/>
      <c r="Q27" s="177">
        <f>SUMPRODUCT(Q24:Q25,$E24:$E25)/$E26</f>
        <v>0.05</v>
      </c>
      <c r="R27" s="179">
        <f>R26/L26</f>
        <v>3.8624684190753733</v>
      </c>
      <c r="S27" s="175"/>
      <c r="T27" s="183">
        <f>T26/1000</f>
        <v>16.219531291562042</v>
      </c>
      <c r="U27" s="189" t="s">
        <v>40</v>
      </c>
      <c r="V27" s="189"/>
      <c r="W27" s="175"/>
      <c r="X27" s="181">
        <f>X26*K26/1000/1000</f>
        <v>3.7273481030303026</v>
      </c>
    </row>
    <row r="28" spans="2:24" ht="11.25" customHeight="1" thickBot="1" x14ac:dyDescent="0.3"/>
    <row r="29" spans="2:24" ht="27" customHeight="1" thickBot="1" x14ac:dyDescent="0.3">
      <c r="L29" s="174">
        <f>L20+L27</f>
        <v>20.077893107073319</v>
      </c>
      <c r="M29" s="191" t="s">
        <v>40</v>
      </c>
      <c r="N29" s="191"/>
      <c r="O29" s="192"/>
      <c r="T29" s="174">
        <f>T20+T27</f>
        <v>50.591501011073149</v>
      </c>
      <c r="U29" s="191" t="s">
        <v>40</v>
      </c>
      <c r="V29" s="192"/>
    </row>
  </sheetData>
  <mergeCells count="16">
    <mergeCell ref="M29:O29"/>
    <mergeCell ref="U29:V29"/>
    <mergeCell ref="S3:V3"/>
    <mergeCell ref="W3:X3"/>
    <mergeCell ref="M20:O20"/>
    <mergeCell ref="U20:V20"/>
    <mergeCell ref="B24:B25"/>
    <mergeCell ref="M27:O27"/>
    <mergeCell ref="U27:V27"/>
    <mergeCell ref="L2:M2"/>
    <mergeCell ref="C3:C4"/>
    <mergeCell ref="D3:H3"/>
    <mergeCell ref="I3:I4"/>
    <mergeCell ref="J3:J4"/>
    <mergeCell ref="K3:K4"/>
    <mergeCell ref="L3:R3"/>
  </mergeCells>
  <conditionalFormatting sqref="I3:J3 D3 D19 W20:X20 V3:X19 Q3:Q20 E4:J20">
    <cfRule type="expression" dxfId="252" priority="243">
      <formula>IF(#REF!&lt;&gt;#REF!,1,0)</formula>
    </cfRule>
  </conditionalFormatting>
  <conditionalFormatting sqref="W20:X20 V3:X19">
    <cfRule type="expression" dxfId="251" priority="242">
      <formula>IF(#REF!&lt;&gt;#REF!,1,0)</formula>
    </cfRule>
  </conditionalFormatting>
  <conditionalFormatting sqref="L3:S5 L19:S19 L6:L18 P6:S18 D3 C18 C19:D20 L20:M20 P20:S20 T18:X19 E4:E20">
    <cfRule type="expression" dxfId="250" priority="244">
      <formula>IF(#REF!&lt;&gt;#REF!,1,0)</formula>
    </cfRule>
  </conditionalFormatting>
  <conditionalFormatting sqref="E4:J4 E17:G17 I17:L17 S14:W17 V4:X4 V6:W13 X6:X17 E7:L13 F6:K6 P7:Q13 P17:Q17">
    <cfRule type="expression" dxfId="249" priority="238">
      <formula>IF(#REF!&lt;&gt;#REF!,1,0)</formula>
    </cfRule>
  </conditionalFormatting>
  <conditionalFormatting sqref="S6:X17 S18 V18:X18">
    <cfRule type="expression" dxfId="248" priority="237">
      <formula>IF(#REF!&lt;&gt;#REF!,1,0)</formula>
    </cfRule>
  </conditionalFormatting>
  <conditionalFormatting sqref="V4:X4 S14:X17 V6:X13 V18:X18">
    <cfRule type="expression" dxfId="247" priority="236">
      <formula>IF(#REF!&lt;&gt;#REF!,1,0)</formula>
    </cfRule>
  </conditionalFormatting>
  <conditionalFormatting sqref="P10:Q10 E6:E20">
    <cfRule type="expression" dxfId="246" priority="225">
      <formula>IF(#REF!&lt;&gt;#REF!,1,0)</formula>
    </cfRule>
  </conditionalFormatting>
  <conditionalFormatting sqref="P11:Q11">
    <cfRule type="expression" dxfId="245" priority="223">
      <formula>IF(#REF!&lt;&gt;#REF!,1,0)</formula>
    </cfRule>
  </conditionalFormatting>
  <conditionalFormatting sqref="R12">
    <cfRule type="expression" dxfId="244" priority="201">
      <formula>IF(#REF!&lt;&gt;#REF!,1,0)</formula>
    </cfRule>
  </conditionalFormatting>
  <conditionalFormatting sqref="L11 P11:Q11">
    <cfRule type="expression" dxfId="243" priority="224">
      <formula>IF(#REF!&lt;&gt;#REF!,1,0)</formula>
    </cfRule>
  </conditionalFormatting>
  <conditionalFormatting sqref="R13">
    <cfRule type="expression" dxfId="242" priority="200">
      <formula>IF(#REF!&lt;&gt;#REF!,1,0)</formula>
    </cfRule>
  </conditionalFormatting>
  <conditionalFormatting sqref="R13">
    <cfRule type="expression" dxfId="241" priority="199">
      <formula>IF(#REF!&lt;&gt;#REF!,1,0)</formula>
    </cfRule>
  </conditionalFormatting>
  <conditionalFormatting sqref="S6:V13 E6:K6 Q6 S14:S18 V14:V18">
    <cfRule type="expression" dxfId="240" priority="233">
      <formula>IF(#REF!&lt;&gt;#REF!,1,0)</formula>
    </cfRule>
  </conditionalFormatting>
  <conditionalFormatting sqref="E6:L6 L7:L18 P7:P18 P6:Q6 E7:G18">
    <cfRule type="expression" dxfId="239" priority="232">
      <formula>IF(#REF!&lt;&gt;#REF!,1,0)</formula>
    </cfRule>
  </conditionalFormatting>
  <conditionalFormatting sqref="S4 S6:V13 S14:S18 V14:V18">
    <cfRule type="expression" dxfId="238" priority="231">
      <formula>IF(#REF!&lt;&gt;#REF!,1,0)</formula>
    </cfRule>
  </conditionalFormatting>
  <conditionalFormatting sqref="P7:P18 P6:Q6 L6:L18">
    <cfRule type="expression" dxfId="237" priority="230">
      <formula>IF(#REF!&lt;&gt;#REF!,1,0)</formula>
    </cfRule>
  </conditionalFormatting>
  <conditionalFormatting sqref="P6:Q6 P7:P18">
    <cfRule type="expression" dxfId="236" priority="229">
      <formula>IF(#REF!&lt;&gt;#REF!,1,0)</formula>
    </cfRule>
  </conditionalFormatting>
  <conditionalFormatting sqref="S4 L4:Q4">
    <cfRule type="expression" dxfId="235" priority="228">
      <formula>IF(#REF!&lt;&gt;#REF!,1,0)</formula>
    </cfRule>
  </conditionalFormatting>
  <conditionalFormatting sqref="M4:Q4">
    <cfRule type="expression" dxfId="234" priority="227">
      <formula>IF(#REF!&lt;&gt;#REF!,1,0)</formula>
    </cfRule>
  </conditionalFormatting>
  <conditionalFormatting sqref="E4 L4">
    <cfRule type="expression" dxfId="233" priority="234">
      <formula>IF(#REF!&lt;&gt;#REF!,1,0)</formula>
    </cfRule>
  </conditionalFormatting>
  <conditionalFormatting sqref="L10 P10:Q10">
    <cfRule type="expression" dxfId="232" priority="226">
      <formula>IF(#REF!&lt;&gt;#REF!,1,0)</formula>
    </cfRule>
  </conditionalFormatting>
  <conditionalFormatting sqref="L12 P12:Q12">
    <cfRule type="expression" dxfId="231" priority="220">
      <formula>IF(#REF!&lt;&gt;#REF!,1,0)</formula>
    </cfRule>
  </conditionalFormatting>
  <conditionalFormatting sqref="P12:Q12">
    <cfRule type="expression" dxfId="230" priority="219">
      <formula>IF(#REF!&lt;&gt;#REF!,1,0)</formula>
    </cfRule>
  </conditionalFormatting>
  <conditionalFormatting sqref="L9 P9:Q9">
    <cfRule type="expression" dxfId="229" priority="222">
      <formula>IF(#REF!&lt;&gt;#REF!,1,0)</formula>
    </cfRule>
  </conditionalFormatting>
  <conditionalFormatting sqref="P9:Q9">
    <cfRule type="expression" dxfId="228" priority="221">
      <formula>IF(#REF!&lt;&gt;#REF!,1,0)</formula>
    </cfRule>
  </conditionalFormatting>
  <conditionalFormatting sqref="L13 P13:Q13">
    <cfRule type="expression" dxfId="227" priority="218">
      <formula>IF(#REF!&lt;&gt;#REF!,1,0)</formula>
    </cfRule>
  </conditionalFormatting>
  <conditionalFormatting sqref="P13:Q13">
    <cfRule type="expression" dxfId="226" priority="217">
      <formula>IF(#REF!&lt;&gt;#REF!,1,0)</formula>
    </cfRule>
  </conditionalFormatting>
  <conditionalFormatting sqref="L17 P17:Q17">
    <cfRule type="expression" dxfId="225" priority="216">
      <formula>IF(#REF!&lt;&gt;#REF!,1,0)</formula>
    </cfRule>
  </conditionalFormatting>
  <conditionalFormatting sqref="P17:Q17">
    <cfRule type="expression" dxfId="224" priority="215">
      <formula>IF(#REF!&lt;&gt;#REF!,1,0)</formula>
    </cfRule>
  </conditionalFormatting>
  <conditionalFormatting sqref="C17">
    <cfRule type="expression" dxfId="223" priority="235">
      <formula>IF(#REF!&lt;&gt;#REF!,1,0)</formula>
    </cfRule>
  </conditionalFormatting>
  <conditionalFormatting sqref="R7:R8">
    <cfRule type="expression" dxfId="222" priority="190">
      <formula>IF(#REF!&lt;&gt;#REF!,1,0)</formula>
    </cfRule>
  </conditionalFormatting>
  <conditionalFormatting sqref="R4">
    <cfRule type="expression" dxfId="221" priority="214">
      <formula>IF(#REF!&lt;&gt;#REF!,1,0)</formula>
    </cfRule>
  </conditionalFormatting>
  <conditionalFormatting sqref="R4">
    <cfRule type="expression" dxfId="220" priority="213">
      <formula>IF(#REF!&lt;&gt;#REF!,1,0)</formula>
    </cfRule>
  </conditionalFormatting>
  <conditionalFormatting sqref="R10">
    <cfRule type="expression" dxfId="219" priority="212">
      <formula>IF(#REF!&lt;&gt;#REF!,1,0)</formula>
    </cfRule>
  </conditionalFormatting>
  <conditionalFormatting sqref="R10">
    <cfRule type="expression" dxfId="218" priority="211">
      <formula>IF(#REF!&lt;&gt;#REF!,1,0)</formula>
    </cfRule>
  </conditionalFormatting>
  <conditionalFormatting sqref="R10">
    <cfRule type="expression" dxfId="217" priority="210">
      <formula>IF(#REF!&lt;&gt;#REF!,1,0)</formula>
    </cfRule>
  </conditionalFormatting>
  <conditionalFormatting sqref="R12">
    <cfRule type="expression" dxfId="216" priority="203">
      <formula>IF(#REF!&lt;&gt;#REF!,1,0)</formula>
    </cfRule>
  </conditionalFormatting>
  <conditionalFormatting sqref="R12">
    <cfRule type="expression" dxfId="215" priority="202">
      <formula>IF(#REF!&lt;&gt;#REF!,1,0)</formula>
    </cfRule>
  </conditionalFormatting>
  <conditionalFormatting sqref="R11">
    <cfRule type="expression" dxfId="214" priority="209">
      <formula>IF(#REF!&lt;&gt;#REF!,1,0)</formula>
    </cfRule>
  </conditionalFormatting>
  <conditionalFormatting sqref="R11">
    <cfRule type="expression" dxfId="213" priority="208">
      <formula>IF(#REF!&lt;&gt;#REF!,1,0)</formula>
    </cfRule>
  </conditionalFormatting>
  <conditionalFormatting sqref="R11">
    <cfRule type="expression" dxfId="212" priority="207">
      <formula>IF(#REF!&lt;&gt;#REF!,1,0)</formula>
    </cfRule>
  </conditionalFormatting>
  <conditionalFormatting sqref="R9">
    <cfRule type="expression" dxfId="211" priority="206">
      <formula>IF(#REF!&lt;&gt;#REF!,1,0)</formula>
    </cfRule>
  </conditionalFormatting>
  <conditionalFormatting sqref="R9">
    <cfRule type="expression" dxfId="210" priority="205">
      <formula>IF(#REF!&lt;&gt;#REF!,1,0)</formula>
    </cfRule>
  </conditionalFormatting>
  <conditionalFormatting sqref="R9">
    <cfRule type="expression" dxfId="209" priority="204">
      <formula>IF(#REF!&lt;&gt;#REF!,1,0)</formula>
    </cfRule>
  </conditionalFormatting>
  <conditionalFormatting sqref="R13">
    <cfRule type="expression" dxfId="208" priority="198">
      <formula>IF(#REF!&lt;&gt;#REF!,1,0)</formula>
    </cfRule>
  </conditionalFormatting>
  <conditionalFormatting sqref="R17">
    <cfRule type="expression" dxfId="207" priority="197">
      <formula>IF(#REF!&lt;&gt;#REF!,1,0)</formula>
    </cfRule>
  </conditionalFormatting>
  <conditionalFormatting sqref="R17">
    <cfRule type="expression" dxfId="206" priority="196">
      <formula>IF(#REF!&lt;&gt;#REF!,1,0)</formula>
    </cfRule>
  </conditionalFormatting>
  <conditionalFormatting sqref="R17">
    <cfRule type="expression" dxfId="205" priority="195">
      <formula>IF(#REF!&lt;&gt;#REF!,1,0)</formula>
    </cfRule>
  </conditionalFormatting>
  <conditionalFormatting sqref="L7:L8 P7:Q8">
    <cfRule type="expression" dxfId="204" priority="194">
      <formula>IF(#REF!&lt;&gt;#REF!,1,0)</formula>
    </cfRule>
  </conditionalFormatting>
  <conditionalFormatting sqref="P7:Q8">
    <cfRule type="expression" dxfId="203" priority="193">
      <formula>IF(#REF!&lt;&gt;#REF!,1,0)</formula>
    </cfRule>
  </conditionalFormatting>
  <conditionalFormatting sqref="R7:R8">
    <cfRule type="expression" dxfId="202" priority="192">
      <formula>IF(#REF!&lt;&gt;#REF!,1,0)</formula>
    </cfRule>
  </conditionalFormatting>
  <conditionalFormatting sqref="R7:R8">
    <cfRule type="expression" dxfId="201" priority="191">
      <formula>IF(#REF!&lt;&gt;#REF!,1,0)</formula>
    </cfRule>
  </conditionalFormatting>
  <conditionalFormatting sqref="E14:K16 Q14:Q16">
    <cfRule type="expression" dxfId="200" priority="189">
      <formula>IF(#REF!&lt;&gt;#REF!,1,0)</formula>
    </cfRule>
  </conditionalFormatting>
  <conditionalFormatting sqref="E14:L16 P14:Q16">
    <cfRule type="expression" dxfId="199" priority="188">
      <formula>IF(#REF!&lt;&gt;#REF!,1,0)</formula>
    </cfRule>
  </conditionalFormatting>
  <conditionalFormatting sqref="F14:K16 Q14:Q16">
    <cfRule type="expression" dxfId="198" priority="187">
      <formula>IF(#REF!&lt;&gt;#REF!,1,0)</formula>
    </cfRule>
  </conditionalFormatting>
  <conditionalFormatting sqref="L14:L16 S19:X19 P14:Q16">
    <cfRule type="expression" dxfId="197" priority="186">
      <formula>IF(#REF!&lt;&gt;#REF!,1,0)</formula>
    </cfRule>
  </conditionalFormatting>
  <conditionalFormatting sqref="P14:Q16">
    <cfRule type="expression" dxfId="196" priority="185">
      <formula>IF(#REF!&lt;&gt;#REF!,1,0)</formula>
    </cfRule>
  </conditionalFormatting>
  <conditionalFormatting sqref="R14:R16">
    <cfRule type="expression" dxfId="195" priority="184">
      <formula>IF(#REF!&lt;&gt;#REF!,1,0)</formula>
    </cfRule>
  </conditionalFormatting>
  <conditionalFormatting sqref="R14:R16">
    <cfRule type="expression" dxfId="194" priority="183">
      <formula>IF(#REF!&lt;&gt;#REF!,1,0)</formula>
    </cfRule>
  </conditionalFormatting>
  <conditionalFormatting sqref="R14:R16">
    <cfRule type="expression" dxfId="193" priority="182">
      <formula>IF(#REF!&lt;&gt;#REF!,1,0)</formula>
    </cfRule>
  </conditionalFormatting>
  <conditionalFormatting sqref="O4:Q4">
    <cfRule type="expression" dxfId="192" priority="181">
      <formula>IF(#REF!&lt;&gt;#REF!,1,0)</formula>
    </cfRule>
  </conditionalFormatting>
  <conditionalFormatting sqref="O4:Q4">
    <cfRule type="expression" dxfId="191" priority="180">
      <formula>IF(#REF!&lt;&gt;#REF!,1,0)</formula>
    </cfRule>
  </conditionalFormatting>
  <conditionalFormatting sqref="R18">
    <cfRule type="expression" dxfId="190" priority="173">
      <formula>IF(#REF!&lt;&gt;#REF!,1,0)</formula>
    </cfRule>
  </conditionalFormatting>
  <conditionalFormatting sqref="X19 L19:Q19 D19:J19">
    <cfRule type="expression" dxfId="189" priority="172">
      <formula>IF(#REF!&lt;&gt;#REF!,1,0)</formula>
    </cfRule>
  </conditionalFormatting>
  <conditionalFormatting sqref="X19:X20">
    <cfRule type="expression" dxfId="188" priority="171">
      <formula>IF(#REF!&lt;&gt;#REF!,1,0)</formula>
    </cfRule>
  </conditionalFormatting>
  <conditionalFormatting sqref="R6:R18">
    <cfRule type="expression" dxfId="187" priority="179">
      <formula>IF(#REF!&lt;&gt;#REF!,1,0)</formula>
    </cfRule>
  </conditionalFormatting>
  <conditionalFormatting sqref="R6:R18">
    <cfRule type="expression" dxfId="186" priority="178">
      <formula>IF(#REF!&lt;&gt;#REF!,1,0)</formula>
    </cfRule>
  </conditionalFormatting>
  <conditionalFormatting sqref="R6:R18">
    <cfRule type="expression" dxfId="185" priority="177">
      <formula>IF(#REF!&lt;&gt;#REF!,1,0)</formula>
    </cfRule>
  </conditionalFormatting>
  <conditionalFormatting sqref="R19:R20">
    <cfRule type="expression" dxfId="184" priority="164">
      <formula>IF(#REF!&lt;&gt;#REF!,1,0)</formula>
    </cfRule>
  </conditionalFormatting>
  <conditionalFormatting sqref="H18">
    <cfRule type="expression" dxfId="183" priority="154">
      <formula>IF(#REF!&lt;&gt;#REF!,1,0)</formula>
    </cfRule>
  </conditionalFormatting>
  <conditionalFormatting sqref="H18">
    <cfRule type="expression" dxfId="182" priority="153">
      <formula>IF(#REF!&lt;&gt;#REF!,1,0)</formula>
    </cfRule>
  </conditionalFormatting>
  <conditionalFormatting sqref="K19:K20">
    <cfRule type="expression" dxfId="181" priority="161">
      <formula>IF(#REF!&lt;&gt;#REF!,1,0)</formula>
    </cfRule>
  </conditionalFormatting>
  <conditionalFormatting sqref="K19:K20">
    <cfRule type="expression" dxfId="180" priority="163">
      <formula>IF(#REF!&lt;&gt;#REF!,1,0)</formula>
    </cfRule>
  </conditionalFormatting>
  <conditionalFormatting sqref="K19:K20">
    <cfRule type="expression" dxfId="179" priority="162">
      <formula>IF(#REF!&lt;&gt;#REF!,1,0)</formula>
    </cfRule>
  </conditionalFormatting>
  <conditionalFormatting sqref="E18:G18 I18:L18 P18:Q18">
    <cfRule type="expression" dxfId="178" priority="176">
      <formula>IF(#REF!&lt;&gt;#REF!,1,0)</formula>
    </cfRule>
  </conditionalFormatting>
  <conditionalFormatting sqref="R18">
    <cfRule type="expression" dxfId="177" priority="175">
      <formula>IF(#REF!&lt;&gt;#REF!,1,0)</formula>
    </cfRule>
  </conditionalFormatting>
  <conditionalFormatting sqref="R18">
    <cfRule type="expression" dxfId="176" priority="174">
      <formula>IF(#REF!&lt;&gt;#REF!,1,0)</formula>
    </cfRule>
  </conditionalFormatting>
  <conditionalFormatting sqref="X19">
    <cfRule type="expression" dxfId="175" priority="170">
      <formula>IF(#REF!&lt;&gt;#REF!,1,0)</formula>
    </cfRule>
  </conditionalFormatting>
  <conditionalFormatting sqref="L19:Q19">
    <cfRule type="expression" dxfId="174" priority="168">
      <formula>IF(#REF!&lt;&gt;#REF!,1,0)</formula>
    </cfRule>
  </conditionalFormatting>
  <conditionalFormatting sqref="M19:Q19">
    <cfRule type="expression" dxfId="173" priority="167">
      <formula>IF(#REF!&lt;&gt;#REF!,1,0)</formula>
    </cfRule>
  </conditionalFormatting>
  <conditionalFormatting sqref="C19:D19">
    <cfRule type="expression" dxfId="172" priority="169">
      <formula>IF(#REF!&lt;&gt;#REF!,1,0)</formula>
    </cfRule>
  </conditionalFormatting>
  <conditionalFormatting sqref="R19">
    <cfRule type="expression" dxfId="171" priority="166">
      <formula>IF(#REF!&lt;&gt;#REF!,1,0)</formula>
    </cfRule>
  </conditionalFormatting>
  <conditionalFormatting sqref="R19">
    <cfRule type="expression" dxfId="170" priority="165">
      <formula>IF(#REF!&lt;&gt;#REF!,1,0)</formula>
    </cfRule>
  </conditionalFormatting>
  <conditionalFormatting sqref="H17">
    <cfRule type="expression" dxfId="169" priority="156">
      <formula>IF(#REF!&lt;&gt;#REF!,1,0)</formula>
    </cfRule>
  </conditionalFormatting>
  <conditionalFormatting sqref="H18">
    <cfRule type="expression" dxfId="168" priority="155">
      <formula>IF(#REF!&lt;&gt;#REF!,1,0)</formula>
    </cfRule>
  </conditionalFormatting>
  <conditionalFormatting sqref="S16">
    <cfRule type="expression" dxfId="167" priority="160">
      <formula>IF(#REF!&lt;&gt;#REF!,1,0)</formula>
    </cfRule>
  </conditionalFormatting>
  <conditionalFormatting sqref="S16">
    <cfRule type="expression" dxfId="166" priority="159">
      <formula>IF(#REF!&lt;&gt;#REF!,1,0)</formula>
    </cfRule>
  </conditionalFormatting>
  <conditionalFormatting sqref="T16:U16">
    <cfRule type="expression" dxfId="165" priority="158">
      <formula>IF(#REF!&lt;&gt;#REF!,1,0)</formula>
    </cfRule>
  </conditionalFormatting>
  <conditionalFormatting sqref="T16:U16">
    <cfRule type="expression" dxfId="164" priority="157">
      <formula>IF(#REF!&lt;&gt;#REF!,1,0)</formula>
    </cfRule>
  </conditionalFormatting>
  <conditionalFormatting sqref="B16">
    <cfRule type="expression" dxfId="163" priority="239">
      <formula>IF(#REF!&lt;&gt;#REF!,1,0)</formula>
    </cfRule>
  </conditionalFormatting>
  <conditionalFormatting sqref="C16">
    <cfRule type="expression" dxfId="162" priority="240">
      <formula>IF(#REF!&lt;&gt;#REF!,1,0)</formula>
    </cfRule>
  </conditionalFormatting>
  <conditionalFormatting sqref="C17">
    <cfRule type="expression" dxfId="161" priority="241">
      <formula>IF(#REF!&lt;&gt;#REF!,1,0)</formula>
    </cfRule>
  </conditionalFormatting>
  <conditionalFormatting sqref="T20:U20">
    <cfRule type="expression" dxfId="160" priority="152">
      <formula>IF(#REF!&lt;&gt;#REF!,1,0)</formula>
    </cfRule>
  </conditionalFormatting>
  <conditionalFormatting sqref="T20:U20">
    <cfRule type="expression" dxfId="159" priority="151">
      <formula>IF(#REF!&lt;&gt;#REF!,1,0)</formula>
    </cfRule>
  </conditionalFormatting>
  <conditionalFormatting sqref="T20:U20">
    <cfRule type="expression" dxfId="158" priority="150">
      <formula>IF(#REF!&lt;&gt;#REF!,1,0)</formula>
    </cfRule>
  </conditionalFormatting>
  <conditionalFormatting sqref="X20">
    <cfRule type="expression" dxfId="157" priority="149">
      <formula>IF(#REF!&lt;&gt;#REF!,1,0)</formula>
    </cfRule>
  </conditionalFormatting>
  <conditionalFormatting sqref="X20">
    <cfRule type="expression" dxfId="156" priority="148">
      <formula>IF(#REF!&lt;&gt;#REF!,1,0)</formula>
    </cfRule>
  </conditionalFormatting>
  <conditionalFormatting sqref="X20">
    <cfRule type="expression" dxfId="155" priority="147">
      <formula>IF(#REF!&lt;&gt;#REF!,1,0)</formula>
    </cfRule>
  </conditionalFormatting>
  <conditionalFormatting sqref="L20">
    <cfRule type="expression" dxfId="154" priority="146">
      <formula>IF(#REF!&lt;&gt;#REF!,1,0)</formula>
    </cfRule>
  </conditionalFormatting>
  <conditionalFormatting sqref="L20">
    <cfRule type="expression" dxfId="153" priority="145">
      <formula>IF(#REF!&lt;&gt;#REF!,1,0)</formula>
    </cfRule>
  </conditionalFormatting>
  <conditionalFormatting sqref="L20">
    <cfRule type="expression" dxfId="152" priority="144">
      <formula>IF(#REF!&lt;&gt;#REF!,1,0)</formula>
    </cfRule>
  </conditionalFormatting>
  <conditionalFormatting sqref="R20">
    <cfRule type="expression" dxfId="151" priority="143">
      <formula>IF(#REF!&lt;&gt;#REF!,1,0)</formula>
    </cfRule>
  </conditionalFormatting>
  <conditionalFormatting sqref="R20">
    <cfRule type="expression" dxfId="150" priority="142">
      <formula>IF(#REF!&lt;&gt;#REF!,1,0)</formula>
    </cfRule>
  </conditionalFormatting>
  <conditionalFormatting sqref="R20">
    <cfRule type="expression" dxfId="149" priority="141">
      <formula>IF(#REF!&lt;&gt;#REF!,1,0)</formula>
    </cfRule>
  </conditionalFormatting>
  <conditionalFormatting sqref="I20">
    <cfRule type="expression" dxfId="148" priority="140">
      <formula>IF(#REF!&lt;&gt;#REF!,1,0)</formula>
    </cfRule>
  </conditionalFormatting>
  <conditionalFormatting sqref="J20">
    <cfRule type="expression" dxfId="147" priority="139">
      <formula>IF(#REF!&lt;&gt;#REF!,1,0)</formula>
    </cfRule>
  </conditionalFormatting>
  <conditionalFormatting sqref="Q20">
    <cfRule type="expression" dxfId="146" priority="138">
      <formula>IF(#REF!&lt;&gt;#REF!,1,0)</formula>
    </cfRule>
  </conditionalFormatting>
  <conditionalFormatting sqref="N18 M6:M18">
    <cfRule type="expression" dxfId="145" priority="132">
      <formula>IF(#REF!&lt;&gt;#REF!,1,0)</formula>
    </cfRule>
  </conditionalFormatting>
  <conditionalFormatting sqref="M14:N17">
    <cfRule type="expression" dxfId="144" priority="131">
      <formula>IF(#REF!&lt;&gt;#REF!,1,0)</formula>
    </cfRule>
  </conditionalFormatting>
  <conditionalFormatting sqref="M6:N17 M18">
    <cfRule type="expression" dxfId="143" priority="130">
      <formula>IF(#REF!&lt;&gt;#REF!,1,0)</formula>
    </cfRule>
  </conditionalFormatting>
  <conditionalFormatting sqref="T5:U5">
    <cfRule type="expression" dxfId="142" priority="136">
      <formula>IF(#REF!&lt;&gt;#REF!,1,0)</formula>
    </cfRule>
  </conditionalFormatting>
  <conditionalFormatting sqref="T5:U5">
    <cfRule type="expression" dxfId="141" priority="137">
      <formula>IF(#REF!&lt;&gt;#REF!,1,0)</formula>
    </cfRule>
  </conditionalFormatting>
  <conditionalFormatting sqref="T5:U5">
    <cfRule type="expression" dxfId="140" priority="135">
      <formula>IF(#REF!&lt;&gt;#REF!,1,0)</formula>
    </cfRule>
  </conditionalFormatting>
  <conditionalFormatting sqref="T5:U5">
    <cfRule type="expression" dxfId="139" priority="134">
      <formula>IF(#REF!&lt;&gt;#REF!,1,0)</formula>
    </cfRule>
  </conditionalFormatting>
  <conditionalFormatting sqref="T5:U5">
    <cfRule type="expression" dxfId="138" priority="133">
      <formula>IF(#REF!&lt;&gt;#REF!,1,0)</formula>
    </cfRule>
  </conditionalFormatting>
  <conditionalFormatting sqref="C6 C14 B13:C13">
    <cfRule type="expression" dxfId="137" priority="245">
      <formula>IF(#REF!&lt;&gt;#REF!,1,0)</formula>
    </cfRule>
  </conditionalFormatting>
  <conditionalFormatting sqref="C6:C13 B13">
    <cfRule type="expression" dxfId="136" priority="246">
      <formula>IF(#REF!&lt;&gt;#REF!,1,0)</formula>
    </cfRule>
  </conditionalFormatting>
  <conditionalFormatting sqref="L6:L18">
    <cfRule type="expression" dxfId="135" priority="247">
      <formula>IF(#REF!&lt;&gt;#REF!,1,0)</formula>
    </cfRule>
  </conditionalFormatting>
  <conditionalFormatting sqref="C7:C12">
    <cfRule type="expression" dxfId="134" priority="248">
      <formula>IF(#REF!&lt;&gt;#REF!,1,0)</formula>
    </cfRule>
  </conditionalFormatting>
  <conditionalFormatting sqref="L12 E12">
    <cfRule type="expression" dxfId="133" priority="249">
      <formula>IF(#REF!&lt;&gt;#REF!,1,0)</formula>
    </cfRule>
  </conditionalFormatting>
  <conditionalFormatting sqref="B14">
    <cfRule type="expression" dxfId="132" priority="250">
      <formula>IF(#REF!&lt;&gt;#REF!,1,0)</formula>
    </cfRule>
  </conditionalFormatting>
  <conditionalFormatting sqref="B14:B15">
    <cfRule type="expression" dxfId="131" priority="251">
      <formula>IF(#REF!&lt;&gt;#REF!,1,0)</formula>
    </cfRule>
  </conditionalFormatting>
  <conditionalFormatting sqref="C14:C15">
    <cfRule type="expression" dxfId="130" priority="252">
      <formula>IF(#REF!&lt;&gt;#REF!,1,0)</formula>
    </cfRule>
  </conditionalFormatting>
  <conditionalFormatting sqref="B15:C16">
    <cfRule type="expression" dxfId="129" priority="253">
      <formula>IF(#REF!&lt;&gt;#REF!,1,0)</formula>
    </cfRule>
  </conditionalFormatting>
  <conditionalFormatting sqref="O6:O13">
    <cfRule type="expression" dxfId="128" priority="117">
      <formula>IF(#REF!&lt;&gt;#REF!,1,0)</formula>
    </cfRule>
  </conditionalFormatting>
  <conditionalFormatting sqref="O16">
    <cfRule type="expression" dxfId="127" priority="116">
      <formula>IF(#REF!&lt;&gt;#REF!,1,0)</formula>
    </cfRule>
  </conditionalFormatting>
  <conditionalFormatting sqref="O16">
    <cfRule type="expression" dxfId="126" priority="115">
      <formula>IF(#REF!&lt;&gt;#REF!,1,0)</formula>
    </cfRule>
  </conditionalFormatting>
  <conditionalFormatting sqref="V4:X4 E4:J4 L4:S4">
    <cfRule type="expression" dxfId="125" priority="254">
      <formula>IF(#REF!&lt;&gt;#REF!,1,0)</formula>
    </cfRule>
  </conditionalFormatting>
  <conditionalFormatting sqref="M14:N17">
    <cfRule type="expression" dxfId="124" priority="129">
      <formula>IF(#REF!&lt;&gt;#REF!,1,0)</formula>
    </cfRule>
  </conditionalFormatting>
  <conditionalFormatting sqref="M6:N13 M14:M18">
    <cfRule type="expression" dxfId="123" priority="128">
      <formula>IF(#REF!&lt;&gt;#REF!,1,0)</formula>
    </cfRule>
  </conditionalFormatting>
  <conditionalFormatting sqref="M6:N13 M14:M18">
    <cfRule type="expression" dxfId="122" priority="127">
      <formula>IF(#REF!&lt;&gt;#REF!,1,0)</formula>
    </cfRule>
  </conditionalFormatting>
  <conditionalFormatting sqref="M16">
    <cfRule type="expression" dxfId="121" priority="126">
      <formula>IF(#REF!&lt;&gt;#REF!,1,0)</formula>
    </cfRule>
  </conditionalFormatting>
  <conditionalFormatting sqref="M16">
    <cfRule type="expression" dxfId="120" priority="125">
      <formula>IF(#REF!&lt;&gt;#REF!,1,0)</formula>
    </cfRule>
  </conditionalFormatting>
  <conditionalFormatting sqref="N16">
    <cfRule type="expression" dxfId="119" priority="124">
      <formula>IF(#REF!&lt;&gt;#REF!,1,0)</formula>
    </cfRule>
  </conditionalFormatting>
  <conditionalFormatting sqref="N16">
    <cfRule type="expression" dxfId="118" priority="123">
      <formula>IF(#REF!&lt;&gt;#REF!,1,0)</formula>
    </cfRule>
  </conditionalFormatting>
  <conditionalFormatting sqref="O18">
    <cfRule type="expression" dxfId="117" priority="122">
      <formula>IF(#REF!&lt;&gt;#REF!,1,0)</formula>
    </cfRule>
  </conditionalFormatting>
  <conditionalFormatting sqref="O14:O17">
    <cfRule type="expression" dxfId="116" priority="121">
      <formula>IF(#REF!&lt;&gt;#REF!,1,0)</formula>
    </cfRule>
  </conditionalFormatting>
  <conditionalFormatting sqref="O6:O17">
    <cfRule type="expression" dxfId="115" priority="120">
      <formula>IF(#REF!&lt;&gt;#REF!,1,0)</formula>
    </cfRule>
  </conditionalFormatting>
  <conditionalFormatting sqref="O14:O17">
    <cfRule type="expression" dxfId="114" priority="119">
      <formula>IF(#REF!&lt;&gt;#REF!,1,0)</formula>
    </cfRule>
  </conditionalFormatting>
  <conditionalFormatting sqref="O6:O13">
    <cfRule type="expression" dxfId="113" priority="118">
      <formula>IF(#REF!&lt;&gt;#REF!,1,0)</formula>
    </cfRule>
  </conditionalFormatting>
  <conditionalFormatting sqref="E24:J24 Q24:Q25 V24:X25">
    <cfRule type="expression" dxfId="112" priority="112">
      <formula>IF(#REF!&lt;&gt;#REF!,1,0)</formula>
    </cfRule>
  </conditionalFormatting>
  <conditionalFormatting sqref="V24:X25">
    <cfRule type="expression" dxfId="111" priority="111">
      <formula>IF(#REF!&lt;&gt;#REF!,1,0)</formula>
    </cfRule>
  </conditionalFormatting>
  <conditionalFormatting sqref="E24 L24 P24:X25">
    <cfRule type="expression" dxfId="110" priority="113">
      <formula>IF(#REF!&lt;&gt;#REF!,1,0)</formula>
    </cfRule>
  </conditionalFormatting>
  <conditionalFormatting sqref="S24:S25 V24:X25">
    <cfRule type="expression" dxfId="109" priority="110">
      <formula>IF(#REF!&lt;&gt;#REF!,1,0)</formula>
    </cfRule>
  </conditionalFormatting>
  <conditionalFormatting sqref="V24:X25">
    <cfRule type="expression" dxfId="108" priority="109">
      <formula>IF(#REF!&lt;&gt;#REF!,1,0)</formula>
    </cfRule>
  </conditionalFormatting>
  <conditionalFormatting sqref="S24:S25 V24:V25">
    <cfRule type="expression" dxfId="107" priority="108">
      <formula>IF(#REF!&lt;&gt;#REF!,1,0)</formula>
    </cfRule>
  </conditionalFormatting>
  <conditionalFormatting sqref="L24 P24:P25">
    <cfRule type="expression" dxfId="106" priority="107">
      <formula>IF(#REF!&lt;&gt;#REF!,1,0)</formula>
    </cfRule>
  </conditionalFormatting>
  <conditionalFormatting sqref="S24:S25 V24:V25">
    <cfRule type="expression" dxfId="105" priority="106">
      <formula>IF(#REF!&lt;&gt;#REF!,1,0)</formula>
    </cfRule>
  </conditionalFormatting>
  <conditionalFormatting sqref="L24 P24:P25">
    <cfRule type="expression" dxfId="104" priority="105">
      <formula>IF(#REF!&lt;&gt;#REF!,1,0)</formula>
    </cfRule>
  </conditionalFormatting>
  <conditionalFormatting sqref="P24:P25">
    <cfRule type="expression" dxfId="103" priority="104">
      <formula>IF(#REF!&lt;&gt;#REF!,1,0)</formula>
    </cfRule>
  </conditionalFormatting>
  <conditionalFormatting sqref="R24:R25">
    <cfRule type="expression" dxfId="102" priority="97">
      <formula>IF(#REF!&lt;&gt;#REF!,1,0)</formula>
    </cfRule>
  </conditionalFormatting>
  <conditionalFormatting sqref="R24:R25">
    <cfRule type="expression" dxfId="101" priority="103">
      <formula>IF(#REF!&lt;&gt;#REF!,1,0)</formula>
    </cfRule>
  </conditionalFormatting>
  <conditionalFormatting sqref="R24:R25">
    <cfRule type="expression" dxfId="100" priority="102">
      <formula>IF(#REF!&lt;&gt;#REF!,1,0)</formula>
    </cfRule>
  </conditionalFormatting>
  <conditionalFormatting sqref="R24:R25">
    <cfRule type="expression" dxfId="99" priority="101">
      <formula>IF(#REF!&lt;&gt;#REF!,1,0)</formula>
    </cfRule>
  </conditionalFormatting>
  <conditionalFormatting sqref="H24">
    <cfRule type="expression" dxfId="98" priority="95">
      <formula>IF(#REF!&lt;&gt;#REF!,1,0)</formula>
    </cfRule>
  </conditionalFormatting>
  <conditionalFormatting sqref="H24">
    <cfRule type="expression" dxfId="97" priority="94">
      <formula>IF(#REF!&lt;&gt;#REF!,1,0)</formula>
    </cfRule>
  </conditionalFormatting>
  <conditionalFormatting sqref="E24:G24 I24:L24 P24:Q25">
    <cfRule type="expression" dxfId="96" priority="100">
      <formula>IF(#REF!&lt;&gt;#REF!,1,0)</formula>
    </cfRule>
  </conditionalFormatting>
  <conditionalFormatting sqref="R24:R25">
    <cfRule type="expression" dxfId="95" priority="99">
      <formula>IF(#REF!&lt;&gt;#REF!,1,0)</formula>
    </cfRule>
  </conditionalFormatting>
  <conditionalFormatting sqref="R24:R25">
    <cfRule type="expression" dxfId="94" priority="98">
      <formula>IF(#REF!&lt;&gt;#REF!,1,0)</formula>
    </cfRule>
  </conditionalFormatting>
  <conditionalFormatting sqref="H24">
    <cfRule type="expression" dxfId="93" priority="96">
      <formula>IF(#REF!&lt;&gt;#REF!,1,0)</formula>
    </cfRule>
  </conditionalFormatting>
  <conditionalFormatting sqref="M24:N24">
    <cfRule type="expression" dxfId="92" priority="93">
      <formula>IF(#REF!&lt;&gt;#REF!,1,0)</formula>
    </cfRule>
  </conditionalFormatting>
  <conditionalFormatting sqref="M24">
    <cfRule type="expression" dxfId="91" priority="92">
      <formula>IF(#REF!&lt;&gt;#REF!,1,0)</formula>
    </cfRule>
  </conditionalFormatting>
  <conditionalFormatting sqref="X24:X25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">
    <cfRule type="expression" dxfId="90" priority="91">
      <formula>IF(#REF!&lt;&gt;#REF!,1,0)</formula>
    </cfRule>
  </conditionalFormatting>
  <conditionalFormatting sqref="M24">
    <cfRule type="expression" dxfId="89" priority="90">
      <formula>IF(#REF!&lt;&gt;#REF!,1,0)</formula>
    </cfRule>
  </conditionalFormatting>
  <conditionalFormatting sqref="O24">
    <cfRule type="expression" dxfId="88" priority="89">
      <formula>IF(#REF!&lt;&gt;#REF!,1,0)</formula>
    </cfRule>
  </conditionalFormatting>
  <conditionalFormatting sqref="I25:J25">
    <cfRule type="expression" dxfId="87" priority="73">
      <formula>IF(#REF!&lt;&gt;#REF!,1,0)</formula>
    </cfRule>
  </conditionalFormatting>
  <conditionalFormatting sqref="E25:H25">
    <cfRule type="expression" dxfId="86" priority="87">
      <formula>IF(#REF!&lt;&gt;#REF!,1,0)</formula>
    </cfRule>
  </conditionalFormatting>
  <conditionalFormatting sqref="E25 L25">
    <cfRule type="expression" dxfId="85" priority="88">
      <formula>IF(#REF!&lt;&gt;#REF!,1,0)</formula>
    </cfRule>
  </conditionalFormatting>
  <conditionalFormatting sqref="I25:J25">
    <cfRule type="expression" dxfId="84" priority="74">
      <formula>IF(#REF!&lt;&gt;#REF!,1,0)</formula>
    </cfRule>
  </conditionalFormatting>
  <conditionalFormatting sqref="L25">
    <cfRule type="expression" dxfId="83" priority="86">
      <formula>IF(#REF!&lt;&gt;#REF!,1,0)</formula>
    </cfRule>
  </conditionalFormatting>
  <conditionalFormatting sqref="D6:D11 D13:D17">
    <cfRule type="expression" dxfId="82" priority="71">
      <formula>IF(#REF!&lt;&gt;#REF!,1,0)</formula>
    </cfRule>
  </conditionalFormatting>
  <conditionalFormatting sqref="L25">
    <cfRule type="expression" dxfId="81" priority="85">
      <formula>IF(#REF!&lt;&gt;#REF!,1,0)</formula>
    </cfRule>
  </conditionalFormatting>
  <conditionalFormatting sqref="D6">
    <cfRule type="expression" dxfId="80" priority="62">
      <formula>IF(#REF!&lt;&gt;#REF!,1,0)</formula>
    </cfRule>
  </conditionalFormatting>
  <conditionalFormatting sqref="D6">
    <cfRule type="expression" dxfId="79" priority="67">
      <formula>IF(#REF!&lt;&gt;#REF!,1,0)</formula>
    </cfRule>
  </conditionalFormatting>
  <conditionalFormatting sqref="D6">
    <cfRule type="expression" dxfId="78" priority="66">
      <formula>IF(#REF!&lt;&gt;#REF!,1,0)</formula>
    </cfRule>
  </conditionalFormatting>
  <conditionalFormatting sqref="H25">
    <cfRule type="expression" dxfId="77" priority="82">
      <formula>IF(#REF!&lt;&gt;#REF!,1,0)</formula>
    </cfRule>
  </conditionalFormatting>
  <conditionalFormatting sqref="H25">
    <cfRule type="expression" dxfId="76" priority="81">
      <formula>IF(#REF!&lt;&gt;#REF!,1,0)</formula>
    </cfRule>
  </conditionalFormatting>
  <conditionalFormatting sqref="E25:G25 K25:L25">
    <cfRule type="expression" dxfId="75" priority="84">
      <formula>IF(#REF!&lt;&gt;#REF!,1,0)</formula>
    </cfRule>
  </conditionalFormatting>
  <conditionalFormatting sqref="D14:D16">
    <cfRule type="expression" dxfId="74" priority="64">
      <formula>IF(#REF!&lt;&gt;#REF!,1,0)</formula>
    </cfRule>
  </conditionalFormatting>
  <conditionalFormatting sqref="D18">
    <cfRule type="expression" dxfId="73" priority="63">
      <formula>IF(#REF!&lt;&gt;#REF!,1,0)</formula>
    </cfRule>
  </conditionalFormatting>
  <conditionalFormatting sqref="H25">
    <cfRule type="expression" dxfId="72" priority="83">
      <formula>IF(#REF!&lt;&gt;#REF!,1,0)</formula>
    </cfRule>
  </conditionalFormatting>
  <conditionalFormatting sqref="M25:N25">
    <cfRule type="expression" dxfId="71" priority="80">
      <formula>IF(#REF!&lt;&gt;#REF!,1,0)</formula>
    </cfRule>
  </conditionalFormatting>
  <conditionalFormatting sqref="M25">
    <cfRule type="expression" dxfId="70" priority="79">
      <formula>IF(#REF!&lt;&gt;#REF!,1,0)</formula>
    </cfRule>
  </conditionalFormatting>
  <conditionalFormatting sqref="M25">
    <cfRule type="expression" dxfId="69" priority="78">
      <formula>IF(#REF!&lt;&gt;#REF!,1,0)</formula>
    </cfRule>
  </conditionalFormatting>
  <conditionalFormatting sqref="M25">
    <cfRule type="expression" dxfId="68" priority="77">
      <formula>IF(#REF!&lt;&gt;#REF!,1,0)</formula>
    </cfRule>
  </conditionalFormatting>
  <conditionalFormatting sqref="O25">
    <cfRule type="expression" dxfId="67" priority="76">
      <formula>IF(#REF!&lt;&gt;#REF!,1,0)</formula>
    </cfRule>
  </conditionalFormatting>
  <conditionalFormatting sqref="C24:D25">
    <cfRule type="expression" dxfId="66" priority="75">
      <formula>IF(#REF!&lt;&gt;#REF!,1,0)</formula>
    </cfRule>
  </conditionalFormatting>
  <conditionalFormatting sqref="D4">
    <cfRule type="expression" dxfId="65" priority="56">
      <formula>IF(#REF!&lt;&gt;#REF!,1,0)</formula>
    </cfRule>
  </conditionalFormatting>
  <conditionalFormatting sqref="D6:D18">
    <cfRule type="expression" dxfId="64" priority="69">
      <formula>IF(#REF!&lt;&gt;#REF!,1,0)</formula>
    </cfRule>
  </conditionalFormatting>
  <conditionalFormatting sqref="D6:D18">
    <cfRule type="expression" dxfId="63" priority="70">
      <formula>IF(#REF!&lt;&gt;#REF!,1,0)</formula>
    </cfRule>
  </conditionalFormatting>
  <conditionalFormatting sqref="D17 D7:D13">
    <cfRule type="expression" dxfId="62" priority="68">
      <formula>IF(#REF!&lt;&gt;#REF!,1,0)</formula>
    </cfRule>
  </conditionalFormatting>
  <conditionalFormatting sqref="D14:D16">
    <cfRule type="expression" dxfId="61" priority="65">
      <formula>IF(#REF!&lt;&gt;#REF!,1,0)</formula>
    </cfRule>
  </conditionalFormatting>
  <conditionalFormatting sqref="D6">
    <cfRule type="expression" dxfId="60" priority="61">
      <formula>IF(#REF!&lt;&gt;#REF!,1,0)</formula>
    </cfRule>
  </conditionalFormatting>
  <conditionalFormatting sqref="D12">
    <cfRule type="expression" dxfId="59" priority="72">
      <formula>IF(#REF!&lt;&gt;#REF!,1,0)</formula>
    </cfRule>
  </conditionalFormatting>
  <conditionalFormatting sqref="D4">
    <cfRule type="expression" dxfId="58" priority="58">
      <formula>IF(#REF!&lt;&gt;#REF!,1,0)</formula>
    </cfRule>
  </conditionalFormatting>
  <conditionalFormatting sqref="D4">
    <cfRule type="expression" dxfId="57" priority="59">
      <formula>IF(#REF!&lt;&gt;#REF!,1,0)</formula>
    </cfRule>
  </conditionalFormatting>
  <conditionalFormatting sqref="D4">
    <cfRule type="expression" dxfId="56" priority="57">
      <formula>IF(#REF!&lt;&gt;#REF!,1,0)</formula>
    </cfRule>
  </conditionalFormatting>
  <conditionalFormatting sqref="D4">
    <cfRule type="expression" dxfId="55" priority="60">
      <formula>IF(#REF!&lt;&gt;#REF!,1,0)</formula>
    </cfRule>
  </conditionalFormatting>
  <conditionalFormatting sqref="W27:X27 Q27 E27:J27">
    <cfRule type="expression" dxfId="54" priority="54">
      <formula>IF(#REF!&lt;&gt;#REF!,1,0)</formula>
    </cfRule>
  </conditionalFormatting>
  <conditionalFormatting sqref="W27:X27">
    <cfRule type="expression" dxfId="53" priority="53">
      <formula>IF(#REF!&lt;&gt;#REF!,1,0)</formula>
    </cfRule>
  </conditionalFormatting>
  <conditionalFormatting sqref="L27 C27:E27 P27:S27">
    <cfRule type="expression" dxfId="52" priority="55">
      <formula>IF(#REF!&lt;&gt;#REF!,1,0)</formula>
    </cfRule>
  </conditionalFormatting>
  <conditionalFormatting sqref="X27">
    <cfRule type="expression" dxfId="51" priority="52">
      <formula>IF(#REF!&lt;&gt;#REF!,1,0)</formula>
    </cfRule>
  </conditionalFormatting>
  <conditionalFormatting sqref="R27">
    <cfRule type="expression" dxfId="50" priority="51">
      <formula>IF(#REF!&lt;&gt;#REF!,1,0)</formula>
    </cfRule>
  </conditionalFormatting>
  <conditionalFormatting sqref="K27">
    <cfRule type="expression" dxfId="49" priority="48">
      <formula>IF(#REF!&lt;&gt;#REF!,1,0)</formula>
    </cfRule>
  </conditionalFormatting>
  <conditionalFormatting sqref="K27">
    <cfRule type="expression" dxfId="48" priority="50">
      <formula>IF(#REF!&lt;&gt;#REF!,1,0)</formula>
    </cfRule>
  </conditionalFormatting>
  <conditionalFormatting sqref="K27">
    <cfRule type="expression" dxfId="47" priority="49">
      <formula>IF(#REF!&lt;&gt;#REF!,1,0)</formula>
    </cfRule>
  </conditionalFormatting>
  <conditionalFormatting sqref="T27">
    <cfRule type="expression" dxfId="46" priority="47">
      <formula>IF(#REF!&lt;&gt;#REF!,1,0)</formula>
    </cfRule>
  </conditionalFormatting>
  <conditionalFormatting sqref="T27">
    <cfRule type="expression" dxfId="45" priority="46">
      <formula>IF(#REF!&lt;&gt;#REF!,1,0)</formula>
    </cfRule>
  </conditionalFormatting>
  <conditionalFormatting sqref="T27">
    <cfRule type="expression" dxfId="44" priority="45">
      <formula>IF(#REF!&lt;&gt;#REF!,1,0)</formula>
    </cfRule>
  </conditionalFormatting>
  <conditionalFormatting sqref="X27">
    <cfRule type="expression" dxfId="43" priority="44">
      <formula>IF(#REF!&lt;&gt;#REF!,1,0)</formula>
    </cfRule>
  </conditionalFormatting>
  <conditionalFormatting sqref="X27">
    <cfRule type="expression" dxfId="42" priority="43">
      <formula>IF(#REF!&lt;&gt;#REF!,1,0)</formula>
    </cfRule>
  </conditionalFormatting>
  <conditionalFormatting sqref="X27">
    <cfRule type="expression" dxfId="41" priority="42">
      <formula>IF(#REF!&lt;&gt;#REF!,1,0)</formula>
    </cfRule>
  </conditionalFormatting>
  <conditionalFormatting sqref="L27">
    <cfRule type="expression" dxfId="40" priority="41">
      <formula>IF(#REF!&lt;&gt;#REF!,1,0)</formula>
    </cfRule>
  </conditionalFormatting>
  <conditionalFormatting sqref="L27">
    <cfRule type="expression" dxfId="39" priority="40">
      <formula>IF(#REF!&lt;&gt;#REF!,1,0)</formula>
    </cfRule>
  </conditionalFormatting>
  <conditionalFormatting sqref="L27">
    <cfRule type="expression" dxfId="38" priority="39">
      <formula>IF(#REF!&lt;&gt;#REF!,1,0)</formula>
    </cfRule>
  </conditionalFormatting>
  <conditionalFormatting sqref="R27">
    <cfRule type="expression" dxfId="37" priority="38">
      <formula>IF(#REF!&lt;&gt;#REF!,1,0)</formula>
    </cfRule>
  </conditionalFormatting>
  <conditionalFormatting sqref="R27">
    <cfRule type="expression" dxfId="36" priority="37">
      <formula>IF(#REF!&lt;&gt;#REF!,1,0)</formula>
    </cfRule>
  </conditionalFormatting>
  <conditionalFormatting sqref="R27">
    <cfRule type="expression" dxfId="35" priority="36">
      <formula>IF(#REF!&lt;&gt;#REF!,1,0)</formula>
    </cfRule>
  </conditionalFormatting>
  <conditionalFormatting sqref="I27">
    <cfRule type="expression" dxfId="34" priority="35">
      <formula>IF(#REF!&lt;&gt;#REF!,1,0)</formula>
    </cfRule>
  </conditionalFormatting>
  <conditionalFormatting sqref="J27">
    <cfRule type="expression" dxfId="33" priority="34">
      <formula>IF(#REF!&lt;&gt;#REF!,1,0)</formula>
    </cfRule>
  </conditionalFormatting>
  <conditionalFormatting sqref="Q27">
    <cfRule type="expression" dxfId="32" priority="33">
      <formula>IF(#REF!&lt;&gt;#REF!,1,0)</formula>
    </cfRule>
  </conditionalFormatting>
  <conditionalFormatting sqref="V26:X26 Q26 E26:J26">
    <cfRule type="expression" dxfId="31" priority="31">
      <formula>IF(#REF!&lt;&gt;#REF!,1,0)</formula>
    </cfRule>
  </conditionalFormatting>
  <conditionalFormatting sqref="V26:X26">
    <cfRule type="expression" dxfId="30" priority="30">
      <formula>IF(#REF!&lt;&gt;#REF!,1,0)</formula>
    </cfRule>
  </conditionalFormatting>
  <conditionalFormatting sqref="L26:X26 C26:E26">
    <cfRule type="expression" dxfId="29" priority="32">
      <formula>IF(#REF!&lt;&gt;#REF!,1,0)</formula>
    </cfRule>
  </conditionalFormatting>
  <conditionalFormatting sqref="S26:X26">
    <cfRule type="expression" dxfId="28" priority="29">
      <formula>IF(#REF!&lt;&gt;#REF!,1,0)</formula>
    </cfRule>
  </conditionalFormatting>
  <conditionalFormatting sqref="X26 E26:J26 L26:Q26">
    <cfRule type="expression" dxfId="27" priority="28">
      <formula>IF(#REF!&lt;&gt;#REF!,1,0)</formula>
    </cfRule>
  </conditionalFormatting>
  <conditionalFormatting sqref="X26">
    <cfRule type="expression" dxfId="26" priority="27">
      <formula>IF(#REF!&lt;&gt;#REF!,1,0)</formula>
    </cfRule>
  </conditionalFormatting>
  <conditionalFormatting sqref="R26">
    <cfRule type="expression" dxfId="25" priority="20">
      <formula>IF(#REF!&lt;&gt;#REF!,1,0)</formula>
    </cfRule>
  </conditionalFormatting>
  <conditionalFormatting sqref="K26">
    <cfRule type="expression" dxfId="24" priority="17">
      <formula>IF(#REF!&lt;&gt;#REF!,1,0)</formula>
    </cfRule>
  </conditionalFormatting>
  <conditionalFormatting sqref="K26">
    <cfRule type="expression" dxfId="23" priority="19">
      <formula>IF(#REF!&lt;&gt;#REF!,1,0)</formula>
    </cfRule>
  </conditionalFormatting>
  <conditionalFormatting sqref="K26">
    <cfRule type="expression" dxfId="22" priority="18">
      <formula>IF(#REF!&lt;&gt;#REF!,1,0)</formula>
    </cfRule>
  </conditionalFormatting>
  <conditionalFormatting sqref="X26">
    <cfRule type="expression" dxfId="21" priority="26">
      <formula>IF(#REF!&lt;&gt;#REF!,1,0)</formula>
    </cfRule>
  </conditionalFormatting>
  <conditionalFormatting sqref="L26:Q26">
    <cfRule type="expression" dxfId="20" priority="24">
      <formula>IF(#REF!&lt;&gt;#REF!,1,0)</formula>
    </cfRule>
  </conditionalFormatting>
  <conditionalFormatting sqref="M26:Q26">
    <cfRule type="expression" dxfId="19" priority="23">
      <formula>IF(#REF!&lt;&gt;#REF!,1,0)</formula>
    </cfRule>
  </conditionalFormatting>
  <conditionalFormatting sqref="C26:D26">
    <cfRule type="expression" dxfId="18" priority="25">
      <formula>IF(#REF!&lt;&gt;#REF!,1,0)</formula>
    </cfRule>
  </conditionalFormatting>
  <conditionalFormatting sqref="R26">
    <cfRule type="expression" dxfId="17" priority="22">
      <formula>IF(#REF!&lt;&gt;#REF!,1,0)</formula>
    </cfRule>
  </conditionalFormatting>
  <conditionalFormatting sqref="R26">
    <cfRule type="expression" dxfId="16" priority="21">
      <formula>IF(#REF!&lt;&gt;#REF!,1,0)</formula>
    </cfRule>
  </conditionalFormatting>
  <conditionalFormatting sqref="T29">
    <cfRule type="expression" dxfId="15" priority="16">
      <formula>IF(#REF!&lt;&gt;#REF!,1,0)</formula>
    </cfRule>
  </conditionalFormatting>
  <conditionalFormatting sqref="T29">
    <cfRule type="expression" dxfId="14" priority="15">
      <formula>IF(#REF!&lt;&gt;#REF!,1,0)</formula>
    </cfRule>
  </conditionalFormatting>
  <conditionalFormatting sqref="T29">
    <cfRule type="expression" dxfId="13" priority="14">
      <formula>IF(#REF!&lt;&gt;#REF!,1,0)</formula>
    </cfRule>
  </conditionalFormatting>
  <conditionalFormatting sqref="L29">
    <cfRule type="expression" dxfId="12" priority="13">
      <formula>IF(#REF!&lt;&gt;#REF!,1,0)</formula>
    </cfRule>
  </conditionalFormatting>
  <conditionalFormatting sqref="L29">
    <cfRule type="expression" dxfId="11" priority="12">
      <formula>IF(#REF!&lt;&gt;#REF!,1,0)</formula>
    </cfRule>
  </conditionalFormatting>
  <conditionalFormatting sqref="L29">
    <cfRule type="expression" dxfId="10" priority="11">
      <formula>IF(#REF!&lt;&gt;#REF!,1,0)</formula>
    </cfRule>
  </conditionalFormatting>
  <conditionalFormatting sqref="M27">
    <cfRule type="expression" dxfId="9" priority="10">
      <formula>IF(#REF!&lt;&gt;#REF!,1,0)</formula>
    </cfRule>
  </conditionalFormatting>
  <conditionalFormatting sqref="U27">
    <cfRule type="expression" dxfId="8" priority="9">
      <formula>IF(#REF!&lt;&gt;#REF!,1,0)</formula>
    </cfRule>
  </conditionalFormatting>
  <conditionalFormatting sqref="U27">
    <cfRule type="expression" dxfId="7" priority="8">
      <formula>IF(#REF!&lt;&gt;#REF!,1,0)</formula>
    </cfRule>
  </conditionalFormatting>
  <conditionalFormatting sqref="U27">
    <cfRule type="expression" dxfId="6" priority="7">
      <formula>IF(#REF!&lt;&gt;#REF!,1,0)</formula>
    </cfRule>
  </conditionalFormatting>
  <conditionalFormatting sqref="U29">
    <cfRule type="expression" dxfId="5" priority="6">
      <formula>IF(#REF!&lt;&gt;#REF!,1,0)</formula>
    </cfRule>
  </conditionalFormatting>
  <conditionalFormatting sqref="U29">
    <cfRule type="expression" dxfId="4" priority="5">
      <formula>IF(#REF!&lt;&gt;#REF!,1,0)</formula>
    </cfRule>
  </conditionalFormatting>
  <conditionalFormatting sqref="U29">
    <cfRule type="expression" dxfId="3" priority="4">
      <formula>IF(#REF!&lt;&gt;#REF!,1,0)</formula>
    </cfRule>
  </conditionalFormatting>
  <conditionalFormatting sqref="M29">
    <cfRule type="expression" dxfId="2" priority="3">
      <formula>IF(#REF!&lt;&gt;#REF!,1,0)</formula>
    </cfRule>
  </conditionalFormatting>
  <conditionalFormatting sqref="M29">
    <cfRule type="expression" dxfId="1" priority="2">
      <formula>IF(#REF!&lt;&gt;#REF!,1,0)</formula>
    </cfRule>
  </conditionalFormatting>
  <conditionalFormatting sqref="M29">
    <cfRule type="expression" dxfId="0" priority="1">
      <formula>IF(#REF!&lt;&gt;#REF!,1,0)</formula>
    </cfRule>
  </conditionalFormatting>
  <conditionalFormatting sqref="X6:X18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هیدرومدول</vt:lpstr>
      <vt:lpstr>نتایج</vt:lpstr>
      <vt:lpstr>نتایج - بدون ضرایب مساحت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Pooya Shirazi</dc:creator>
  <cp:lastModifiedBy>POOYA</cp:lastModifiedBy>
  <cp:lastPrinted>2021-04-03T09:39:47Z</cp:lastPrinted>
  <dcterms:created xsi:type="dcterms:W3CDTF">2020-12-29T16:16:45Z</dcterms:created>
  <dcterms:modified xsi:type="dcterms:W3CDTF">2021-04-21T18:10:26Z</dcterms:modified>
</cp:coreProperties>
</file>