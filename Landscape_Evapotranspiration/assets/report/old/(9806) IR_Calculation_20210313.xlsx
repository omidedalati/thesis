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report\"/>
    </mc:Choice>
  </mc:AlternateContent>
  <xr:revisionPtr revIDLastSave="0" documentId="13_ncr:1_{B79D3908-F710-4084-8C1D-CEA259B8B25A}" xr6:coauthVersionLast="46" xr6:coauthVersionMax="46" xr10:uidLastSave="{00000000-0000-0000-0000-000000000000}"/>
  <bookViews>
    <workbookView xWindow="-28920" yWindow="-120" windowWidth="29040" windowHeight="15840" activeTab="3" xr2:uid="{219C7FA2-49D3-427B-87CF-D5B9256F5224}"/>
  </bookViews>
  <sheets>
    <sheet name="هیدرومدول انتخاب" sheetId="5" r:id="rId1"/>
    <sheet name="روش ها" sheetId="1" r:id="rId2"/>
    <sheet name="هیدرومدول" sheetId="3" r:id="rId3"/>
    <sheet name="نتایج" sheetId="4" r:id="rId4"/>
  </sheets>
  <externalReferences>
    <externalReference r:id="rId5"/>
    <externalReference r:id="rId6"/>
  </externalReferences>
  <definedNames>
    <definedName name="_Key1" localSheetId="3" hidden="1">'[1]ضغد ءب آظنé '!#REF!</definedName>
    <definedName name="_Key1" hidden="1">'[1]ضغد ءب آظنé '!#REF!</definedName>
    <definedName name="_Order1" hidden="1">255</definedName>
    <definedName name="_Sort" hidden="1">'[1]ضغد ءب آظنé '!#REF!</definedName>
    <definedName name="çسçر76">[2]çسçرءهآس!$C$2:$J$39</definedName>
    <definedName name="Spots">#REF!</definedName>
    <definedName name="بسوآهè">[2]çسçرءهآس!$CY$83:$DD$97</definedName>
    <definedName name="مشآسطçسçرهآèآوè">[2]çسçرءهآس!$T$6:$AA$23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9" i="4" l="1"/>
  <c r="O39" i="4"/>
  <c r="N39" i="4"/>
  <c r="M39" i="4"/>
  <c r="L39" i="4"/>
  <c r="G39" i="4"/>
  <c r="F39" i="4"/>
  <c r="E39" i="4"/>
  <c r="Q39" i="4"/>
  <c r="J39" i="4"/>
  <c r="I39" i="4"/>
  <c r="N26" i="3"/>
  <c r="M26" i="3" s="1"/>
  <c r="L26" i="3" s="1"/>
  <c r="I26" i="3"/>
  <c r="H26" i="3" s="1"/>
  <c r="F26" i="3"/>
  <c r="U38" i="4"/>
  <c r="Q38" i="4"/>
  <c r="O38" i="4"/>
  <c r="N38" i="4"/>
  <c r="M38" i="4"/>
  <c r="L38" i="4"/>
  <c r="J38" i="4"/>
  <c r="I38" i="4"/>
  <c r="G38" i="4"/>
  <c r="F38" i="4"/>
  <c r="E38" i="4"/>
  <c r="P39" i="4" l="1"/>
  <c r="K39" i="4"/>
  <c r="R39" i="4"/>
  <c r="P38" i="4"/>
  <c r="K38" i="4"/>
  <c r="R38" i="4"/>
  <c r="N6" i="3"/>
  <c r="N7" i="3"/>
  <c r="N8" i="3"/>
  <c r="N9" i="3"/>
  <c r="N10" i="3"/>
  <c r="M10" i="3" s="1"/>
  <c r="N11" i="3"/>
  <c r="N12" i="3"/>
  <c r="N13" i="3"/>
  <c r="M13" i="3" s="1"/>
  <c r="N14" i="3"/>
  <c r="M14" i="3" s="1"/>
  <c r="N15" i="3"/>
  <c r="N16" i="3"/>
  <c r="N17" i="3"/>
  <c r="M8" i="3"/>
  <c r="M12" i="3"/>
  <c r="M16" i="3"/>
  <c r="N5" i="3"/>
  <c r="G7" i="4"/>
  <c r="G8" i="4"/>
  <c r="G9" i="4"/>
  <c r="G10" i="4"/>
  <c r="G11" i="4"/>
  <c r="G12" i="4"/>
  <c r="G14" i="4"/>
  <c r="N14" i="4" s="1"/>
  <c r="G15" i="4"/>
  <c r="G17" i="4"/>
  <c r="G18" i="4"/>
  <c r="G19" i="4"/>
  <c r="G20" i="4"/>
  <c r="G21" i="4"/>
  <c r="G22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M18" i="4" s="1"/>
  <c r="F19" i="4"/>
  <c r="F20" i="4"/>
  <c r="F21" i="4"/>
  <c r="F22" i="4"/>
  <c r="F6" i="4"/>
  <c r="M6" i="3"/>
  <c r="M7" i="3"/>
  <c r="M9" i="3"/>
  <c r="M11" i="3"/>
  <c r="M15" i="3"/>
  <c r="M17" i="3"/>
  <c r="M5" i="3"/>
  <c r="I6" i="3"/>
  <c r="I7" i="3"/>
  <c r="I8" i="3"/>
  <c r="I9" i="3"/>
  <c r="I10" i="3"/>
  <c r="I11" i="3"/>
  <c r="I13" i="3"/>
  <c r="I14" i="3"/>
  <c r="I16" i="3"/>
  <c r="I17" i="3"/>
  <c r="I5" i="3"/>
  <c r="I15" i="3"/>
  <c r="I12" i="3"/>
  <c r="V39" i="4" l="1"/>
  <c r="S39" i="4"/>
  <c r="T39" i="4" s="1"/>
  <c r="W39" i="4" s="1"/>
  <c r="V38" i="4"/>
  <c r="S38" i="4"/>
  <c r="T38" i="4" s="1"/>
  <c r="W38" i="4" s="1"/>
  <c r="G13" i="4"/>
  <c r="G1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F13" i="3"/>
  <c r="E7" i="4" l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D23" i="4"/>
  <c r="E6" i="4"/>
  <c r="E23" i="4" l="1"/>
  <c r="O30" i="4"/>
  <c r="N30" i="4"/>
  <c r="M30" i="4"/>
  <c r="L30" i="4"/>
  <c r="H30" i="4"/>
  <c r="G30" i="4"/>
  <c r="F30" i="4"/>
  <c r="E30" i="4"/>
  <c r="J28" i="4" l="1"/>
  <c r="I28" i="4"/>
  <c r="I29" i="4" l="1"/>
  <c r="K28" i="4"/>
  <c r="I31" i="4"/>
  <c r="I30" i="4" s="1"/>
  <c r="J29" i="4"/>
  <c r="J31" i="4" s="1"/>
  <c r="P28" i="4"/>
  <c r="J30" i="4" l="1"/>
  <c r="P29" i="4"/>
  <c r="P30" i="4" s="1"/>
  <c r="K29" i="4"/>
  <c r="K30" i="4" s="1"/>
  <c r="U30" i="4" s="1"/>
  <c r="L31" i="4" s="1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N7" i="4"/>
  <c r="N8" i="4"/>
  <c r="N9" i="4"/>
  <c r="N10" i="4"/>
  <c r="N11" i="4"/>
  <c r="N12" i="4"/>
  <c r="N13" i="4"/>
  <c r="N15" i="4"/>
  <c r="N16" i="4"/>
  <c r="N17" i="4"/>
  <c r="N18" i="4"/>
  <c r="N19" i="4"/>
  <c r="N20" i="4"/>
  <c r="N21" i="4"/>
  <c r="N22" i="4"/>
  <c r="M7" i="4"/>
  <c r="M8" i="4"/>
  <c r="M9" i="4"/>
  <c r="M10" i="4"/>
  <c r="M11" i="4"/>
  <c r="M12" i="4"/>
  <c r="M13" i="4"/>
  <c r="M14" i="4"/>
  <c r="M15" i="4"/>
  <c r="M16" i="4"/>
  <c r="M17" i="4"/>
  <c r="M19" i="4"/>
  <c r="M20" i="4"/>
  <c r="M21" i="4"/>
  <c r="M22" i="4"/>
  <c r="K22" i="3"/>
  <c r="G22" i="3"/>
  <c r="E22" i="3"/>
  <c r="D22" i="3"/>
  <c r="C22" i="3"/>
  <c r="N22" i="3" s="1"/>
  <c r="U6" i="4"/>
  <c r="J22" i="3" l="1"/>
  <c r="R19" i="4"/>
  <c r="S19" i="4" s="1"/>
  <c r="T19" i="4" s="1"/>
  <c r="P20" i="4"/>
  <c r="P19" i="4"/>
  <c r="P22" i="4"/>
  <c r="P21" i="4"/>
  <c r="N6" i="4"/>
  <c r="M6" i="4"/>
  <c r="L6" i="4"/>
  <c r="G23" i="4"/>
  <c r="F23" i="4"/>
  <c r="K22" i="4"/>
  <c r="K21" i="4"/>
  <c r="Q20" i="4"/>
  <c r="R20" i="4" s="1"/>
  <c r="S20" i="4" s="1"/>
  <c r="T20" i="4" s="1"/>
  <c r="K20" i="4"/>
  <c r="K19" i="4"/>
  <c r="Q7" i="4"/>
  <c r="Q8" i="4" s="1"/>
  <c r="J7" i="4"/>
  <c r="I7" i="4"/>
  <c r="O6" i="4"/>
  <c r="V19" i="4" l="1"/>
  <c r="Q9" i="4"/>
  <c r="Q10" i="4" s="1"/>
  <c r="Q11" i="4" s="1"/>
  <c r="Q12" i="4" s="1"/>
  <c r="Q13" i="4" s="1"/>
  <c r="Q14" i="4" s="1"/>
  <c r="Q15" i="4" s="1"/>
  <c r="Q16" i="4" s="1"/>
  <c r="Q17" i="4" s="1"/>
  <c r="Q18" i="4" s="1"/>
  <c r="Q28" i="4"/>
  <c r="W19" i="4"/>
  <c r="R7" i="4"/>
  <c r="S7" i="4" s="1"/>
  <c r="T7" i="4" s="1"/>
  <c r="V20" i="4"/>
  <c r="P7" i="4"/>
  <c r="W20" i="4"/>
  <c r="K6" i="4"/>
  <c r="O23" i="4"/>
  <c r="N23" i="4"/>
  <c r="H23" i="4"/>
  <c r="P6" i="4"/>
  <c r="I8" i="4"/>
  <c r="R6" i="4"/>
  <c r="K7" i="4"/>
  <c r="Q21" i="4"/>
  <c r="R21" i="4" s="1"/>
  <c r="S21" i="4" s="1"/>
  <c r="T21" i="4" s="1"/>
  <c r="W21" i="4" s="1"/>
  <c r="L23" i="4"/>
  <c r="M23" i="4"/>
  <c r="J8" i="4"/>
  <c r="R28" i="4" l="1"/>
  <c r="Q29" i="4"/>
  <c r="R29" i="4" s="1"/>
  <c r="V29" i="4" s="1"/>
  <c r="V7" i="4"/>
  <c r="V21" i="4"/>
  <c r="W7" i="4"/>
  <c r="R8" i="4"/>
  <c r="P8" i="4"/>
  <c r="J9" i="4"/>
  <c r="Q22" i="4"/>
  <c r="R22" i="4" s="1"/>
  <c r="V6" i="4"/>
  <c r="S6" i="4"/>
  <c r="T6" i="4" s="1"/>
  <c r="K8" i="4"/>
  <c r="I9" i="4"/>
  <c r="Q31" i="4" l="1"/>
  <c r="Q30" i="4" s="1"/>
  <c r="V28" i="4"/>
  <c r="V30" i="4" s="1"/>
  <c r="R30" i="4"/>
  <c r="R31" i="4" s="1"/>
  <c r="S28" i="4"/>
  <c r="S29" i="4"/>
  <c r="T29" i="4" s="1"/>
  <c r="S22" i="4"/>
  <c r="T22" i="4" s="1"/>
  <c r="W22" i="4" s="1"/>
  <c r="V22" i="4"/>
  <c r="R9" i="4"/>
  <c r="P9" i="4"/>
  <c r="V8" i="4"/>
  <c r="S8" i="4"/>
  <c r="T8" i="4" s="1"/>
  <c r="W8" i="4" s="1"/>
  <c r="Q24" i="4"/>
  <c r="I10" i="4"/>
  <c r="K9" i="4"/>
  <c r="J10" i="4"/>
  <c r="W29" i="4" l="1"/>
  <c r="T28" i="4"/>
  <c r="W28" i="4" s="1"/>
  <c r="S30" i="4"/>
  <c r="R10" i="4"/>
  <c r="P10" i="4"/>
  <c r="V9" i="4"/>
  <c r="S9" i="4"/>
  <c r="T9" i="4" s="1"/>
  <c r="W9" i="4" s="1"/>
  <c r="K10" i="4"/>
  <c r="I11" i="4"/>
  <c r="J11" i="4"/>
  <c r="W6" i="4"/>
  <c r="W30" i="4" l="1"/>
  <c r="W31" i="4" s="1"/>
  <c r="T30" i="4"/>
  <c r="T31" i="4" s="1"/>
  <c r="P11" i="4"/>
  <c r="R11" i="4"/>
  <c r="S10" i="4"/>
  <c r="T10" i="4" s="1"/>
  <c r="W10" i="4" s="1"/>
  <c r="V10" i="4"/>
  <c r="J12" i="4"/>
  <c r="K11" i="4"/>
  <c r="I12" i="4"/>
  <c r="V11" i="4" l="1"/>
  <c r="S11" i="4"/>
  <c r="T11" i="4" s="1"/>
  <c r="W11" i="4" s="1"/>
  <c r="R12" i="4"/>
  <c r="P12" i="4"/>
  <c r="I13" i="4"/>
  <c r="K12" i="4"/>
  <c r="J13" i="4"/>
  <c r="V12" i="4" l="1"/>
  <c r="S12" i="4"/>
  <c r="T12" i="4" s="1"/>
  <c r="W12" i="4" s="1"/>
  <c r="R13" i="4"/>
  <c r="P13" i="4"/>
  <c r="J14" i="4"/>
  <c r="K13" i="4"/>
  <c r="I14" i="4"/>
  <c r="V13" i="4" l="1"/>
  <c r="S13" i="4"/>
  <c r="R14" i="4"/>
  <c r="P14" i="4"/>
  <c r="I15" i="4"/>
  <c r="K14" i="4"/>
  <c r="J15" i="4"/>
  <c r="T13" i="4" l="1"/>
  <c r="P15" i="4"/>
  <c r="R15" i="4"/>
  <c r="V14" i="4"/>
  <c r="S14" i="4"/>
  <c r="T14" i="4" s="1"/>
  <c r="W14" i="4" s="1"/>
  <c r="J16" i="4"/>
  <c r="I16" i="4"/>
  <c r="K15" i="4"/>
  <c r="W13" i="4" l="1"/>
  <c r="V15" i="4"/>
  <c r="S15" i="4"/>
  <c r="T15" i="4" s="1"/>
  <c r="W15" i="4" s="1"/>
  <c r="R16" i="4"/>
  <c r="P16" i="4"/>
  <c r="J17" i="4"/>
  <c r="I17" i="4"/>
  <c r="K16" i="4"/>
  <c r="V16" i="4" l="1"/>
  <c r="S16" i="4"/>
  <c r="T16" i="4" s="1"/>
  <c r="W16" i="4" s="1"/>
  <c r="R17" i="4"/>
  <c r="S17" i="4" s="1"/>
  <c r="P17" i="4"/>
  <c r="I18" i="4"/>
  <c r="K17" i="4"/>
  <c r="J18" i="4"/>
  <c r="V17" i="4" l="1"/>
  <c r="T17" i="4"/>
  <c r="W17" i="4" s="1"/>
  <c r="R18" i="4"/>
  <c r="P18" i="4"/>
  <c r="P23" i="4" s="1"/>
  <c r="Q23" i="4" s="1"/>
  <c r="K18" i="4"/>
  <c r="I24" i="4"/>
  <c r="J24" i="4"/>
  <c r="V18" i="4" l="1"/>
  <c r="S18" i="4"/>
  <c r="T18" i="4" s="1"/>
  <c r="W18" i="4" s="1"/>
  <c r="R23" i="4"/>
  <c r="R24" i="4" s="1"/>
  <c r="I23" i="4"/>
  <c r="J23" i="4" s="1"/>
  <c r="K23" i="4"/>
  <c r="U23" i="4" l="1"/>
  <c r="V23" i="4"/>
  <c r="S23" i="4"/>
  <c r="L24" i="4" l="1"/>
  <c r="W23" i="4"/>
  <c r="W24" i="4" s="1"/>
  <c r="T23" i="4"/>
  <c r="T24" i="4" s="1"/>
  <c r="F19" i="3" l="1"/>
  <c r="F20" i="3"/>
  <c r="F21" i="3"/>
  <c r="F18" i="3"/>
  <c r="H6" i="3"/>
  <c r="H7" i="3"/>
  <c r="H8" i="3"/>
  <c r="H9" i="3"/>
  <c r="H10" i="3"/>
  <c r="H11" i="3"/>
  <c r="H12" i="3"/>
  <c r="H13" i="3"/>
  <c r="H14" i="3"/>
  <c r="H15" i="3"/>
  <c r="H16" i="3"/>
  <c r="H17" i="3"/>
  <c r="L6" i="3"/>
  <c r="L7" i="3"/>
  <c r="L8" i="3"/>
  <c r="L9" i="3"/>
  <c r="L10" i="3"/>
  <c r="L11" i="3"/>
  <c r="L12" i="3"/>
  <c r="L13" i="3"/>
  <c r="L14" i="3"/>
  <c r="L15" i="3"/>
  <c r="L16" i="3"/>
  <c r="L17" i="3"/>
  <c r="F17" i="3"/>
  <c r="F16" i="3"/>
  <c r="F15" i="3"/>
  <c r="F14" i="3"/>
  <c r="F12" i="3"/>
  <c r="F11" i="3"/>
  <c r="F10" i="3"/>
  <c r="F9" i="3"/>
  <c r="F8" i="3"/>
  <c r="F7" i="3"/>
  <c r="F6" i="3"/>
  <c r="F5" i="3"/>
  <c r="L5" i="3" l="1"/>
  <c r="L22" i="3" s="1"/>
  <c r="M22" i="3"/>
  <c r="H5" i="3"/>
  <c r="H22" i="3" s="1"/>
  <c r="I22" i="3"/>
  <c r="F22" i="3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5" i="1"/>
  <c r="D19" i="1"/>
  <c r="E19" i="1"/>
  <c r="C19" i="1"/>
  <c r="F19" i="1" l="1"/>
</calcChain>
</file>

<file path=xl/sharedStrings.xml><?xml version="1.0" encoding="utf-8"?>
<sst xmlns="http://schemas.openxmlformats.org/spreadsheetml/2006/main" count="113" uniqueCount="67">
  <si>
    <t>منطقه شهرداری</t>
  </si>
  <si>
    <t>مساحت</t>
  </si>
  <si>
    <t>هکتار</t>
  </si>
  <si>
    <t>هزار متر مکعب</t>
  </si>
  <si>
    <t>نیاز آبیاری سالانه</t>
  </si>
  <si>
    <t>جمع کل</t>
  </si>
  <si>
    <t>نیاز آبیاری
 ماه اوج</t>
  </si>
  <si>
    <t>هیدرومودول
ماه اوج</t>
  </si>
  <si>
    <t>لیتر در ثانیه در هکتار</t>
  </si>
  <si>
    <t>روش دفتر محیط زیست</t>
  </si>
  <si>
    <t>لکه‏های موجود</t>
  </si>
  <si>
    <t>لکه‏های طرح تفصیلی</t>
  </si>
  <si>
    <t>لکه‏های طرح توسعه</t>
  </si>
  <si>
    <t>هیدرومدول
ماه اوج</t>
  </si>
  <si>
    <t>برآورد آب موردنیاز آبیاری و خدمات شهری در مناطق شهری</t>
  </si>
  <si>
    <t>منطقه</t>
  </si>
  <si>
    <r>
      <t xml:space="preserve">سطح کاربری فضای سبز؛ </t>
    </r>
    <r>
      <rPr>
        <b/>
        <sz val="12"/>
        <color theme="1"/>
        <rFont val="B Mitra"/>
        <charset val="178"/>
      </rPr>
      <t>هکتار</t>
    </r>
  </si>
  <si>
    <t>توسعهء تکمیلی فضای سبز</t>
  </si>
  <si>
    <t>سهم فضاهای سبز متفرقه</t>
  </si>
  <si>
    <r>
      <t xml:space="preserve">فضای سبز مبنای طراحی؛
</t>
    </r>
    <r>
      <rPr>
        <sz val="14"/>
        <color rgb="FF680000"/>
        <rFont val="B Mitra"/>
        <charset val="178"/>
      </rPr>
      <t>هکتار</t>
    </r>
  </si>
  <si>
    <t>نیاز آبیاری ماه اوج؛ لیتردرثانیه</t>
  </si>
  <si>
    <t>نیاز آبیاری؛ هزارمترمکعب</t>
  </si>
  <si>
    <t>ظرفیت واحد ماه اوج</t>
  </si>
  <si>
    <t>وضعِ موجود</t>
  </si>
  <si>
    <t>درحال توسعه‌</t>
  </si>
  <si>
    <t>طرح تفصیلی</t>
  </si>
  <si>
    <t>پهنه‌های ‌توسعه‌نیافته</t>
  </si>
  <si>
    <t>وضع موجود</t>
  </si>
  <si>
    <t>توسعه متفرقه و تکمیلی</t>
  </si>
  <si>
    <t>خدمات غیرآبیاری</t>
  </si>
  <si>
    <t>مبنای طراحی</t>
  </si>
  <si>
    <t>ماه اوج</t>
  </si>
  <si>
    <t>سالانه</t>
  </si>
  <si>
    <t>سهم ماه اوج نسبت به سال</t>
  </si>
  <si>
    <t>لیتردرثانیه
 درهکتار</t>
  </si>
  <si>
    <t>مترمکعب
 در هکتار</t>
  </si>
  <si>
    <t>-</t>
  </si>
  <si>
    <t>حجم نیاز سالانه</t>
  </si>
  <si>
    <t>میلیون مترمکعب</t>
  </si>
  <si>
    <t>سازمان پارک‏ها</t>
  </si>
  <si>
    <t>مساحت محاسبه نیاز آبیاری</t>
  </si>
  <si>
    <t>کمربند</t>
  </si>
  <si>
    <t>میادین</t>
  </si>
  <si>
    <t>لچکی ها</t>
  </si>
  <si>
    <t>آیلند های بزرگراه</t>
  </si>
  <si>
    <t>آیلند ها</t>
  </si>
  <si>
    <t>حاشیه های بزرگراه</t>
  </si>
  <si>
    <t>حاشیه معابر</t>
  </si>
  <si>
    <t>پارک های زیر 6 هکتار</t>
  </si>
  <si>
    <t>پارک های بین 6 تا 10 هکتار</t>
  </si>
  <si>
    <t>پارک های بالای 10 هکتار</t>
  </si>
  <si>
    <t>جنگل کاری داخل محدوده</t>
  </si>
  <si>
    <t>کمربند سبز حفاظتی</t>
  </si>
  <si>
    <t>هیدرومدول ماه اوج (لیتر در ثانیه در هکتار)</t>
  </si>
  <si>
    <t>درصد فضای سبز</t>
  </si>
  <si>
    <t>هیدرومدول ماه اوج منتخب</t>
  </si>
  <si>
    <t>بوستان غدیر</t>
  </si>
  <si>
    <t>جنگل اباصلت</t>
  </si>
  <si>
    <t>بوستان شهرک ابوذر (فاز 1و2و3)</t>
  </si>
  <si>
    <t>فاز4</t>
  </si>
  <si>
    <t>فاز3</t>
  </si>
  <si>
    <t>بوستان شهرک ابوذر (فاز 4و5و6)</t>
  </si>
  <si>
    <t>فاز2</t>
  </si>
  <si>
    <t>فاز1</t>
  </si>
  <si>
    <t>منطقه 7</t>
  </si>
  <si>
    <t>پارک‏های بزرگ منطقه 7</t>
  </si>
  <si>
    <t>جنگل کمپوست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</si>
</sst>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  <numFmt numFmtId="167" formatCode="0.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 Zar"/>
      <charset val="178"/>
    </font>
    <font>
      <b/>
      <sz val="10"/>
      <color theme="1"/>
      <name val="B Zar"/>
      <charset val="178"/>
    </font>
    <font>
      <sz val="12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FF0000"/>
      <name val="B Zar"/>
      <charset val="178"/>
    </font>
    <font>
      <sz val="11"/>
      <color theme="1"/>
      <name val="B Titr"/>
      <charset val="178"/>
    </font>
    <font>
      <sz val="16"/>
      <color rgb="FFC00000"/>
      <name val="B Mitra"/>
      <charset val="178"/>
    </font>
    <font>
      <sz val="11"/>
      <color rgb="FF000000"/>
      <name val="Calibri"/>
      <family val="2"/>
      <charset val="1"/>
    </font>
    <font>
      <b/>
      <sz val="12"/>
      <color theme="1"/>
      <name val="B Mitra"/>
      <charset val="178"/>
    </font>
    <font>
      <b/>
      <sz val="14"/>
      <color theme="1"/>
      <name val="B Mitra"/>
      <charset val="178"/>
    </font>
    <font>
      <b/>
      <sz val="11"/>
      <color rgb="FF002A7E"/>
      <name val="B Mitra"/>
      <charset val="178"/>
    </font>
    <font>
      <b/>
      <sz val="14"/>
      <color rgb="FF680000"/>
      <name val="B Mitra"/>
      <charset val="178"/>
    </font>
    <font>
      <sz val="14"/>
      <color rgb="FF680000"/>
      <name val="B Mitra"/>
      <charset val="178"/>
    </font>
    <font>
      <sz val="11"/>
      <color theme="1"/>
      <name val="Calibri"/>
      <family val="2"/>
      <charset val="178"/>
      <scheme val="minor"/>
    </font>
    <font>
      <sz val="12"/>
      <color theme="1"/>
      <name val="B Mitra"/>
      <charset val="178"/>
    </font>
    <font>
      <sz val="14"/>
      <color theme="1"/>
      <name val="B Mitra"/>
      <charset val="178"/>
    </font>
    <font>
      <b/>
      <sz val="16"/>
      <color rgb="FFC00000"/>
      <name val="B Nazanin"/>
      <charset val="178"/>
    </font>
    <font>
      <b/>
      <sz val="18"/>
      <color rgb="FF0000CC"/>
      <name val="B Titr"/>
      <charset val="178"/>
    </font>
    <font>
      <b/>
      <sz val="18"/>
      <color rgb="FF680000"/>
      <name val="B Roya"/>
      <charset val="178"/>
    </font>
    <font>
      <b/>
      <sz val="16"/>
      <color rgb="FF0000CC"/>
      <name val="B Nazanin"/>
      <charset val="178"/>
    </font>
    <font>
      <sz val="16"/>
      <color rgb="FFC00000"/>
      <name val="B Titr"/>
      <charset val="178"/>
    </font>
    <font>
      <sz val="18"/>
      <color rgb="FFC00000"/>
      <name val="B Nazanin"/>
      <charset val="178"/>
    </font>
    <font>
      <sz val="18"/>
      <color rgb="FF680000"/>
      <name val="B Mitra"/>
      <charset val="178"/>
    </font>
    <font>
      <sz val="11"/>
      <color indexed="8"/>
      <name val="Calibri"/>
      <family val="2"/>
      <charset val="178"/>
    </font>
    <font>
      <sz val="18"/>
      <color rgb="FF680000"/>
      <name val="B Roya"/>
      <charset val="178"/>
    </font>
    <font>
      <b/>
      <sz val="16"/>
      <color rgb="FF680000"/>
      <name val="B Titr"/>
      <charset val="178"/>
    </font>
    <font>
      <sz val="16"/>
      <color rgb="FFC00000"/>
      <name val="B Roya"/>
      <charset val="178"/>
    </font>
    <font>
      <b/>
      <sz val="14"/>
      <color rgb="FFC00000"/>
      <name val="B Titr"/>
      <charset val="178"/>
    </font>
    <font>
      <sz val="18"/>
      <color rgb="FF540000"/>
      <name val="B Nazanin"/>
      <charset val="178"/>
    </font>
    <font>
      <b/>
      <sz val="18"/>
      <color rgb="FF540000"/>
      <name val="B Roya"/>
      <charset val="178"/>
    </font>
    <font>
      <sz val="16"/>
      <color rgb="FF680000"/>
      <name val="B Titr"/>
      <charset val="178"/>
    </font>
    <font>
      <sz val="18"/>
      <color rgb="FFC00000"/>
      <name val="B Mitra"/>
      <charset val="178"/>
    </font>
    <font>
      <sz val="14"/>
      <color rgb="FF000099"/>
      <name val="B Titr"/>
      <charset val="178"/>
    </font>
    <font>
      <sz val="18"/>
      <color rgb="FF680000"/>
      <name val="B Titr"/>
      <charset val="178"/>
    </font>
    <font>
      <sz val="18"/>
      <color theme="1"/>
      <name val="B Nazanin"/>
      <charset val="178"/>
    </font>
    <font>
      <sz val="12"/>
      <color theme="1"/>
      <name val="B Koodak"/>
      <charset val="178"/>
    </font>
    <font>
      <b/>
      <sz val="8"/>
      <color theme="1"/>
      <name val="B Zar"/>
      <charset val="178"/>
    </font>
    <font>
      <sz val="16"/>
      <color theme="1"/>
      <name val="B Zar"/>
      <charset val="178"/>
    </font>
    <font>
      <sz val="18"/>
      <color theme="1"/>
      <name val="B Zar"/>
      <charset val="178"/>
    </font>
    <font>
      <b/>
      <sz val="14"/>
      <color theme="1"/>
      <name val="B Zar"/>
      <charset val="178"/>
    </font>
    <font>
      <b/>
      <sz val="12"/>
      <color rgb="FF0000CC"/>
      <name val="B Titr"/>
      <charset val="178"/>
    </font>
    <font>
      <sz val="10"/>
      <color theme="1"/>
      <name val="B Mitra"/>
      <charset val="178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DEE6EF"/>
      </patternFill>
    </fill>
    <fill>
      <patternFill patternType="solid">
        <fgColor rgb="FFB5EEA6"/>
        <bgColor rgb="FFDEE6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5EEA6"/>
        <bgColor indexed="64"/>
      </patternFill>
    </fill>
    <fill>
      <patternFill patternType="solid">
        <fgColor theme="6" tint="0.59999389629810485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auto="1"/>
      </left>
      <right style="thin">
        <color auto="1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dotted">
        <color indexed="64"/>
      </left>
      <right/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/>
      <right style="dotted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/>
      <right style="dotted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dotted">
        <color auto="1"/>
      </bottom>
      <diagonal/>
    </border>
    <border>
      <left/>
      <right style="dotted">
        <color auto="1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 style="mediumDashDot">
        <color indexed="64"/>
      </right>
      <top/>
      <bottom style="thin">
        <color indexed="64"/>
      </bottom>
      <diagonal/>
    </border>
    <border>
      <left style="mediumDashDot">
        <color indexed="64"/>
      </left>
      <right/>
      <top/>
      <bottom style="thin">
        <color indexed="64"/>
      </bottom>
      <diagonal/>
    </border>
    <border>
      <left/>
      <right style="mediumDashDot">
        <color indexed="64"/>
      </right>
      <top/>
      <bottom style="thin">
        <color indexed="64"/>
      </bottom>
      <diagonal/>
    </border>
    <border>
      <left style="mediumDashDot">
        <color indexed="64"/>
      </left>
      <right/>
      <top style="thin">
        <color auto="1"/>
      </top>
      <bottom/>
      <diagonal/>
    </border>
    <border>
      <left/>
      <right style="mediumDashDot">
        <color indexed="64"/>
      </right>
      <top style="thin">
        <color auto="1"/>
      </top>
      <bottom/>
      <diagonal/>
    </border>
    <border>
      <left style="mediumDashDot">
        <color indexed="64"/>
      </left>
      <right/>
      <top/>
      <bottom/>
      <diagonal/>
    </border>
    <border>
      <left/>
      <right style="mediumDashDot">
        <color indexed="64"/>
      </right>
      <top/>
      <bottom/>
      <diagonal/>
    </border>
    <border>
      <left style="mediumDashDot">
        <color indexed="64"/>
      </left>
      <right style="mediumDashDot">
        <color indexed="64"/>
      </right>
      <top style="thin">
        <color indexed="64"/>
      </top>
      <bottom/>
      <diagonal/>
    </border>
    <border>
      <left style="mediumDashDot">
        <color indexed="64"/>
      </left>
      <right style="mediumDashDot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5" fillId="0" borderId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5" fillId="3" borderId="2" xfId="1" applyNumberFormat="1" applyFont="1" applyFill="1" applyBorder="1" applyAlignment="1">
      <alignment horizontal="center" vertical="center"/>
    </xf>
    <xf numFmtId="164" fontId="4" fillId="4" borderId="5" xfId="1" applyNumberFormat="1" applyFont="1" applyFill="1" applyBorder="1" applyAlignment="1">
      <alignment horizontal="center" vertical="center"/>
    </xf>
    <xf numFmtId="164" fontId="4" fillId="4" borderId="6" xfId="1" applyNumberFormat="1" applyFont="1" applyFill="1" applyBorder="1" applyAlignment="1">
      <alignment horizontal="center" vertical="center"/>
    </xf>
    <xf numFmtId="164" fontId="4" fillId="4" borderId="7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center" vertical="center"/>
    </xf>
    <xf numFmtId="2" fontId="4" fillId="4" borderId="6" xfId="1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right" vertical="center" indent="1"/>
    </xf>
    <xf numFmtId="165" fontId="4" fillId="4" borderId="1" xfId="1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/>
    </xf>
    <xf numFmtId="164" fontId="4" fillId="4" borderId="0" xfId="1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164" fontId="4" fillId="4" borderId="8" xfId="1" applyNumberFormat="1" applyFont="1" applyFill="1" applyBorder="1" applyAlignment="1">
      <alignment horizontal="center" vertical="center"/>
    </xf>
    <xf numFmtId="164" fontId="4" fillId="4" borderId="10" xfId="1" applyNumberFormat="1" applyFont="1" applyFill="1" applyBorder="1" applyAlignment="1">
      <alignment horizontal="center" vertical="center"/>
    </xf>
    <xf numFmtId="164" fontId="4" fillId="4" borderId="9" xfId="1" applyNumberFormat="1" applyFont="1" applyFill="1" applyBorder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right" vertical="center" indent="1"/>
    </xf>
    <xf numFmtId="165" fontId="4" fillId="4" borderId="3" xfId="1" applyNumberFormat="1" applyFont="1" applyFill="1" applyBorder="1" applyAlignment="1">
      <alignment horizontal="center" vertical="center"/>
    </xf>
    <xf numFmtId="2" fontId="4" fillId="4" borderId="5" xfId="1" applyNumberFormat="1" applyFont="1" applyFill="1" applyBorder="1" applyAlignment="1">
      <alignment horizontal="center" vertical="center"/>
    </xf>
    <xf numFmtId="2" fontId="4" fillId="4" borderId="7" xfId="1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0" fontId="1" fillId="4" borderId="0" xfId="2" applyFill="1"/>
    <xf numFmtId="0" fontId="7" fillId="4" borderId="0" xfId="2" applyFont="1" applyFill="1"/>
    <xf numFmtId="0" fontId="8" fillId="4" borderId="0" xfId="2" applyFont="1" applyFill="1" applyAlignment="1">
      <alignment horizontal="right" vertical="center" indent="1"/>
    </xf>
    <xf numFmtId="0" fontId="11" fillId="8" borderId="21" xfId="3" applyFont="1" applyFill="1" applyBorder="1" applyAlignment="1">
      <alignment horizontal="center" vertical="center" wrapText="1" readingOrder="2"/>
    </xf>
    <xf numFmtId="0" fontId="17" fillId="8" borderId="21" xfId="3" applyFont="1" applyFill="1" applyBorder="1" applyAlignment="1">
      <alignment horizontal="center" vertical="center" wrapText="1" readingOrder="2"/>
    </xf>
    <xf numFmtId="0" fontId="11" fillId="8" borderId="1" xfId="3" applyFont="1" applyFill="1" applyBorder="1" applyAlignment="1">
      <alignment horizontal="center" vertical="center" wrapText="1" readingOrder="2"/>
    </xf>
    <xf numFmtId="0" fontId="17" fillId="8" borderId="1" xfId="3" applyFont="1" applyFill="1" applyBorder="1" applyAlignment="1">
      <alignment horizontal="center" vertical="center" wrapText="1" readingOrder="2"/>
    </xf>
    <xf numFmtId="0" fontId="17" fillId="8" borderId="25" xfId="3" applyFont="1" applyFill="1" applyBorder="1" applyAlignment="1">
      <alignment horizontal="center" vertical="center" wrapText="1" readingOrder="2"/>
    </xf>
    <xf numFmtId="3" fontId="12" fillId="6" borderId="26" xfId="3" applyNumberFormat="1" applyFont="1" applyFill="1" applyBorder="1" applyAlignment="1">
      <alignment horizontal="center" vertical="center" wrapText="1"/>
    </xf>
    <xf numFmtId="0" fontId="13" fillId="9" borderId="24" xfId="3" applyFont="1" applyFill="1" applyBorder="1" applyAlignment="1">
      <alignment horizontal="center" vertical="center" wrapText="1" readingOrder="2"/>
    </xf>
    <xf numFmtId="0" fontId="17" fillId="8" borderId="27" xfId="3" applyFont="1" applyFill="1" applyBorder="1" applyAlignment="1">
      <alignment horizontal="center" vertical="center" wrapText="1" readingOrder="2"/>
    </xf>
    <xf numFmtId="0" fontId="16" fillId="8" borderId="28" xfId="4" applyFont="1" applyFill="1" applyBorder="1" applyAlignment="1">
      <alignment horizontal="center" vertical="top" wrapText="1"/>
    </xf>
    <xf numFmtId="0" fontId="16" fillId="8" borderId="29" xfId="4" applyFont="1" applyFill="1" applyBorder="1" applyAlignment="1">
      <alignment horizontal="center" vertical="top" wrapText="1"/>
    </xf>
    <xf numFmtId="9" fontId="18" fillId="4" borderId="15" xfId="5" applyFont="1" applyFill="1" applyBorder="1" applyAlignment="1">
      <alignment horizontal="center" vertical="center" readingOrder="1"/>
    </xf>
    <xf numFmtId="0" fontId="19" fillId="4" borderId="30" xfId="3" applyFont="1" applyFill="1" applyBorder="1" applyAlignment="1">
      <alignment horizontal="center" vertical="center" readingOrder="2"/>
    </xf>
    <xf numFmtId="166" fontId="20" fillId="4" borderId="31" xfId="3" applyNumberFormat="1" applyFont="1" applyFill="1" applyBorder="1" applyAlignment="1">
      <alignment horizontal="right" vertical="center" indent="1" readingOrder="2"/>
    </xf>
    <xf numFmtId="9" fontId="21" fillId="10" borderId="32" xfId="5" applyFont="1" applyFill="1" applyBorder="1" applyAlignment="1">
      <alignment horizontal="center" vertical="center" readingOrder="1"/>
    </xf>
    <xf numFmtId="9" fontId="21" fillId="10" borderId="31" xfId="5" applyFont="1" applyFill="1" applyBorder="1" applyAlignment="1">
      <alignment horizontal="center" vertical="center" readingOrder="1"/>
    </xf>
    <xf numFmtId="3" fontId="22" fillId="11" borderId="33" xfId="3" applyNumberFormat="1" applyFont="1" applyFill="1" applyBorder="1" applyAlignment="1">
      <alignment horizontal="right" vertical="center" indent="2" readingOrder="2"/>
    </xf>
    <xf numFmtId="3" fontId="20" fillId="4" borderId="31" xfId="3" applyNumberFormat="1" applyFont="1" applyFill="1" applyBorder="1" applyAlignment="1">
      <alignment horizontal="right" vertical="center" indent="1" readingOrder="2"/>
    </xf>
    <xf numFmtId="3" fontId="23" fillId="4" borderId="32" xfId="3" applyNumberFormat="1" applyFont="1" applyFill="1" applyBorder="1" applyAlignment="1">
      <alignment horizontal="center" vertical="center" readingOrder="2"/>
    </xf>
    <xf numFmtId="9" fontId="21" fillId="10" borderId="34" xfId="5" applyFont="1" applyFill="1" applyBorder="1" applyAlignment="1">
      <alignment horizontal="center" vertical="center" readingOrder="1"/>
    </xf>
    <xf numFmtId="3" fontId="22" fillId="9" borderId="33" xfId="3" applyNumberFormat="1" applyFont="1" applyFill="1" applyBorder="1" applyAlignment="1">
      <alignment horizontal="right" vertical="center" indent="1" readingOrder="2"/>
    </xf>
    <xf numFmtId="3" fontId="24" fillId="4" borderId="35" xfId="3" applyNumberFormat="1" applyFont="1" applyFill="1" applyBorder="1" applyAlignment="1">
      <alignment horizontal="right" vertical="center" indent="1" readingOrder="2"/>
    </xf>
    <xf numFmtId="3" fontId="24" fillId="4" borderId="31" xfId="3" applyNumberFormat="1" applyFont="1" applyFill="1" applyBorder="1" applyAlignment="1">
      <alignment horizontal="right" vertical="center" indent="1" readingOrder="2"/>
    </xf>
    <xf numFmtId="9" fontId="26" fillId="4" borderId="33" xfId="6" applyFont="1" applyFill="1" applyBorder="1" applyAlignment="1">
      <alignment horizontal="center" vertical="center"/>
    </xf>
    <xf numFmtId="4" fontId="27" fillId="4" borderId="31" xfId="3" applyNumberFormat="1" applyFont="1" applyFill="1" applyBorder="1" applyAlignment="1">
      <alignment horizontal="center" vertical="center" shrinkToFit="1"/>
    </xf>
    <xf numFmtId="3" fontId="28" fillId="4" borderId="31" xfId="3" applyNumberFormat="1" applyFont="1" applyFill="1" applyBorder="1" applyAlignment="1">
      <alignment horizontal="right" vertical="center" indent="1" shrinkToFit="1"/>
    </xf>
    <xf numFmtId="4" fontId="27" fillId="4" borderId="0" xfId="3" applyNumberFormat="1" applyFont="1" applyFill="1" applyAlignment="1">
      <alignment horizontal="center" vertical="center" shrinkToFit="1"/>
    </xf>
    <xf numFmtId="0" fontId="19" fillId="4" borderId="6" xfId="3" applyFont="1" applyFill="1" applyBorder="1" applyAlignment="1">
      <alignment horizontal="center" vertical="center" readingOrder="2"/>
    </xf>
    <xf numFmtId="166" fontId="20" fillId="4" borderId="0" xfId="3" applyNumberFormat="1" applyFont="1" applyFill="1" applyAlignment="1">
      <alignment horizontal="right" vertical="center" indent="1" readingOrder="2"/>
    </xf>
    <xf numFmtId="166" fontId="30" fillId="4" borderId="0" xfId="3" applyNumberFormat="1" applyFont="1" applyFill="1" applyAlignment="1">
      <alignment horizontal="right" vertical="center" indent="1" readingOrder="2"/>
    </xf>
    <xf numFmtId="3" fontId="30" fillId="4" borderId="0" xfId="3" applyNumberFormat="1" applyFont="1" applyFill="1" applyAlignment="1">
      <alignment horizontal="right" vertical="center" indent="1" readingOrder="2"/>
    </xf>
    <xf numFmtId="9" fontId="21" fillId="4" borderId="36" xfId="5" applyFont="1" applyFill="1" applyBorder="1" applyAlignment="1">
      <alignment horizontal="center" vertical="center" readingOrder="1"/>
    </xf>
    <xf numFmtId="9" fontId="21" fillId="4" borderId="0" xfId="5" applyFont="1" applyFill="1" applyBorder="1" applyAlignment="1">
      <alignment horizontal="center" vertical="center" readingOrder="1"/>
    </xf>
    <xf numFmtId="3" fontId="22" fillId="11" borderId="37" xfId="3" applyNumberFormat="1" applyFont="1" applyFill="1" applyBorder="1" applyAlignment="1">
      <alignment horizontal="right" vertical="center" indent="2" readingOrder="2"/>
    </xf>
    <xf numFmtId="3" fontId="20" fillId="4" borderId="0" xfId="3" applyNumberFormat="1" applyFont="1" applyFill="1" applyAlignment="1">
      <alignment horizontal="right" vertical="center" indent="1" readingOrder="2"/>
    </xf>
    <xf numFmtId="166" fontId="23" fillId="4" borderId="36" xfId="3" applyNumberFormat="1" applyFont="1" applyFill="1" applyBorder="1" applyAlignment="1">
      <alignment horizontal="center" vertical="center" readingOrder="2"/>
    </xf>
    <xf numFmtId="9" fontId="21" fillId="4" borderId="38" xfId="5" applyFont="1" applyFill="1" applyBorder="1" applyAlignment="1">
      <alignment horizontal="center" vertical="center" readingOrder="1"/>
    </xf>
    <xf numFmtId="3" fontId="22" fillId="9" borderId="37" xfId="3" applyNumberFormat="1" applyFont="1" applyFill="1" applyBorder="1" applyAlignment="1">
      <alignment horizontal="right" vertical="center" indent="1" readingOrder="2"/>
    </xf>
    <xf numFmtId="3" fontId="24" fillId="4" borderId="10" xfId="3" applyNumberFormat="1" applyFont="1" applyFill="1" applyBorder="1" applyAlignment="1">
      <alignment horizontal="right" vertical="center" indent="1" readingOrder="2"/>
    </xf>
    <xf numFmtId="3" fontId="24" fillId="4" borderId="0" xfId="3" applyNumberFormat="1" applyFont="1" applyFill="1" applyAlignment="1">
      <alignment horizontal="right" vertical="center" indent="1" readingOrder="2"/>
    </xf>
    <xf numFmtId="9" fontId="26" fillId="4" borderId="37" xfId="6" applyFont="1" applyFill="1" applyBorder="1" applyAlignment="1">
      <alignment horizontal="center" vertical="center"/>
    </xf>
    <xf numFmtId="3" fontId="28" fillId="4" borderId="0" xfId="3" applyNumberFormat="1" applyFont="1" applyFill="1" applyAlignment="1">
      <alignment horizontal="right" vertical="center" indent="1" shrinkToFit="1"/>
    </xf>
    <xf numFmtId="0" fontId="19" fillId="4" borderId="39" xfId="3" applyFont="1" applyFill="1" applyBorder="1" applyAlignment="1">
      <alignment horizontal="center" vertical="center" readingOrder="2"/>
    </xf>
    <xf numFmtId="166" fontId="20" fillId="4" borderId="40" xfId="3" applyNumberFormat="1" applyFont="1" applyFill="1" applyBorder="1" applyAlignment="1">
      <alignment horizontal="right" vertical="center" indent="1" readingOrder="2"/>
    </xf>
    <xf numFmtId="166" fontId="30" fillId="4" borderId="40" xfId="3" applyNumberFormat="1" applyFont="1" applyFill="1" applyBorder="1" applyAlignment="1">
      <alignment horizontal="right" vertical="center" indent="1" readingOrder="2"/>
    </xf>
    <xf numFmtId="3" fontId="30" fillId="4" borderId="40" xfId="3" applyNumberFormat="1" applyFont="1" applyFill="1" applyBorder="1" applyAlignment="1">
      <alignment horizontal="right" vertical="center" indent="1" readingOrder="2"/>
    </xf>
    <xf numFmtId="9" fontId="21" fillId="4" borderId="41" xfId="5" applyFont="1" applyFill="1" applyBorder="1" applyAlignment="1">
      <alignment horizontal="center" vertical="center" readingOrder="1"/>
    </xf>
    <xf numFmtId="9" fontId="21" fillId="4" borderId="40" xfId="5" applyFont="1" applyFill="1" applyBorder="1" applyAlignment="1">
      <alignment horizontal="center" vertical="center" readingOrder="1"/>
    </xf>
    <xf numFmtId="3" fontId="22" fillId="11" borderId="42" xfId="3" applyNumberFormat="1" applyFont="1" applyFill="1" applyBorder="1" applyAlignment="1">
      <alignment horizontal="right" vertical="center" indent="2" readingOrder="2"/>
    </xf>
    <xf numFmtId="3" fontId="20" fillId="4" borderId="40" xfId="3" applyNumberFormat="1" applyFont="1" applyFill="1" applyBorder="1" applyAlignment="1">
      <alignment horizontal="right" vertical="center" indent="1" readingOrder="2"/>
    </xf>
    <xf numFmtId="166" fontId="23" fillId="4" borderId="41" xfId="3" applyNumberFormat="1" applyFont="1" applyFill="1" applyBorder="1" applyAlignment="1">
      <alignment horizontal="center" vertical="center" readingOrder="2"/>
    </xf>
    <xf numFmtId="9" fontId="21" fillId="4" borderId="43" xfId="5" applyFont="1" applyFill="1" applyBorder="1" applyAlignment="1">
      <alignment horizontal="center" vertical="center" readingOrder="1"/>
    </xf>
    <xf numFmtId="3" fontId="22" fillId="9" borderId="42" xfId="3" applyNumberFormat="1" applyFont="1" applyFill="1" applyBorder="1" applyAlignment="1">
      <alignment horizontal="right" vertical="center" indent="1" readingOrder="2"/>
    </xf>
    <xf numFmtId="3" fontId="24" fillId="4" borderId="44" xfId="3" applyNumberFormat="1" applyFont="1" applyFill="1" applyBorder="1" applyAlignment="1">
      <alignment horizontal="right" vertical="center" indent="1" readingOrder="2"/>
    </xf>
    <xf numFmtId="3" fontId="24" fillId="4" borderId="40" xfId="3" applyNumberFormat="1" applyFont="1" applyFill="1" applyBorder="1" applyAlignment="1">
      <alignment horizontal="right" vertical="center" indent="1" readingOrder="2"/>
    </xf>
    <xf numFmtId="9" fontId="26" fillId="4" borderId="42" xfId="6" applyFont="1" applyFill="1" applyBorder="1" applyAlignment="1">
      <alignment horizontal="center" vertical="center"/>
    </xf>
    <xf numFmtId="4" fontId="27" fillId="4" borderId="40" xfId="3" applyNumberFormat="1" applyFont="1" applyFill="1" applyBorder="1" applyAlignment="1">
      <alignment horizontal="center" vertical="center" shrinkToFit="1"/>
    </xf>
    <xf numFmtId="3" fontId="28" fillId="4" borderId="40" xfId="3" applyNumberFormat="1" applyFont="1" applyFill="1" applyBorder="1" applyAlignment="1">
      <alignment horizontal="right" vertical="center" indent="1" shrinkToFit="1"/>
    </xf>
    <xf numFmtId="166" fontId="30" fillId="4" borderId="31" xfId="3" applyNumberFormat="1" applyFont="1" applyFill="1" applyBorder="1" applyAlignment="1">
      <alignment horizontal="right" vertical="center" indent="1" readingOrder="2"/>
    </xf>
    <xf numFmtId="3" fontId="30" fillId="4" borderId="31" xfId="3" applyNumberFormat="1" applyFont="1" applyFill="1" applyBorder="1" applyAlignment="1">
      <alignment horizontal="right" vertical="center" indent="1" readingOrder="2"/>
    </xf>
    <xf numFmtId="9" fontId="21" fillId="4" borderId="32" xfId="5" applyFont="1" applyFill="1" applyBorder="1" applyAlignment="1">
      <alignment horizontal="center" vertical="center" readingOrder="1"/>
    </xf>
    <xf numFmtId="9" fontId="21" fillId="4" borderId="31" xfId="5" applyFont="1" applyFill="1" applyBorder="1" applyAlignment="1">
      <alignment horizontal="center" vertical="center" readingOrder="1"/>
    </xf>
    <xf numFmtId="166" fontId="23" fillId="4" borderId="32" xfId="3" applyNumberFormat="1" applyFont="1" applyFill="1" applyBorder="1" applyAlignment="1">
      <alignment horizontal="center" vertical="center" readingOrder="2"/>
    </xf>
    <xf numFmtId="9" fontId="21" fillId="4" borderId="34" xfId="5" applyFont="1" applyFill="1" applyBorder="1" applyAlignment="1">
      <alignment horizontal="center" vertical="center" readingOrder="1"/>
    </xf>
    <xf numFmtId="0" fontId="19" fillId="4" borderId="45" xfId="3" applyFont="1" applyFill="1" applyBorder="1" applyAlignment="1">
      <alignment horizontal="center" vertical="center" readingOrder="2"/>
    </xf>
    <xf numFmtId="166" fontId="20" fillId="4" borderId="46" xfId="3" applyNumberFormat="1" applyFont="1" applyFill="1" applyBorder="1" applyAlignment="1">
      <alignment horizontal="right" vertical="center" indent="1" readingOrder="2"/>
    </xf>
    <xf numFmtId="166" fontId="30" fillId="4" borderId="46" xfId="3" applyNumberFormat="1" applyFont="1" applyFill="1" applyBorder="1" applyAlignment="1">
      <alignment horizontal="right" vertical="center" indent="1" readingOrder="2"/>
    </xf>
    <xf numFmtId="3" fontId="30" fillId="4" borderId="46" xfId="3" applyNumberFormat="1" applyFont="1" applyFill="1" applyBorder="1" applyAlignment="1">
      <alignment horizontal="right" vertical="center" indent="1" readingOrder="2"/>
    </xf>
    <xf numFmtId="9" fontId="21" fillId="4" borderId="47" xfId="5" applyFont="1" applyFill="1" applyBorder="1" applyAlignment="1">
      <alignment horizontal="center" vertical="center" readingOrder="1"/>
    </xf>
    <xf numFmtId="9" fontId="21" fillId="4" borderId="46" xfId="5" applyFont="1" applyFill="1" applyBorder="1" applyAlignment="1">
      <alignment horizontal="center" vertical="center" readingOrder="1"/>
    </xf>
    <xf numFmtId="3" fontId="22" fillId="11" borderId="48" xfId="3" applyNumberFormat="1" applyFont="1" applyFill="1" applyBorder="1" applyAlignment="1">
      <alignment horizontal="right" vertical="center" indent="2" readingOrder="2"/>
    </xf>
    <xf numFmtId="3" fontId="20" fillId="4" borderId="46" xfId="3" applyNumberFormat="1" applyFont="1" applyFill="1" applyBorder="1" applyAlignment="1">
      <alignment horizontal="right" vertical="center" indent="1" readingOrder="2"/>
    </xf>
    <xf numFmtId="166" fontId="23" fillId="4" borderId="47" xfId="3" applyNumberFormat="1" applyFont="1" applyFill="1" applyBorder="1" applyAlignment="1">
      <alignment horizontal="center" vertical="center" readingOrder="2"/>
    </xf>
    <xf numFmtId="9" fontId="21" fillId="4" borderId="49" xfId="5" applyFont="1" applyFill="1" applyBorder="1" applyAlignment="1">
      <alignment horizontal="center" vertical="center" readingOrder="1"/>
    </xf>
    <xf numFmtId="3" fontId="22" fillId="9" borderId="48" xfId="3" applyNumberFormat="1" applyFont="1" applyFill="1" applyBorder="1" applyAlignment="1">
      <alignment horizontal="right" vertical="center" indent="1" readingOrder="2"/>
    </xf>
    <xf numFmtId="3" fontId="24" fillId="4" borderId="50" xfId="3" applyNumberFormat="1" applyFont="1" applyFill="1" applyBorder="1" applyAlignment="1">
      <alignment horizontal="right" vertical="center" indent="1" readingOrder="2"/>
    </xf>
    <xf numFmtId="3" fontId="24" fillId="4" borderId="46" xfId="3" applyNumberFormat="1" applyFont="1" applyFill="1" applyBorder="1" applyAlignment="1">
      <alignment horizontal="right" vertical="center" indent="1" readingOrder="2"/>
    </xf>
    <xf numFmtId="9" fontId="26" fillId="4" borderId="48" xfId="6" applyFont="1" applyFill="1" applyBorder="1" applyAlignment="1">
      <alignment horizontal="center" vertical="center"/>
    </xf>
    <xf numFmtId="4" fontId="27" fillId="4" borderId="46" xfId="3" applyNumberFormat="1" applyFont="1" applyFill="1" applyBorder="1" applyAlignment="1">
      <alignment horizontal="center" vertical="center" shrinkToFit="1"/>
    </xf>
    <xf numFmtId="3" fontId="28" fillId="4" borderId="46" xfId="3" applyNumberFormat="1" applyFont="1" applyFill="1" applyBorder="1" applyAlignment="1">
      <alignment horizontal="right" vertical="center" indent="1" shrinkToFit="1"/>
    </xf>
    <xf numFmtId="166" fontId="22" fillId="11" borderId="37" xfId="3" applyNumberFormat="1" applyFont="1" applyFill="1" applyBorder="1" applyAlignment="1">
      <alignment horizontal="right" vertical="center" indent="2" readingOrder="2"/>
    </xf>
    <xf numFmtId="166" fontId="22" fillId="9" borderId="37" xfId="3" applyNumberFormat="1" applyFont="1" applyFill="1" applyBorder="1" applyAlignment="1">
      <alignment horizontal="right" vertical="center" indent="1" readingOrder="2"/>
    </xf>
    <xf numFmtId="166" fontId="24" fillId="4" borderId="10" xfId="3" applyNumberFormat="1" applyFont="1" applyFill="1" applyBorder="1" applyAlignment="1">
      <alignment horizontal="right" vertical="center" indent="1" readingOrder="2"/>
    </xf>
    <xf numFmtId="166" fontId="24" fillId="4" borderId="0" xfId="3" applyNumberFormat="1" applyFont="1" applyFill="1" applyAlignment="1">
      <alignment horizontal="right" vertical="center" indent="1" readingOrder="2"/>
    </xf>
    <xf numFmtId="0" fontId="19" fillId="12" borderId="4" xfId="3" applyFont="1" applyFill="1" applyBorder="1" applyAlignment="1">
      <alignment horizontal="center" vertical="center" readingOrder="2"/>
    </xf>
    <xf numFmtId="3" fontId="31" fillId="12" borderId="2" xfId="3" applyNumberFormat="1" applyFont="1" applyFill="1" applyBorder="1" applyAlignment="1">
      <alignment horizontal="center" vertical="center" shrinkToFit="1" readingOrder="2"/>
    </xf>
    <xf numFmtId="3" fontId="30" fillId="12" borderId="2" xfId="3" applyNumberFormat="1" applyFont="1" applyFill="1" applyBorder="1" applyAlignment="1">
      <alignment horizontal="center" vertical="center" shrinkToFit="1" readingOrder="2"/>
    </xf>
    <xf numFmtId="3" fontId="30" fillId="12" borderId="51" xfId="3" applyNumberFormat="1" applyFont="1" applyFill="1" applyBorder="1" applyAlignment="1">
      <alignment horizontal="center" vertical="center" shrinkToFit="1" readingOrder="2"/>
    </xf>
    <xf numFmtId="3" fontId="32" fillId="11" borderId="52" xfId="3" applyNumberFormat="1" applyFont="1" applyFill="1" applyBorder="1" applyAlignment="1">
      <alignment horizontal="center" vertical="center" readingOrder="2"/>
    </xf>
    <xf numFmtId="3" fontId="23" fillId="12" borderId="51" xfId="3" applyNumberFormat="1" applyFont="1" applyFill="1" applyBorder="1" applyAlignment="1">
      <alignment horizontal="center" vertical="center" shrinkToFit="1" readingOrder="2"/>
    </xf>
    <xf numFmtId="3" fontId="30" fillId="12" borderId="53" xfId="3" applyNumberFormat="1" applyFont="1" applyFill="1" applyBorder="1" applyAlignment="1">
      <alignment horizontal="center" vertical="center" shrinkToFit="1" readingOrder="2"/>
    </xf>
    <xf numFmtId="3" fontId="32" fillId="9" borderId="52" xfId="3" applyNumberFormat="1" applyFont="1" applyFill="1" applyBorder="1" applyAlignment="1">
      <alignment horizontal="center" vertical="center" readingOrder="2"/>
    </xf>
    <xf numFmtId="3" fontId="33" fillId="12" borderId="11" xfId="3" applyNumberFormat="1" applyFont="1" applyFill="1" applyBorder="1" applyAlignment="1">
      <alignment horizontal="right" vertical="center" indent="1" readingOrder="2"/>
    </xf>
    <xf numFmtId="3" fontId="33" fillId="12" borderId="2" xfId="3" applyNumberFormat="1" applyFont="1" applyFill="1" applyBorder="1" applyAlignment="1">
      <alignment horizontal="right" vertical="center" indent="1" readingOrder="2"/>
    </xf>
    <xf numFmtId="9" fontId="26" fillId="12" borderId="52" xfId="6" applyFont="1" applyFill="1" applyBorder="1" applyAlignment="1">
      <alignment horizontal="center" vertical="center"/>
    </xf>
    <xf numFmtId="4" fontId="27" fillId="12" borderId="2" xfId="3" applyNumberFormat="1" applyFont="1" applyFill="1" applyBorder="1" applyAlignment="1">
      <alignment horizontal="center" vertical="center" shrinkToFit="1"/>
    </xf>
    <xf numFmtId="3" fontId="29" fillId="12" borderId="2" xfId="3" applyNumberFormat="1" applyFont="1" applyFill="1" applyBorder="1" applyAlignment="1">
      <alignment horizontal="center" vertical="center" shrinkToFit="1"/>
    </xf>
    <xf numFmtId="3" fontId="36" fillId="4" borderId="31" xfId="3" applyNumberFormat="1" applyFont="1" applyFill="1" applyBorder="1" applyAlignment="1">
      <alignment horizontal="right" vertical="center" indent="1" readingOrder="2"/>
    </xf>
    <xf numFmtId="3" fontId="36" fillId="4" borderId="0" xfId="3" applyNumberFormat="1" applyFont="1" applyFill="1" applyAlignment="1">
      <alignment horizontal="right" vertical="center" indent="1" readingOrder="2"/>
    </xf>
    <xf numFmtId="3" fontId="36" fillId="4" borderId="40" xfId="3" applyNumberFormat="1" applyFont="1" applyFill="1" applyBorder="1" applyAlignment="1">
      <alignment horizontal="right" vertical="center" indent="1" readingOrder="2"/>
    </xf>
    <xf numFmtId="3" fontId="36" fillId="4" borderId="46" xfId="3" applyNumberFormat="1" applyFont="1" applyFill="1" applyBorder="1" applyAlignment="1">
      <alignment horizontal="right" vertical="center" indent="1" readingOrder="2"/>
    </xf>
    <xf numFmtId="43" fontId="5" fillId="3" borderId="7" xfId="0" applyNumberFormat="1" applyFont="1" applyFill="1" applyBorder="1" applyAlignment="1">
      <alignment horizontal="center" vertical="center"/>
    </xf>
    <xf numFmtId="0" fontId="19" fillId="4" borderId="7" xfId="3" applyFont="1" applyFill="1" applyBorder="1" applyAlignment="1">
      <alignment horizontal="center" vertical="center" readingOrder="2"/>
    </xf>
    <xf numFmtId="3" fontId="20" fillId="4" borderId="21" xfId="3" applyNumberFormat="1" applyFont="1" applyFill="1" applyBorder="1" applyAlignment="1">
      <alignment horizontal="right" vertical="center" indent="1" readingOrder="2"/>
    </xf>
    <xf numFmtId="166" fontId="30" fillId="4" borderId="21" xfId="3" applyNumberFormat="1" applyFont="1" applyFill="1" applyBorder="1" applyAlignment="1">
      <alignment horizontal="right" vertical="center" indent="1" readingOrder="2"/>
    </xf>
    <xf numFmtId="166" fontId="36" fillId="4" borderId="21" xfId="3" applyNumberFormat="1" applyFont="1" applyFill="1" applyBorder="1" applyAlignment="1">
      <alignment horizontal="right" vertical="center" indent="1" readingOrder="2"/>
    </xf>
    <xf numFmtId="9" fontId="21" fillId="4" borderId="25" xfId="5" applyFont="1" applyFill="1" applyBorder="1" applyAlignment="1">
      <alignment horizontal="center" vertical="center" readingOrder="1"/>
    </xf>
    <xf numFmtId="9" fontId="21" fillId="4" borderId="21" xfId="5" applyFont="1" applyFill="1" applyBorder="1" applyAlignment="1">
      <alignment horizontal="center" vertical="center" readingOrder="1"/>
    </xf>
    <xf numFmtId="3" fontId="22" fillId="11" borderId="54" xfId="3" applyNumberFormat="1" applyFont="1" applyFill="1" applyBorder="1" applyAlignment="1">
      <alignment horizontal="right" vertical="center" indent="2" readingOrder="2"/>
    </xf>
    <xf numFmtId="3" fontId="24" fillId="4" borderId="27" xfId="3" applyNumberFormat="1" applyFont="1" applyFill="1" applyBorder="1" applyAlignment="1">
      <alignment horizontal="right" vertical="center" indent="1" readingOrder="2"/>
    </xf>
    <xf numFmtId="3" fontId="24" fillId="4" borderId="21" xfId="3" applyNumberFormat="1" applyFont="1" applyFill="1" applyBorder="1" applyAlignment="1">
      <alignment horizontal="right" vertical="center" indent="1" readingOrder="2"/>
    </xf>
    <xf numFmtId="166" fontId="23" fillId="4" borderId="25" xfId="3" applyNumberFormat="1" applyFont="1" applyFill="1" applyBorder="1" applyAlignment="1">
      <alignment horizontal="center" vertical="center" readingOrder="2"/>
    </xf>
    <xf numFmtId="9" fontId="21" fillId="4" borderId="26" xfId="5" applyFont="1" applyFill="1" applyBorder="1" applyAlignment="1">
      <alignment horizontal="center" vertical="center" readingOrder="1"/>
    </xf>
    <xf numFmtId="3" fontId="22" fillId="9" borderId="54" xfId="3" applyNumberFormat="1" applyFont="1" applyFill="1" applyBorder="1" applyAlignment="1">
      <alignment horizontal="right" vertical="center" indent="1" readingOrder="2"/>
    </xf>
    <xf numFmtId="4" fontId="27" fillId="4" borderId="21" xfId="3" applyNumberFormat="1" applyFont="1" applyFill="1" applyBorder="1" applyAlignment="1">
      <alignment horizontal="center" vertical="center" shrinkToFit="1"/>
    </xf>
    <xf numFmtId="3" fontId="28" fillId="4" borderId="21" xfId="3" applyNumberFormat="1" applyFont="1" applyFill="1" applyBorder="1" applyAlignment="1">
      <alignment horizontal="right" vertical="center" indent="1" shrinkToFit="1"/>
    </xf>
    <xf numFmtId="0" fontId="19" fillId="4" borderId="5" xfId="3" applyFont="1" applyFill="1" applyBorder="1" applyAlignment="1">
      <alignment horizontal="center" vertical="center" readingOrder="2"/>
    </xf>
    <xf numFmtId="3" fontId="20" fillId="4" borderId="15" xfId="3" applyNumberFormat="1" applyFont="1" applyFill="1" applyBorder="1" applyAlignment="1">
      <alignment horizontal="right" vertical="center" indent="1" readingOrder="2"/>
    </xf>
    <xf numFmtId="166" fontId="30" fillId="4" borderId="15" xfId="3" applyNumberFormat="1" applyFont="1" applyFill="1" applyBorder="1" applyAlignment="1">
      <alignment horizontal="right" vertical="center" indent="1" readingOrder="2"/>
    </xf>
    <xf numFmtId="3" fontId="30" fillId="4" borderId="15" xfId="3" applyNumberFormat="1" applyFont="1" applyFill="1" applyBorder="1" applyAlignment="1">
      <alignment horizontal="right" vertical="center" indent="1" readingOrder="2"/>
    </xf>
    <xf numFmtId="166" fontId="36" fillId="4" borderId="15" xfId="3" applyNumberFormat="1" applyFont="1" applyFill="1" applyBorder="1" applyAlignment="1">
      <alignment horizontal="right" vertical="center" indent="1" readingOrder="2"/>
    </xf>
    <xf numFmtId="9" fontId="21" fillId="4" borderId="55" xfId="5" applyFont="1" applyFill="1" applyBorder="1" applyAlignment="1">
      <alignment horizontal="center" vertical="center" readingOrder="1"/>
    </xf>
    <xf numFmtId="9" fontId="21" fillId="4" borderId="15" xfId="5" applyFont="1" applyFill="1" applyBorder="1" applyAlignment="1">
      <alignment horizontal="center" vertical="center" readingOrder="1"/>
    </xf>
    <xf numFmtId="3" fontId="22" fillId="11" borderId="56" xfId="3" applyNumberFormat="1" applyFont="1" applyFill="1" applyBorder="1" applyAlignment="1">
      <alignment horizontal="right" vertical="center" indent="2" readingOrder="2"/>
    </xf>
    <xf numFmtId="3" fontId="24" fillId="4" borderId="19" xfId="3" applyNumberFormat="1" applyFont="1" applyFill="1" applyBorder="1" applyAlignment="1">
      <alignment horizontal="right" vertical="center" indent="1" readingOrder="2"/>
    </xf>
    <xf numFmtId="3" fontId="24" fillId="4" borderId="15" xfId="3" applyNumberFormat="1" applyFont="1" applyFill="1" applyBorder="1" applyAlignment="1">
      <alignment horizontal="right" vertical="center" indent="1" readingOrder="2"/>
    </xf>
    <xf numFmtId="166" fontId="23" fillId="4" borderId="55" xfId="3" applyNumberFormat="1" applyFont="1" applyFill="1" applyBorder="1" applyAlignment="1">
      <alignment horizontal="center" vertical="center" readingOrder="2"/>
    </xf>
    <xf numFmtId="9" fontId="21" fillId="4" borderId="57" xfId="5" applyFont="1" applyFill="1" applyBorder="1" applyAlignment="1">
      <alignment horizontal="center" vertical="center" readingOrder="1"/>
    </xf>
    <xf numFmtId="3" fontId="22" fillId="9" borderId="56" xfId="3" applyNumberFormat="1" applyFont="1" applyFill="1" applyBorder="1" applyAlignment="1">
      <alignment horizontal="right" vertical="center" indent="1" readingOrder="2"/>
    </xf>
    <xf numFmtId="4" fontId="27" fillId="4" borderId="15" xfId="3" applyNumberFormat="1" applyFont="1" applyFill="1" applyBorder="1" applyAlignment="1">
      <alignment horizontal="center" vertical="center" shrinkToFit="1"/>
    </xf>
    <xf numFmtId="3" fontId="28" fillId="4" borderId="15" xfId="3" applyNumberFormat="1" applyFont="1" applyFill="1" applyBorder="1" applyAlignment="1">
      <alignment horizontal="right" vertical="center" indent="1" shrinkToFit="1"/>
    </xf>
    <xf numFmtId="0" fontId="19" fillId="12" borderId="2" xfId="3" applyFont="1" applyFill="1" applyBorder="1" applyAlignment="1">
      <alignment horizontal="center" vertical="center" readingOrder="2"/>
    </xf>
    <xf numFmtId="0" fontId="19" fillId="4" borderId="3" xfId="3" applyFont="1" applyFill="1" applyBorder="1" applyAlignment="1">
      <alignment horizontal="center" vertical="center" readingOrder="2"/>
    </xf>
    <xf numFmtId="0" fontId="19" fillId="4" borderId="1" xfId="3" applyFont="1" applyFill="1" applyBorder="1" applyAlignment="1">
      <alignment horizontal="center" vertical="center" readingOrder="2"/>
    </xf>
    <xf numFmtId="0" fontId="1" fillId="4" borderId="2" xfId="2" applyFill="1" applyBorder="1" applyAlignment="1">
      <alignment shrinkToFit="1"/>
    </xf>
    <xf numFmtId="167" fontId="34" fillId="4" borderId="2" xfId="0" applyNumberFormat="1" applyFont="1" applyFill="1" applyBorder="1" applyAlignment="1">
      <alignment horizontal="right" vertical="center" indent="1"/>
    </xf>
    <xf numFmtId="9" fontId="18" fillId="4" borderId="51" xfId="5" applyFont="1" applyFill="1" applyBorder="1" applyAlignment="1">
      <alignment horizontal="center" vertical="center" readingOrder="1"/>
    </xf>
    <xf numFmtId="3" fontId="35" fillId="12" borderId="2" xfId="3" applyNumberFormat="1" applyFont="1" applyFill="1" applyBorder="1" applyAlignment="1">
      <alignment horizontal="right" vertical="center" shrinkToFit="1" readingOrder="2"/>
    </xf>
    <xf numFmtId="166" fontId="23" fillId="4" borderId="2" xfId="3" applyNumberFormat="1" applyFont="1" applyFill="1" applyBorder="1" applyAlignment="1">
      <alignment horizontal="center" vertical="center" shrinkToFit="1" readingOrder="2"/>
    </xf>
    <xf numFmtId="9" fontId="26" fillId="4" borderId="18" xfId="6" applyFont="1" applyFill="1" applyBorder="1" applyAlignment="1">
      <alignment horizontal="center" vertical="center"/>
    </xf>
    <xf numFmtId="9" fontId="26" fillId="4" borderId="54" xfId="6" applyFont="1" applyFill="1" applyBorder="1" applyAlignment="1">
      <alignment horizontal="center" vertical="center"/>
    </xf>
    <xf numFmtId="0" fontId="15" fillId="4" borderId="0" xfId="4" applyFill="1"/>
    <xf numFmtId="0" fontId="1" fillId="4" borderId="0" xfId="2" applyFill="1" applyAlignment="1">
      <alignment shrinkToFit="1"/>
    </xf>
    <xf numFmtId="43" fontId="2" fillId="4" borderId="0" xfId="1" applyFont="1" applyFill="1" applyAlignment="1">
      <alignment horizontal="center" vertical="center"/>
    </xf>
    <xf numFmtId="43" fontId="2" fillId="4" borderId="9" xfId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horizontal="center" vertical="center"/>
    </xf>
    <xf numFmtId="43" fontId="2" fillId="4" borderId="10" xfId="1" applyFont="1" applyFill="1" applyBorder="1" applyAlignment="1">
      <alignment horizontal="center" vertical="center"/>
    </xf>
    <xf numFmtId="43" fontId="2" fillId="4" borderId="0" xfId="1" applyFont="1" applyFill="1" applyBorder="1" applyAlignment="1">
      <alignment horizontal="center" vertical="center"/>
    </xf>
    <xf numFmtId="43" fontId="2" fillId="4" borderId="5" xfId="1" applyFont="1" applyFill="1" applyBorder="1" applyAlignment="1">
      <alignment horizontal="center" vertical="center"/>
    </xf>
    <xf numFmtId="43" fontId="2" fillId="4" borderId="6" xfId="1" applyFont="1" applyFill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9" fontId="1" fillId="4" borderId="1" xfId="7" applyFill="1" applyBorder="1" applyAlignment="1"/>
    <xf numFmtId="9" fontId="3" fillId="4" borderId="58" xfId="7" applyFont="1" applyFill="1" applyBorder="1" applyAlignment="1">
      <alignment horizontal="center" vertical="center"/>
    </xf>
    <xf numFmtId="166" fontId="35" fillId="12" borderId="2" xfId="3" applyNumberFormat="1" applyFont="1" applyFill="1" applyBorder="1" applyAlignment="1">
      <alignment horizontal="right" vertical="center" shrinkToFit="1" readingOrder="2"/>
    </xf>
    <xf numFmtId="0" fontId="38" fillId="4" borderId="58" xfId="0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0" fontId="39" fillId="2" borderId="7" xfId="0" applyFont="1" applyFill="1" applyBorder="1" applyAlignment="1">
      <alignment horizontal="center" vertical="center" wrapText="1"/>
    </xf>
    <xf numFmtId="43" fontId="39" fillId="4" borderId="5" xfId="1" applyFont="1" applyFill="1" applyBorder="1" applyAlignment="1">
      <alignment horizontal="center" vertical="center"/>
    </xf>
    <xf numFmtId="43" fontId="39" fillId="4" borderId="6" xfId="1" applyFont="1" applyFill="1" applyBorder="1" applyAlignment="1">
      <alignment horizontal="center" vertical="center"/>
    </xf>
    <xf numFmtId="43" fontId="39" fillId="4" borderId="1" xfId="1" applyFont="1" applyFill="1" applyBorder="1" applyAlignment="1">
      <alignment horizontal="center" vertical="center"/>
    </xf>
    <xf numFmtId="43" fontId="39" fillId="4" borderId="7" xfId="1" applyFont="1" applyFill="1" applyBorder="1" applyAlignment="1">
      <alignment horizontal="center" vertical="center"/>
    </xf>
    <xf numFmtId="43" fontId="39" fillId="4" borderId="3" xfId="1" applyFont="1" applyFill="1" applyBorder="1" applyAlignment="1">
      <alignment horizontal="center" vertical="center"/>
    </xf>
    <xf numFmtId="43" fontId="39" fillId="4" borderId="0" xfId="1" applyFont="1" applyFill="1" applyBorder="1" applyAlignment="1">
      <alignment horizontal="center" vertical="center"/>
    </xf>
    <xf numFmtId="0" fontId="39" fillId="2" borderId="60" xfId="0" applyFont="1" applyFill="1" applyBorder="1" applyAlignment="1">
      <alignment horizontal="center" vertical="center" wrapText="1"/>
    </xf>
    <xf numFmtId="0" fontId="39" fillId="2" borderId="61" xfId="0" applyFont="1" applyFill="1" applyBorder="1" applyAlignment="1">
      <alignment horizontal="center" vertical="center" wrapText="1"/>
    </xf>
    <xf numFmtId="43" fontId="39" fillId="4" borderId="62" xfId="1" applyFont="1" applyFill="1" applyBorder="1" applyAlignment="1">
      <alignment horizontal="center" vertical="center"/>
    </xf>
    <xf numFmtId="43" fontId="39" fillId="4" borderId="63" xfId="1" applyFont="1" applyFill="1" applyBorder="1" applyAlignment="1">
      <alignment horizontal="center" vertical="center"/>
    </xf>
    <xf numFmtId="43" fontId="39" fillId="4" borderId="64" xfId="1" applyFont="1" applyFill="1" applyBorder="1" applyAlignment="1">
      <alignment horizontal="center" vertical="center"/>
    </xf>
    <xf numFmtId="43" fontId="39" fillId="4" borderId="65" xfId="1" applyFont="1" applyFill="1" applyBorder="1" applyAlignment="1">
      <alignment horizontal="center" vertical="center"/>
    </xf>
    <xf numFmtId="43" fontId="39" fillId="4" borderId="60" xfId="1" applyFont="1" applyFill="1" applyBorder="1" applyAlignment="1">
      <alignment horizontal="center" vertical="center"/>
    </xf>
    <xf numFmtId="43" fontId="39" fillId="4" borderId="61" xfId="1" applyFont="1" applyFill="1" applyBorder="1" applyAlignment="1">
      <alignment horizontal="center" vertical="center"/>
    </xf>
    <xf numFmtId="0" fontId="41" fillId="2" borderId="10" xfId="0" applyFont="1" applyFill="1" applyBorder="1" applyAlignment="1">
      <alignment horizontal="center" vertical="center"/>
    </xf>
    <xf numFmtId="0" fontId="41" fillId="2" borderId="8" xfId="0" applyFont="1" applyFill="1" applyBorder="1" applyAlignment="1">
      <alignment horizontal="center" vertical="center"/>
    </xf>
    <xf numFmtId="0" fontId="39" fillId="2" borderId="59" xfId="0" applyFont="1" applyFill="1" applyBorder="1" applyAlignment="1">
      <alignment horizontal="center" vertical="center" wrapText="1"/>
    </xf>
    <xf numFmtId="2" fontId="41" fillId="4" borderId="67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2" fontId="41" fillId="4" borderId="66" xfId="0" applyNumberFormat="1" applyFont="1" applyFill="1" applyBorder="1" applyAlignment="1">
      <alignment horizontal="center" vertical="center"/>
    </xf>
    <xf numFmtId="0" fontId="41" fillId="2" borderId="9" xfId="0" applyFont="1" applyFill="1" applyBorder="1" applyAlignment="1">
      <alignment horizontal="center" vertical="center"/>
    </xf>
    <xf numFmtId="2" fontId="41" fillId="4" borderId="59" xfId="0" applyNumberFormat="1" applyFont="1" applyFill="1" applyBorder="1" applyAlignment="1">
      <alignment horizontal="center" vertical="center"/>
    </xf>
    <xf numFmtId="166" fontId="20" fillId="4" borderId="2" xfId="3" applyNumberFormat="1" applyFont="1" applyFill="1" applyBorder="1" applyAlignment="1">
      <alignment horizontal="right" vertical="center" indent="1" readingOrder="2"/>
    </xf>
    <xf numFmtId="166" fontId="30" fillId="4" borderId="2" xfId="3" applyNumberFormat="1" applyFont="1" applyFill="1" applyBorder="1" applyAlignment="1">
      <alignment horizontal="right" vertical="center" indent="1" readingOrder="2"/>
    </xf>
    <xf numFmtId="3" fontId="30" fillId="4" borderId="2" xfId="3" applyNumberFormat="1" applyFont="1" applyFill="1" applyBorder="1" applyAlignment="1">
      <alignment horizontal="right" vertical="center" indent="1" readingOrder="2"/>
    </xf>
    <xf numFmtId="3" fontId="36" fillId="4" borderId="2" xfId="3" applyNumberFormat="1" applyFont="1" applyFill="1" applyBorder="1" applyAlignment="1">
      <alignment horizontal="right" vertical="center" indent="1" readingOrder="2"/>
    </xf>
    <xf numFmtId="9" fontId="21" fillId="4" borderId="51" xfId="5" applyFont="1" applyFill="1" applyBorder="1" applyAlignment="1">
      <alignment horizontal="center" vertical="center" readingOrder="1"/>
    </xf>
    <xf numFmtId="9" fontId="21" fillId="4" borderId="2" xfId="5" applyFont="1" applyFill="1" applyBorder="1" applyAlignment="1">
      <alignment horizontal="center" vertical="center" readingOrder="1"/>
    </xf>
    <xf numFmtId="3" fontId="22" fillId="11" borderId="52" xfId="3" applyNumberFormat="1" applyFont="1" applyFill="1" applyBorder="1" applyAlignment="1">
      <alignment horizontal="right" vertical="center" indent="2" readingOrder="2"/>
    </xf>
    <xf numFmtId="3" fontId="20" fillId="4" borderId="2" xfId="3" applyNumberFormat="1" applyFont="1" applyFill="1" applyBorder="1" applyAlignment="1">
      <alignment horizontal="right" vertical="center" indent="1" readingOrder="2"/>
    </xf>
    <xf numFmtId="3" fontId="24" fillId="4" borderId="11" xfId="3" applyNumberFormat="1" applyFont="1" applyFill="1" applyBorder="1" applyAlignment="1">
      <alignment horizontal="right" vertical="center" indent="1" readingOrder="2"/>
    </xf>
    <xf numFmtId="3" fontId="24" fillId="4" borderId="2" xfId="3" applyNumberFormat="1" applyFont="1" applyFill="1" applyBorder="1" applyAlignment="1">
      <alignment horizontal="right" vertical="center" indent="1" readingOrder="2"/>
    </xf>
    <xf numFmtId="166" fontId="23" fillId="4" borderId="51" xfId="3" applyNumberFormat="1" applyFont="1" applyFill="1" applyBorder="1" applyAlignment="1">
      <alignment horizontal="center" vertical="center" readingOrder="2"/>
    </xf>
    <xf numFmtId="9" fontId="21" fillId="4" borderId="53" xfId="5" applyFont="1" applyFill="1" applyBorder="1" applyAlignment="1">
      <alignment horizontal="center" vertical="center" readingOrder="1"/>
    </xf>
    <xf numFmtId="3" fontId="22" fillId="9" borderId="52" xfId="3" applyNumberFormat="1" applyFont="1" applyFill="1" applyBorder="1" applyAlignment="1">
      <alignment horizontal="right" vertical="center" indent="1" readingOrder="2"/>
    </xf>
    <xf numFmtId="9" fontId="26" fillId="4" borderId="52" xfId="6" applyFont="1" applyFill="1" applyBorder="1" applyAlignment="1">
      <alignment horizontal="center" vertical="center"/>
    </xf>
    <xf numFmtId="4" fontId="27" fillId="4" borderId="2" xfId="3" applyNumberFormat="1" applyFont="1" applyFill="1" applyBorder="1" applyAlignment="1">
      <alignment horizontal="center" vertical="center" shrinkToFit="1"/>
    </xf>
    <xf numFmtId="3" fontId="28" fillId="4" borderId="2" xfId="3" applyNumberFormat="1" applyFont="1" applyFill="1" applyBorder="1" applyAlignment="1">
      <alignment horizontal="right" vertical="center" indent="1" shrinkToFit="1"/>
    </xf>
    <xf numFmtId="0" fontId="42" fillId="4" borderId="4" xfId="3" applyFont="1" applyFill="1" applyBorder="1" applyAlignment="1">
      <alignment horizontal="center" vertical="center" readingOrder="2"/>
    </xf>
    <xf numFmtId="0" fontId="43" fillId="4" borderId="0" xfId="2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0" fillId="2" borderId="3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right" vertical="center" indent="1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right" vertical="center" indent="1"/>
    </xf>
    <xf numFmtId="0" fontId="6" fillId="5" borderId="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 indent="1"/>
    </xf>
    <xf numFmtId="0" fontId="37" fillId="4" borderId="0" xfId="2" applyFont="1" applyFill="1" applyAlignment="1">
      <alignment horizontal="center" vertical="center" textRotation="180"/>
    </xf>
    <xf numFmtId="0" fontId="11" fillId="8" borderId="19" xfId="4" applyFont="1" applyFill="1" applyBorder="1" applyAlignment="1">
      <alignment horizontal="center" vertical="center"/>
    </xf>
    <xf numFmtId="0" fontId="11" fillId="8" borderId="15" xfId="4" applyFont="1" applyFill="1" applyBorder="1" applyAlignment="1">
      <alignment horizontal="center" vertical="center"/>
    </xf>
    <xf numFmtId="0" fontId="11" fillId="8" borderId="20" xfId="4" applyFont="1" applyFill="1" applyBorder="1" applyAlignment="1">
      <alignment horizontal="center" vertical="center"/>
    </xf>
    <xf numFmtId="3" fontId="10" fillId="6" borderId="5" xfId="3" applyNumberFormat="1" applyFont="1" applyFill="1" applyBorder="1" applyAlignment="1">
      <alignment horizontal="center" vertical="center" wrapText="1"/>
    </xf>
    <xf numFmtId="3" fontId="10" fillId="6" borderId="7" xfId="3" applyNumberFormat="1" applyFont="1" applyFill="1" applyBorder="1" applyAlignment="1">
      <alignment horizontal="center" vertical="center" wrapText="1"/>
    </xf>
    <xf numFmtId="3" fontId="12" fillId="6" borderId="16" xfId="3" applyNumberFormat="1" applyFont="1" applyFill="1" applyBorder="1" applyAlignment="1">
      <alignment horizontal="center" vertical="center" wrapText="1"/>
    </xf>
    <xf numFmtId="3" fontId="12" fillId="6" borderId="22" xfId="3" applyNumberFormat="1" applyFont="1" applyFill="1" applyBorder="1" applyAlignment="1">
      <alignment horizontal="center" vertical="center" wrapText="1"/>
    </xf>
    <xf numFmtId="3" fontId="12" fillId="6" borderId="17" xfId="3" applyNumberFormat="1" applyFont="1" applyFill="1" applyBorder="1" applyAlignment="1">
      <alignment horizontal="center" vertical="center" wrapText="1"/>
    </xf>
    <xf numFmtId="3" fontId="12" fillId="6" borderId="23" xfId="3" applyNumberFormat="1" applyFont="1" applyFill="1" applyBorder="1" applyAlignment="1">
      <alignment horizontal="center" vertical="center" wrapText="1"/>
    </xf>
    <xf numFmtId="3" fontId="13" fillId="7" borderId="18" xfId="3" applyNumberFormat="1" applyFont="1" applyFill="1" applyBorder="1" applyAlignment="1">
      <alignment horizontal="center" vertical="center" wrapText="1"/>
    </xf>
    <xf numFmtId="3" fontId="13" fillId="7" borderId="24" xfId="3" applyNumberFormat="1" applyFont="1" applyFill="1" applyBorder="1" applyAlignment="1">
      <alignment horizontal="center" vertical="center" wrapText="1"/>
    </xf>
    <xf numFmtId="0" fontId="1" fillId="4" borderId="1" xfId="2" applyFill="1" applyBorder="1" applyAlignment="1">
      <alignment horizontal="center"/>
    </xf>
    <xf numFmtId="0" fontId="11" fillId="8" borderId="19" xfId="4" applyFont="1" applyFill="1" applyBorder="1" applyAlignment="1">
      <alignment horizontal="center" vertical="center" wrapText="1"/>
    </xf>
    <xf numFmtId="0" fontId="11" fillId="8" borderId="15" xfId="4" applyFont="1" applyFill="1" applyBorder="1" applyAlignment="1">
      <alignment horizontal="center" vertical="center" wrapText="1"/>
    </xf>
    <xf numFmtId="0" fontId="11" fillId="8" borderId="20" xfId="4" applyFont="1" applyFill="1" applyBorder="1" applyAlignment="1">
      <alignment horizontal="center" vertical="center" wrapText="1"/>
    </xf>
    <xf numFmtId="3" fontId="11" fillId="6" borderId="15" xfId="3" applyNumberFormat="1" applyFont="1" applyFill="1" applyBorder="1" applyAlignment="1">
      <alignment horizontal="center" vertical="center" wrapText="1"/>
    </xf>
    <xf numFmtId="3" fontId="11" fillId="6" borderId="19" xfId="3" applyNumberFormat="1" applyFont="1" applyFill="1" applyBorder="1" applyAlignment="1">
      <alignment horizontal="center" vertical="center" wrapText="1"/>
    </xf>
    <xf numFmtId="3" fontId="11" fillId="6" borderId="57" xfId="3" applyNumberFormat="1" applyFont="1" applyFill="1" applyBorder="1" applyAlignment="1">
      <alignment horizontal="center" vertical="center" wrapText="1"/>
    </xf>
    <xf numFmtId="166" fontId="20" fillId="4" borderId="35" xfId="3" applyNumberFormat="1" applyFont="1" applyFill="1" applyBorder="1" applyAlignment="1">
      <alignment horizontal="right" vertical="center" indent="1" readingOrder="2"/>
    </xf>
    <xf numFmtId="166" fontId="20" fillId="4" borderId="10" xfId="3" applyNumberFormat="1" applyFont="1" applyFill="1" applyBorder="1" applyAlignment="1">
      <alignment horizontal="right" vertical="center" indent="1" readingOrder="2"/>
    </xf>
    <xf numFmtId="166" fontId="20" fillId="4" borderId="9" xfId="3" applyNumberFormat="1" applyFont="1" applyFill="1" applyBorder="1" applyAlignment="1">
      <alignment horizontal="right" vertical="center" indent="1" readingOrder="2"/>
    </xf>
  </cellXfs>
  <cellStyles count="8">
    <cellStyle name="Comma" xfId="1" builtinId="3"/>
    <cellStyle name="Normal" xfId="0" builtinId="0"/>
    <cellStyle name="Normal 2 2" xfId="3" xr:uid="{5366C649-9A0D-4B10-ADF4-51CBD874BEC1}"/>
    <cellStyle name="Normal 4 2" xfId="4" xr:uid="{B583C205-759A-4461-B182-5957958A3B8A}"/>
    <cellStyle name="Normal 6 3" xfId="2" xr:uid="{87681260-4797-49F2-9D0F-E52D409325C0}"/>
    <cellStyle name="Percent" xfId="7" builtinId="5"/>
    <cellStyle name="Percent 2" xfId="6" xr:uid="{4966D635-4207-436F-9FB3-E3D2A26DDC6C}"/>
    <cellStyle name="Percent 5 2 2" xfId="5" xr:uid="{2FB2DC56-71FA-467A-963C-3A131623D3E2}"/>
  </cellStyles>
  <dxfs count="322"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602;&#1585;&#1607;%20&#1576;&#1575;&#159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(9700)_12-SABAK_Fazaye-Sabz$\02_%20Old%20in%20LapTop\_0%200000%20%200_Courses%2093-94\1393%2004-Irrigation\07%2093.08.10_Soil-Prpperties\0_13-Spring%201386\0_Drought%20Project\0_MEHDI_1\EXCEL\OMOUR\DATAENT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àسه 5"/>
      <sheetName val="àسه 7"/>
      <sheetName val="àسه 8"/>
      <sheetName val="ءوآنéش لسè بآك"/>
      <sheetName val="حرçن ءوآنéش 81"/>
      <sheetName val="حرçن ءوآنéش حرéر"/>
      <sheetName val="ضغد ءب آظنé "/>
      <sheetName val="Chart4"/>
      <sheetName val="Chart1"/>
      <sheetName val="Chart2"/>
      <sheetName val="ضغد ءب لسè بآك  بآ دآèèآé دزàé"/>
      <sheetName val="Sheet1"/>
      <sheetName val="Chart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dv-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سçرءهآس"/>
      <sheetName val="àسه هآèآوè"/>
      <sheetName val="هطذظآت خآèèآé هطآèرè آé "/>
    </sheetNames>
    <sheetDataSet>
      <sheetData sheetId="0">
        <row r="2">
          <cell r="C2" t="str">
            <v>ظçست هلآéضè ءهآس خآèèآ رس ضآن 73 ç çسçر بè سآéآوè تآ تéسهآè  77</v>
          </cell>
        </row>
        <row r="3">
          <cell r="C3" t="str">
            <v>ظàدè  1</v>
          </cell>
        </row>
        <row r="4">
          <cell r="C4" t="str">
            <v>هنآدفآت</v>
          </cell>
          <cell r="D4" t="str">
            <v>âوتسن</v>
          </cell>
          <cell r="E4" t="str">
            <v xml:space="preserve">çآسر âوورè </v>
          </cell>
          <cell r="F4" t="str">
            <v xml:space="preserve">çآسر سآéآوè طرè رس ضآن 76 </v>
          </cell>
          <cell r="G4" t="str">
            <v>ءهآسبسرآسé  ضآن 73</v>
          </cell>
          <cell r="H4" t="str">
            <v>âر رطت</v>
          </cell>
          <cell r="I4" t="str">
            <v>وآه رطت</v>
          </cell>
          <cell r="J4" t="str">
            <v xml:space="preserve"> سرéà</v>
          </cell>
        </row>
        <row r="5">
          <cell r="E5" t="str">
            <v>تçâنé</v>
          </cell>
          <cell r="F5">
            <v>589</v>
          </cell>
          <cell r="G5">
            <v>591</v>
          </cell>
          <cell r="H5">
            <v>2423</v>
          </cell>
          <cell r="I5" t="str">
            <v>وçسءبآر</v>
          </cell>
          <cell r="J5">
            <v>1</v>
          </cell>
        </row>
        <row r="6">
          <cell r="E6" t="str">
            <v>تçâنé</v>
          </cell>
          <cell r="F6">
            <v>248</v>
          </cell>
          <cell r="G6">
            <v>248</v>
          </cell>
          <cell r="H6">
            <v>2422</v>
          </cell>
          <cell r="I6" t="str">
            <v>àèنéآو</v>
          </cell>
          <cell r="J6">
            <v>2</v>
          </cell>
          <cell r="T6" t="str">
            <v>مشآسط زذéسè ءهآس هوآبق ءب رس سآéآوè آهçس هغآ نقآت تçضغ èهâآسآو رس هآè                          ضآن         13.</v>
          </cell>
          <cell r="U6" t="str">
            <v xml:space="preserve">مسآط </v>
          </cell>
          <cell r="V6">
            <v>37</v>
          </cell>
        </row>
        <row r="7">
          <cell r="E7" t="str">
            <v>تçâنé</v>
          </cell>
          <cell r="F7">
            <v>513</v>
          </cell>
          <cell r="G7">
            <v>513</v>
          </cell>
          <cell r="H7">
            <v>2424</v>
          </cell>
          <cell r="I7" t="str">
            <v>هسآضذçو</v>
          </cell>
          <cell r="J7">
            <v>3</v>
          </cell>
          <cell r="T7" t="str">
            <v>هنآدفآت</v>
          </cell>
          <cell r="U7" t="str">
            <v>آçش</v>
          </cell>
          <cell r="V7">
            <v>38</v>
          </cell>
          <cell r="W7" t="str">
            <v>سله هآè لبن</v>
          </cell>
          <cell r="X7" t="str">
            <v>âر رطت</v>
          </cell>
          <cell r="Y7" t="str">
            <v>وآه رطت</v>
          </cell>
          <cell r="Z7" t="str">
            <v>وآه ذآوçآرمé</v>
          </cell>
          <cell r="AA7" t="str">
            <v>سرéà</v>
          </cell>
        </row>
        <row r="8">
          <cell r="C8" t="str">
            <v>çسçر وآتهآه</v>
          </cell>
          <cell r="E8" t="str">
            <v>تçâنé</v>
          </cell>
          <cell r="F8">
            <v>1076</v>
          </cell>
          <cell r="G8">
            <v>1076</v>
          </cell>
          <cell r="H8">
            <v>2733</v>
          </cell>
          <cell r="I8" t="str">
            <v xml:space="preserve">رآسآب çلنقè بéآبآو </v>
          </cell>
          <cell r="J8">
            <v>4</v>
          </cell>
          <cell r="T8">
            <v>2645</v>
          </cell>
          <cell r="U8" t="str">
            <v xml:space="preserve">ذوح </v>
          </cell>
          <cell r="V8">
            <v>39</v>
          </cell>
          <cell r="AA8">
            <v>1</v>
          </cell>
        </row>
        <row r="9">
          <cell r="E9" t="str">
            <v>آضàورéآسé</v>
          </cell>
          <cell r="F9">
            <v>292</v>
          </cell>
          <cell r="G9">
            <v>284</v>
          </cell>
          <cell r="H9">
            <v>2421</v>
          </cell>
          <cell r="I9" t="str">
            <v>èهآéحآو ضةéرآو</v>
          </cell>
          <cell r="J9">
            <v>5</v>
          </cell>
          <cell r="T9">
            <v>2644</v>
          </cell>
          <cell r="U9" t="str">
            <v>èçرçبéرطèس</v>
          </cell>
          <cell r="V9">
            <v>40</v>
          </cell>
          <cell r="AA9">
            <v>2</v>
          </cell>
        </row>
        <row r="10">
          <cell r="E10" t="str">
            <v>آضàورéآسé</v>
          </cell>
          <cell r="F10">
            <v>1145</v>
          </cell>
          <cell r="G10">
            <v>1295</v>
          </cell>
          <cell r="H10">
            <v>2615</v>
          </cell>
          <cell r="I10" t="str">
            <v>âçآس</v>
          </cell>
          <cell r="J10">
            <v>6</v>
          </cell>
          <cell r="T10">
            <v>2633</v>
          </cell>
          <cell r="U10" t="str">
            <v xml:space="preserve">رèâçéè ç âçسرè </v>
          </cell>
          <cell r="V10">
            <v>41</v>
          </cell>
          <cell r="AA10">
            <v>3</v>
          </cell>
        </row>
        <row r="11">
          <cell r="C11" t="str">
            <v>çسçر وآتهآه</v>
          </cell>
          <cell r="E11" t="str">
            <v>آضàورéآسé</v>
          </cell>
          <cell r="F11">
            <v>1380</v>
          </cell>
          <cell r="G11">
            <v>1449</v>
          </cell>
          <cell r="H11">
            <v>4331</v>
          </cell>
          <cell r="I11" t="str">
            <v>طéسآش</v>
          </cell>
          <cell r="J11">
            <v>7</v>
          </cell>
          <cell r="T11">
            <v>2633</v>
          </cell>
          <cell r="U11" t="str">
            <v xml:space="preserve">àéرçéè ç مسهطت </v>
          </cell>
          <cell r="V11">
            <v>42</v>
          </cell>
          <cell r="AA11">
            <v>4</v>
          </cell>
        </row>
        <row r="12">
          <cell r="E12" t="str">
            <v>آبسآèéهé</v>
          </cell>
          <cell r="F12">
            <v>684</v>
          </cell>
          <cell r="G12">
            <v>614</v>
          </cell>
          <cell r="H12">
            <v>2534</v>
          </cell>
          <cell r="I12" t="str">
            <v>àسآطبور</v>
          </cell>
          <cell r="J12">
            <v>8</v>
          </cell>
          <cell r="T12">
            <v>4323</v>
          </cell>
          <cell r="U12" t="str">
            <v>وé سéش</v>
          </cell>
          <cell r="V12">
            <v>43</v>
          </cell>
          <cell r="AA12">
            <v>5</v>
          </cell>
        </row>
        <row r="13">
          <cell r="E13" t="str">
            <v>آبسآèéهé</v>
          </cell>
          <cell r="F13">
            <v>242</v>
          </cell>
          <cell r="G13">
            <v>249</v>
          </cell>
          <cell r="H13">
            <v>2535</v>
          </cell>
          <cell r="I13" t="str">
            <v>ذآوéâ çوçحéو</v>
          </cell>
          <cell r="J13">
            <v>9</v>
          </cell>
          <cell r="T13">
            <v>4931</v>
          </cell>
          <cell r="U13" t="str">
            <v xml:space="preserve">ةطتâçè </v>
          </cell>
          <cell r="V13">
            <v>44</v>
          </cell>
          <cell r="AA13">
            <v>6</v>
          </cell>
        </row>
        <row r="14">
          <cell r="E14" t="str">
            <v>آبسآèéهé</v>
          </cell>
          <cell r="F14">
            <v>558</v>
          </cell>
          <cell r="G14">
            <v>496</v>
          </cell>
          <cell r="H14">
            <v>4313</v>
          </cell>
          <cell r="I14" t="str">
            <v>ضقآرت طèس</v>
          </cell>
          <cell r="J14">
            <v>10</v>
          </cell>
          <cell r="T14">
            <v>4932</v>
          </cell>
          <cell r="U14" t="str">
            <v xml:space="preserve">لغسçéè </v>
          </cell>
          <cell r="V14">
            <v>45</v>
          </cell>
          <cell r="AA14">
            <v>7</v>
          </cell>
        </row>
        <row r="15">
          <cell r="E15" t="str">
            <v>èçطéآس</v>
          </cell>
          <cell r="F15">
            <v>2045</v>
          </cell>
          <cell r="G15">
            <v>3687</v>
          </cell>
          <cell r="H15">
            <v>4319</v>
          </cell>
          <cell r="I15" t="str">
            <v>هسçرطت çâسبآن</v>
          </cell>
          <cell r="J15">
            <v>11</v>
          </cell>
          <cell r="T15">
            <v>2722</v>
          </cell>
          <cell r="U15" t="str">
            <v>نآهسر ç منè رآس</v>
          </cell>
          <cell r="V15">
            <v>46</v>
          </cell>
          <cell r="AA15">
            <v>8</v>
          </cell>
        </row>
        <row r="16">
          <cell r="C16" t="str">
            <v>çسçر وآتهآه</v>
          </cell>
          <cell r="E16" t="str">
            <v>èçطéآس</v>
          </cell>
          <cell r="F16">
            <v>1809</v>
          </cell>
          <cell r="G16">
            <v>1967</v>
          </cell>
          <cell r="H16">
            <v>4321</v>
          </cell>
          <cell r="I16" t="str">
            <v>آسضوحآو çتçآبق</v>
          </cell>
          <cell r="J16">
            <v>12</v>
          </cell>
          <cell r="T16">
            <v>2634</v>
          </cell>
          <cell r="U16" t="str">
            <v xml:space="preserve">قنآأهسçرطت ç àرآك ç بéسه ç رآسآنهéشآو  </v>
          </cell>
          <cell r="V16">
            <v>47</v>
          </cell>
          <cell r="AA16">
            <v>9</v>
          </cell>
        </row>
        <row r="17">
          <cell r="E17" t="str">
            <v>àآذسé</v>
          </cell>
          <cell r="F17">
            <v>1839</v>
          </cell>
          <cell r="G17">
            <v>1837</v>
          </cell>
          <cell r="H17">
            <v>2523</v>
          </cell>
          <cell r="I17" t="str">
            <v>âآشسçو</v>
          </cell>
          <cell r="J17">
            <v>14</v>
          </cell>
          <cell r="T17">
            <v>4911</v>
          </cell>
          <cell r="U17" t="str">
            <v xml:space="preserve">ءبآرè </v>
          </cell>
          <cell r="V17">
            <v>48</v>
          </cell>
          <cell r="AA17">
            <v>10</v>
          </cell>
        </row>
        <row r="18">
          <cell r="C18" t="str">
            <v>çسçر وآتهآه</v>
          </cell>
          <cell r="E18" t="str">
            <v>àآذسé</v>
          </cell>
          <cell r="F18">
            <v>764</v>
          </cell>
          <cell r="G18">
            <v>764</v>
          </cell>
          <cell r="H18">
            <v>4322</v>
          </cell>
          <cell r="I18" t="str">
            <v>ءبآرè غطâ</v>
          </cell>
          <cell r="J18">
            <v>15</v>
          </cell>
          <cell r="T18">
            <v>4312</v>
          </cell>
          <cell r="U18" t="str">
            <v>رè بéر</v>
          </cell>
          <cell r="V18">
            <v>49</v>
          </cell>
          <cell r="AA18">
            <v>11</v>
          </cell>
        </row>
        <row r="19">
          <cell r="C19" t="str">
            <v>çسçر وآتهآه</v>
          </cell>
          <cell r="E19" t="str">
            <v>لèسهآوé</v>
          </cell>
          <cell r="F19">
            <v>1303</v>
          </cell>
          <cell r="G19">
            <v>1351</v>
          </cell>
          <cell r="H19">
            <v>4311</v>
          </cell>
          <cell r="I19" t="str">
            <v>وهرآو</v>
          </cell>
          <cell r="J19">
            <v>16</v>
          </cell>
          <cell r="T19">
            <v>4333</v>
          </cell>
          <cell r="U19" t="str">
            <v xml:space="preserve">ضسçضتآو </v>
          </cell>
          <cell r="V19">
            <v>50</v>
          </cell>
          <cell r="AA19">
            <v>12</v>
          </cell>
        </row>
        <row r="20">
          <cell r="C20" t="str">
            <v>çسçر وآتهآه</v>
          </cell>
          <cell r="E20" t="str">
            <v>قغآسشآرè</v>
          </cell>
          <cell r="F20">
            <v>394</v>
          </cell>
          <cell r="G20">
            <v>393</v>
          </cell>
          <cell r="H20">
            <v>2737</v>
          </cell>
          <cell r="I20" t="str">
            <v>رسشç ضآéبآو</v>
          </cell>
          <cell r="J20">
            <v>17</v>
          </cell>
          <cell r="T20">
            <v>4332</v>
          </cell>
          <cell r="U20" t="str">
            <v xml:space="preserve">لسè بآك </v>
          </cell>
          <cell r="V20">
            <v>51</v>
          </cell>
          <cell r="AA20">
            <v>13</v>
          </cell>
        </row>
        <row r="21">
          <cell r="E21" t="str">
            <v>قغآسشآرè</v>
          </cell>
          <cell r="F21">
            <v>319</v>
          </cell>
          <cell r="G21">
            <v>318</v>
          </cell>
          <cell r="H21">
            <v>2738</v>
          </cell>
          <cell r="I21" t="str">
            <v>ظدسآé بآك</v>
          </cell>
          <cell r="J21">
            <v>18</v>
          </cell>
          <cell r="T21">
            <v>2614</v>
          </cell>
          <cell r="U21" t="str">
            <v xml:space="preserve">ضéذ ç رآسومçو </v>
          </cell>
          <cell r="V21">
            <v>52</v>
          </cell>
          <cell r="AA21">
            <v>14</v>
          </cell>
        </row>
        <row r="22">
          <cell r="E22" t="str">
            <v>قغآسشآرè</v>
          </cell>
          <cell r="F22">
            <v>341</v>
          </cell>
          <cell r="G22">
            <v>341</v>
          </cell>
          <cell r="H22">
            <v>2731</v>
          </cell>
          <cell r="I22" t="str">
            <v>âèوè çةèوآçè</v>
          </cell>
          <cell r="J22">
            <v>19</v>
          </cell>
          <cell r="T22">
            <v>2510</v>
          </cell>
          <cell r="U22" t="str">
            <v xml:space="preserve">رطت آسصو </v>
          </cell>
          <cell r="V22">
            <v>53</v>
          </cell>
          <cell r="AA22">
            <v>15</v>
          </cell>
        </row>
        <row r="23">
          <cell r="C23" t="str">
            <v>çسçر وآتهآه</v>
          </cell>
          <cell r="E23" t="str">
            <v>قغآسشآرè</v>
          </cell>
          <cell r="F23">
            <v>445</v>
          </cell>
          <cell r="G23">
            <v>339</v>
          </cell>
          <cell r="H23">
            <v>2739</v>
          </cell>
          <cell r="I23" t="str">
            <v>نآس</v>
          </cell>
          <cell r="J23">
            <v>20</v>
          </cell>
          <cell r="T23">
            <v>4313</v>
          </cell>
          <cell r="U23" t="str">
            <v xml:space="preserve">ضسةوéسآو </v>
          </cell>
          <cell r="V23">
            <v>54</v>
          </cell>
          <cell r="AA23" t="str">
            <v>حهق</v>
          </cell>
        </row>
        <row r="24">
          <cell r="C24" t="str">
            <v>çسçر وآتهآه</v>
          </cell>
          <cell r="E24" t="str">
            <v>آهéس قعرé</v>
          </cell>
          <cell r="F24">
            <v>175</v>
          </cell>
          <cell r="G24">
            <v>175</v>
          </cell>
          <cell r="H24">
            <v>2521</v>
          </cell>
          <cell r="I24" t="str">
            <v>رطت بسه</v>
          </cell>
          <cell r="J24">
            <v>21</v>
          </cell>
        </row>
        <row r="25">
          <cell r="E25" t="str">
            <v>آهéس قعرé</v>
          </cell>
          <cell r="F25">
            <v>169</v>
          </cell>
          <cell r="G25">
            <v>171</v>
          </cell>
          <cell r="H25">
            <v>2522</v>
          </cell>
          <cell r="I25" t="str">
            <v>لآ اهéè</v>
          </cell>
          <cell r="J25">
            <v>22</v>
          </cell>
        </row>
        <row r="26">
          <cell r="E26" t="str">
            <v>آهéس قعرé</v>
          </cell>
          <cell r="F26">
            <v>316</v>
          </cell>
          <cell r="G26">
            <v>215</v>
          </cell>
          <cell r="H26">
            <v>2526</v>
          </cell>
          <cell r="I26" t="str">
            <v>ذطت</v>
          </cell>
          <cell r="J26">
            <v>23</v>
          </cell>
        </row>
        <row r="27">
          <cell r="E27" t="str">
            <v>آهéس قعرé</v>
          </cell>
          <cell r="F27">
            <v>11</v>
          </cell>
          <cell r="G27">
            <v>11</v>
          </cell>
          <cell r="H27">
            <v>2536</v>
          </cell>
          <cell r="I27" t="str">
            <v>حسè بآنآرè</v>
          </cell>
          <cell r="J27">
            <v>24</v>
          </cell>
        </row>
        <row r="28">
          <cell r="E28" t="str">
            <v>آهéس قعرé</v>
          </cell>
          <cell r="F28">
            <v>99</v>
          </cell>
          <cell r="G28">
            <v>99</v>
          </cell>
          <cell r="H28">
            <v>2537</v>
          </cell>
          <cell r="I28" t="str">
            <v>رآرéو</v>
          </cell>
          <cell r="J28">
            <v>25</v>
          </cell>
        </row>
        <row r="29">
          <cell r="E29" t="str">
            <v>آهéس قعرé</v>
          </cell>
          <cell r="F29">
            <v>85</v>
          </cell>
          <cell r="G29">
            <v>82</v>
          </cell>
          <cell r="H29">
            <v>2533</v>
          </cell>
          <cell r="I29" t="str">
            <v>بنبنâ çرسçوâ</v>
          </cell>
          <cell r="J29">
            <v>26</v>
          </cell>
        </row>
        <row r="30">
          <cell r="E30" t="str">
            <v>آهéس قعرé</v>
          </cell>
          <cell r="F30">
            <v>9</v>
          </cell>
          <cell r="G30">
            <v>9</v>
          </cell>
          <cell r="H30">
            <v>2525</v>
          </cell>
          <cell r="I30" t="str">
            <v>âهآسح</v>
          </cell>
          <cell r="J30">
            <v>27</v>
          </cell>
        </row>
        <row r="31">
          <cell r="C31" t="str">
            <v>çسçر وآتهآه</v>
          </cell>
          <cell r="E31" t="str">
            <v>آهéس قعرé</v>
          </cell>
          <cell r="F31">
            <v>1137</v>
          </cell>
          <cell r="G31">
            <v>1195</v>
          </cell>
          <cell r="H31">
            <v>4316</v>
          </cell>
          <cell r="I31" t="str">
            <v>ذàسâ ضéرآو</v>
          </cell>
          <cell r="J31">
            <v>28</v>
          </cell>
        </row>
        <row r="32">
          <cell r="C32" t="str">
            <v>çسçر وآتهآه</v>
          </cell>
          <cell r="E32" t="str">
            <v>ءظàé</v>
          </cell>
          <cell r="F32">
            <v>255</v>
          </cell>
          <cell r="G32">
            <v>1195</v>
          </cell>
          <cell r="H32">
            <v>2612</v>
          </cell>
          <cell r="I32" t="str">
            <v>ذغéسé</v>
          </cell>
          <cell r="J32">
            <v>29</v>
          </cell>
        </row>
        <row r="33">
          <cell r="E33" t="str">
            <v>ءظàé</v>
          </cell>
          <cell r="F33">
            <v>221</v>
          </cell>
          <cell r="H33">
            <v>2613</v>
          </cell>
          <cell r="I33" t="str">
            <v>ذآوè ذبéض</v>
          </cell>
          <cell r="J33">
            <v>30</v>
          </cell>
        </row>
        <row r="34">
          <cell r="E34" t="str">
            <v>ءظàé</v>
          </cell>
          <cell r="F34">
            <v>604</v>
          </cell>
          <cell r="G34">
            <v>493</v>
          </cell>
          <cell r="H34">
            <v>4317</v>
          </cell>
          <cell r="I34" t="str">
            <v>ءضةآض</v>
          </cell>
          <cell r="J34">
            <v>31</v>
          </cell>
        </row>
        <row r="35">
          <cell r="E35" t="str">
            <v>ءظàé</v>
          </cell>
          <cell r="F35">
            <v>187</v>
          </cell>
          <cell r="G35">
            <v>187</v>
          </cell>
          <cell r="H35">
            <v>4922</v>
          </cell>
          <cell r="I35" t="str">
            <v>ضسخآèآو</v>
          </cell>
          <cell r="J35">
            <v>32</v>
          </cell>
        </row>
        <row r="36">
          <cell r="E36" t="str">
            <v>ءظàé</v>
          </cell>
          <cell r="F36">
            <v>94</v>
          </cell>
          <cell r="G36">
            <v>94</v>
          </cell>
          <cell r="H36">
            <v>4921</v>
          </cell>
          <cell r="I36" t="str">
            <v>بçآوآت</v>
          </cell>
          <cell r="J36">
            <v>33</v>
          </cell>
        </row>
        <row r="37">
          <cell r="C37" t="str">
            <v>çسçر وآتهآه</v>
          </cell>
          <cell r="E37" t="str">
            <v>ءظàé</v>
          </cell>
          <cell r="F37">
            <v>387</v>
          </cell>
          <cell r="G37">
            <v>393</v>
          </cell>
          <cell r="H37">
            <v>2642</v>
          </cell>
          <cell r="I37" t="str">
            <v>حçéه çبوآسçéè</v>
          </cell>
          <cell r="J37">
            <v>34</v>
          </cell>
        </row>
        <row r="38">
          <cell r="C38" t="str">
            <v>çسçر وآتهآه</v>
          </cell>
          <cell r="E38" t="str">
            <v>حهق âن تآ 76/6/13</v>
          </cell>
          <cell r="F38">
            <v>0</v>
          </cell>
          <cell r="G38">
            <v>2631</v>
          </cell>
          <cell r="H38">
            <v>2631</v>
          </cell>
          <cell r="I38" t="str">
            <v>ضéà ءبآرçنآكس</v>
          </cell>
          <cell r="J38">
            <v>35</v>
          </cell>
        </row>
        <row r="39">
          <cell r="E39" t="str">
            <v>حهق âن تآ 76/6/13</v>
          </cell>
          <cell r="F39">
            <v>19735</v>
          </cell>
          <cell r="G39">
            <v>25208</v>
          </cell>
          <cell r="J39">
            <v>35</v>
          </cell>
        </row>
        <row r="83">
          <cell r="CY83" t="str">
            <v xml:space="preserve">بسوآ هè  èàتمé  çسçر ءهآس ضغد ءب خآ èèآé  هطآ èرè آé  ç ءهآس  هوآبق  ءب  شéس شهéوé </v>
          </cell>
        </row>
        <row r="87">
          <cell r="CY87" t="str">
            <v xml:space="preserve"> آش 15 طèسéçس هآè 1376</v>
          </cell>
        </row>
        <row r="90">
          <cell r="CY90" t="str">
            <v>17.30 تآ 18.45</v>
          </cell>
          <cell r="CZ90" t="str">
            <v>16.15 تآ 17.30</v>
          </cell>
          <cell r="DA90" t="str">
            <v>15 تآ 16.15</v>
          </cell>
          <cell r="DB90" t="str">
            <v xml:space="preserve"> 11 تآ 12</v>
          </cell>
          <cell r="DC90" t="str">
            <v>10  تآ 11</v>
          </cell>
          <cell r="DD90" t="str">
            <v>سçشèآé èàتـè</v>
          </cell>
        </row>
        <row r="91">
          <cell r="CY91" t="str">
            <v>آبسآèéهé</v>
          </cell>
          <cell r="CZ91" t="str">
            <v>حèآومéسé</v>
          </cell>
          <cell r="DA91" t="str">
            <v>آضàورéآسحèسهé</v>
          </cell>
          <cell r="DB91" t="str">
            <v>حèآومéسé</v>
          </cell>
          <cell r="DC91" t="str">
            <v>آضàورéآس حèسهé</v>
          </cell>
          <cell r="DD91" t="str">
            <v>طوبè</v>
          </cell>
        </row>
        <row r="92">
          <cell r="CY92" t="str">
            <v>ءظàé</v>
          </cell>
          <cell r="CZ92" t="str">
            <v>آ هéس قعرé</v>
          </cell>
          <cell r="DA92" t="str">
            <v>قغآسشآرè</v>
          </cell>
          <cell r="DB92" t="str">
            <v>آ هéس قعرé</v>
          </cell>
          <cell r="DC92" t="str">
            <v>ءظàé</v>
          </cell>
          <cell r="DD92" t="str">
            <v>éâ طوبè</v>
          </cell>
        </row>
        <row r="93">
          <cell r="CY93" t="str">
            <v>ءظàé</v>
          </cell>
          <cell r="CZ93" t="str">
            <v>èçطéآس</v>
          </cell>
          <cell r="DA93" t="str">
            <v>àآذسé</v>
          </cell>
          <cell r="DB93" t="str">
            <v>èçطéآس</v>
          </cell>
          <cell r="DC93" t="str">
            <v>طéبآوé</v>
          </cell>
          <cell r="DD93" t="str">
            <v>رç طوبè</v>
          </cell>
        </row>
        <row r="94">
          <cell r="CZ94" t="str">
            <v>èçطéآس</v>
          </cell>
          <cell r="DA94" t="str">
            <v>àآذسé</v>
          </cell>
          <cell r="DB94" t="str">
            <v>قغآسشآرè</v>
          </cell>
          <cell r="DC94" t="str">
            <v>آبسآèéهé</v>
          </cell>
          <cell r="DD94" t="str">
            <v>ضè طوبè</v>
          </cell>
        </row>
        <row r="95">
          <cell r="DB95" t="str">
            <v>قغآسشآرè</v>
          </cell>
          <cell r="DC95" t="str">
            <v>آبسآèéهé</v>
          </cell>
          <cell r="DD95" t="str">
            <v>خèآس طوبè</v>
          </cell>
        </row>
        <row r="96">
          <cell r="CZ96" t="str">
            <v>تــçâــنé</v>
          </cell>
          <cell r="DA96" t="str">
            <v>çسشوــــرè</v>
          </cell>
          <cell r="DB96" t="str">
            <v>çسشوــــرè</v>
          </cell>
          <cell r="DC96" t="str">
            <v>تــçâــنé</v>
          </cell>
          <cell r="DD96" t="str">
            <v>ةوح طوبè</v>
          </cell>
        </row>
        <row r="97">
          <cell r="DB97" t="str">
            <v>çسشوــــرè</v>
          </cell>
          <cell r="DD97" t="str">
            <v>ةوح طوبè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3050-5262-48E4-900F-774096C0F70D}">
  <dimension ref="B2:N35"/>
  <sheetViews>
    <sheetView rightToLeft="1" zoomScale="110" zoomScaleNormal="110" workbookViewId="0">
      <selection activeCell="D4" sqref="D4:N16"/>
    </sheetView>
  </sheetViews>
  <sheetFormatPr defaultColWidth="9.21875" defaultRowHeight="18" x14ac:dyDescent="0.3"/>
  <cols>
    <col min="1" max="1" width="9.21875" style="3"/>
    <col min="2" max="2" width="8.77734375" style="3" bestFit="1" customWidth="1"/>
    <col min="3" max="14" width="13.33203125" style="3" customWidth="1"/>
    <col min="15" max="16384" width="9.21875" style="3"/>
  </cols>
  <sheetData>
    <row r="2" spans="2:14" ht="34.5" customHeight="1" x14ac:dyDescent="0.3">
      <c r="B2" s="245" t="s">
        <v>0</v>
      </c>
      <c r="C2" s="223"/>
      <c r="D2" s="247" t="s">
        <v>53</v>
      </c>
      <c r="E2" s="247"/>
      <c r="F2" s="247"/>
      <c r="G2" s="247"/>
      <c r="H2" s="247"/>
      <c r="I2" s="247"/>
      <c r="J2" s="247"/>
      <c r="K2" s="247"/>
      <c r="L2" s="247"/>
      <c r="M2" s="247"/>
      <c r="N2" s="248"/>
    </row>
    <row r="3" spans="2:14" ht="82.8" x14ac:dyDescent="0.3">
      <c r="B3" s="246"/>
      <c r="C3" s="221" t="s">
        <v>55</v>
      </c>
      <c r="D3" s="203" t="s">
        <v>42</v>
      </c>
      <c r="E3" s="203" t="s">
        <v>43</v>
      </c>
      <c r="F3" s="203" t="s">
        <v>44</v>
      </c>
      <c r="G3" s="203" t="s">
        <v>45</v>
      </c>
      <c r="H3" s="203" t="s">
        <v>46</v>
      </c>
      <c r="I3" s="203" t="s">
        <v>47</v>
      </c>
      <c r="J3" s="211" t="s">
        <v>48</v>
      </c>
      <c r="K3" s="203" t="s">
        <v>49</v>
      </c>
      <c r="L3" s="212" t="s">
        <v>50</v>
      </c>
      <c r="M3" s="203" t="s">
        <v>51</v>
      </c>
      <c r="N3" s="204" t="s">
        <v>52</v>
      </c>
    </row>
    <row r="4" spans="2:14" ht="18" customHeight="1" x14ac:dyDescent="0.3">
      <c r="B4" s="220">
        <v>1</v>
      </c>
      <c r="C4" s="224">
        <v>1.414250870373162</v>
      </c>
      <c r="D4" s="209">
        <v>1.4501556388416266</v>
      </c>
      <c r="E4" s="209">
        <v>1.2704307093984533</v>
      </c>
      <c r="F4" s="209"/>
      <c r="G4" s="209">
        <v>1.3629837665493973</v>
      </c>
      <c r="H4" s="209"/>
      <c r="I4" s="209">
        <v>1.2858424229141245</v>
      </c>
      <c r="J4" s="213">
        <v>1.2477267500975495</v>
      </c>
      <c r="K4" s="209"/>
      <c r="L4" s="214">
        <v>1.218886620317492</v>
      </c>
      <c r="M4" s="209"/>
      <c r="N4" s="205"/>
    </row>
    <row r="5" spans="2:14" ht="18" customHeight="1" x14ac:dyDescent="0.3">
      <c r="B5" s="219">
        <v>2</v>
      </c>
      <c r="C5" s="222">
        <v>1.1088605566099314</v>
      </c>
      <c r="D5" s="210">
        <v>1.1066624871691193</v>
      </c>
      <c r="E5" s="210">
        <v>1.1389042039252149</v>
      </c>
      <c r="F5" s="210">
        <v>0.63290947885160931</v>
      </c>
      <c r="G5" s="210">
        <v>1.2981386787013869</v>
      </c>
      <c r="H5" s="210">
        <v>0.74986807239706721</v>
      </c>
      <c r="I5" s="210">
        <v>1.0003170234735816</v>
      </c>
      <c r="J5" s="215">
        <v>1.2466341957622542</v>
      </c>
      <c r="K5" s="210">
        <v>1.106021772584735</v>
      </c>
      <c r="L5" s="216">
        <v>1.1990335178458591</v>
      </c>
      <c r="M5" s="210">
        <v>0.47781048188233927</v>
      </c>
      <c r="N5" s="206"/>
    </row>
    <row r="6" spans="2:14" ht="18" customHeight="1" x14ac:dyDescent="0.3">
      <c r="B6" s="219">
        <v>3</v>
      </c>
      <c r="C6" s="222">
        <v>1.1009405568362327</v>
      </c>
      <c r="D6" s="210">
        <v>1.3421631926932716</v>
      </c>
      <c r="E6" s="210">
        <v>0.98310376935075805</v>
      </c>
      <c r="F6" s="210">
        <v>1.292586873497229</v>
      </c>
      <c r="G6" s="210">
        <v>1.1904778832800424</v>
      </c>
      <c r="H6" s="210">
        <v>1.3427527014438705</v>
      </c>
      <c r="I6" s="210">
        <v>0.95997682197859824</v>
      </c>
      <c r="J6" s="215">
        <v>1.1438727005074245</v>
      </c>
      <c r="K6" s="210"/>
      <c r="L6" s="216">
        <v>0.90059822670386469</v>
      </c>
      <c r="M6" s="210">
        <v>0.49458533778183672</v>
      </c>
      <c r="N6" s="206"/>
    </row>
    <row r="7" spans="2:14" ht="18" customHeight="1" x14ac:dyDescent="0.3">
      <c r="B7" s="219">
        <v>4</v>
      </c>
      <c r="C7" s="222">
        <v>1.0770233772399938</v>
      </c>
      <c r="D7" s="210">
        <v>1.3433940915762568</v>
      </c>
      <c r="E7" s="210">
        <v>1.3227717819594933</v>
      </c>
      <c r="F7" s="210">
        <v>0.83589471809134885</v>
      </c>
      <c r="G7" s="210">
        <v>1.1845288756167447</v>
      </c>
      <c r="H7" s="210">
        <v>0.73349568794181752</v>
      </c>
      <c r="I7" s="210">
        <v>1.0057294258503806</v>
      </c>
      <c r="J7" s="215">
        <v>1.1685331294103187</v>
      </c>
      <c r="K7" s="210"/>
      <c r="L7" s="216">
        <v>1.024886880264966</v>
      </c>
      <c r="M7" s="210"/>
      <c r="N7" s="206"/>
    </row>
    <row r="8" spans="2:14" ht="18" customHeight="1" x14ac:dyDescent="0.3">
      <c r="B8" s="219">
        <v>5</v>
      </c>
      <c r="C8" s="222">
        <v>1.1986199095468766</v>
      </c>
      <c r="D8" s="210">
        <v>1.38306940132029</v>
      </c>
      <c r="E8" s="210">
        <v>1.2050945824604236</v>
      </c>
      <c r="F8" s="210">
        <v>0.81372986235818623</v>
      </c>
      <c r="G8" s="210">
        <v>1.208358421678184</v>
      </c>
      <c r="H8" s="210">
        <v>1.0797217992663457</v>
      </c>
      <c r="I8" s="210">
        <v>0.99429944322452379</v>
      </c>
      <c r="J8" s="215">
        <v>1.1300607672056235</v>
      </c>
      <c r="K8" s="210"/>
      <c r="L8" s="216">
        <v>1.0665008691555711</v>
      </c>
      <c r="M8" s="210"/>
      <c r="N8" s="206"/>
    </row>
    <row r="9" spans="2:14" ht="18" customHeight="1" x14ac:dyDescent="0.3">
      <c r="B9" s="219">
        <v>6</v>
      </c>
      <c r="C9" s="222">
        <v>1.1440185044811169</v>
      </c>
      <c r="D9" s="210">
        <v>1.512197116977092</v>
      </c>
      <c r="E9" s="210">
        <v>1.2481083110669469</v>
      </c>
      <c r="F9" s="210">
        <v>0.86870352618690916</v>
      </c>
      <c r="G9" s="210">
        <v>1.2563249721835528</v>
      </c>
      <c r="H9" s="210">
        <v>0.6104658755493686</v>
      </c>
      <c r="I9" s="210">
        <v>0.97562413989906827</v>
      </c>
      <c r="J9" s="215">
        <v>1.153279304737145</v>
      </c>
      <c r="K9" s="210">
        <v>1.2698488408515081</v>
      </c>
      <c r="L9" s="216">
        <v>1.0443742029405616</v>
      </c>
      <c r="M9" s="210"/>
      <c r="N9" s="206"/>
    </row>
    <row r="10" spans="2:14" ht="18" customHeight="1" x14ac:dyDescent="0.3">
      <c r="B10" s="219">
        <v>7</v>
      </c>
      <c r="C10" s="222">
        <v>1.0718775138136549</v>
      </c>
      <c r="D10" s="210">
        <v>1.2710308502149961</v>
      </c>
      <c r="E10" s="210">
        <v>1.0049456581739753</v>
      </c>
      <c r="F10" s="210">
        <v>0.94140397385909746</v>
      </c>
      <c r="G10" s="210">
        <v>1.1269591033664792</v>
      </c>
      <c r="H10" s="210">
        <v>0.78188119461087235</v>
      </c>
      <c r="I10" s="210">
        <v>0.78150070186726273</v>
      </c>
      <c r="J10" s="215">
        <v>1.0111593587656318</v>
      </c>
      <c r="K10" s="210">
        <v>0.77614645423079798</v>
      </c>
      <c r="L10" s="216">
        <v>0.54356501380218025</v>
      </c>
      <c r="M10" s="210">
        <v>0.53346268737329439</v>
      </c>
      <c r="N10" s="206">
        <v>0.30937637131913698</v>
      </c>
    </row>
    <row r="11" spans="2:14" ht="18" customHeight="1" x14ac:dyDescent="0.3">
      <c r="B11" s="219">
        <v>8</v>
      </c>
      <c r="C11" s="222">
        <v>0.86410993881039277</v>
      </c>
      <c r="D11" s="210">
        <v>1.5046306590783007</v>
      </c>
      <c r="E11" s="210">
        <v>1.3535837867282814</v>
      </c>
      <c r="F11" s="210">
        <v>1.4259378371293581</v>
      </c>
      <c r="G11" s="210">
        <v>1.1960275511391327</v>
      </c>
      <c r="H11" s="210">
        <v>0.49404330853278977</v>
      </c>
      <c r="I11" s="210">
        <v>1.1822528563144485</v>
      </c>
      <c r="J11" s="215">
        <v>0.94968399677955462</v>
      </c>
      <c r="K11" s="210"/>
      <c r="L11" s="216">
        <v>0.83168469057641903</v>
      </c>
      <c r="M11" s="210">
        <v>0.37567130803038051</v>
      </c>
      <c r="N11" s="206">
        <v>0.31988804404537052</v>
      </c>
    </row>
    <row r="12" spans="2:14" ht="18" customHeight="1" x14ac:dyDescent="0.3">
      <c r="B12" s="219">
        <v>9</v>
      </c>
      <c r="C12" s="222">
        <v>0.84398954143963956</v>
      </c>
      <c r="D12" s="210">
        <v>1.4592336046440142</v>
      </c>
      <c r="E12" s="210">
        <v>1.068939278307885</v>
      </c>
      <c r="F12" s="210">
        <v>0.91680090778619283</v>
      </c>
      <c r="G12" s="210">
        <v>1.094751239303646</v>
      </c>
      <c r="H12" s="210">
        <v>1.1330049576238543</v>
      </c>
      <c r="I12" s="210">
        <v>0.95090462411897325</v>
      </c>
      <c r="J12" s="215">
        <v>1.0496209746106453</v>
      </c>
      <c r="K12" s="210">
        <v>1.1561390010250989</v>
      </c>
      <c r="L12" s="216">
        <v>0.82299907246379911</v>
      </c>
      <c r="M12" s="210">
        <v>0.44736961613752513</v>
      </c>
      <c r="N12" s="206"/>
    </row>
    <row r="13" spans="2:14" ht="18" customHeight="1" x14ac:dyDescent="0.3">
      <c r="B13" s="219">
        <v>10</v>
      </c>
      <c r="C13" s="222">
        <v>1.096597102726989</v>
      </c>
      <c r="D13" s="210">
        <v>1.2920478330907488</v>
      </c>
      <c r="E13" s="210">
        <v>0.86193795713358368</v>
      </c>
      <c r="F13" s="210">
        <v>1.254371478603532</v>
      </c>
      <c r="G13" s="210">
        <v>1.3248049504841504</v>
      </c>
      <c r="H13" s="210">
        <v>0.56646825251060229</v>
      </c>
      <c r="I13" s="210">
        <v>0.862278393765186</v>
      </c>
      <c r="J13" s="215">
        <v>1.1339356636518814</v>
      </c>
      <c r="K13" s="210"/>
      <c r="L13" s="216"/>
      <c r="M13" s="210">
        <v>0.38011607031185679</v>
      </c>
      <c r="N13" s="206"/>
    </row>
    <row r="14" spans="2:14" ht="18" customHeight="1" x14ac:dyDescent="0.3">
      <c r="B14" s="219">
        <v>11</v>
      </c>
      <c r="C14" s="222">
        <v>1.0569657370385852</v>
      </c>
      <c r="D14" s="210">
        <v>1.454947451870112</v>
      </c>
      <c r="E14" s="210">
        <v>1.2461196406447796</v>
      </c>
      <c r="F14" s="210">
        <v>1.4043380214517529</v>
      </c>
      <c r="G14" s="210">
        <v>1.4913701410435869</v>
      </c>
      <c r="H14" s="210">
        <v>1.399574834676955</v>
      </c>
      <c r="I14" s="210">
        <v>1.060324646931204</v>
      </c>
      <c r="J14" s="215">
        <v>1.1965134865740952</v>
      </c>
      <c r="K14" s="210"/>
      <c r="L14" s="216">
        <v>0.97059116907707454</v>
      </c>
      <c r="M14" s="210">
        <v>0.46516940165350179</v>
      </c>
      <c r="N14" s="206"/>
    </row>
    <row r="15" spans="2:14" ht="18" customHeight="1" x14ac:dyDescent="0.3">
      <c r="B15" s="219">
        <v>12</v>
      </c>
      <c r="C15" s="222">
        <v>0.96422075132519958</v>
      </c>
      <c r="D15" s="210">
        <v>1.4458784212056051</v>
      </c>
      <c r="E15" s="210">
        <v>1.2381569683974138</v>
      </c>
      <c r="F15" s="210">
        <v>0.82787718939478749</v>
      </c>
      <c r="G15" s="210">
        <v>0.881280904679976</v>
      </c>
      <c r="H15" s="210">
        <v>0.66381081191582569</v>
      </c>
      <c r="I15" s="210">
        <v>0.58669724168769299</v>
      </c>
      <c r="J15" s="215">
        <v>1.072726989498993</v>
      </c>
      <c r="K15" s="210"/>
      <c r="L15" s="216"/>
      <c r="M15" s="210">
        <v>0.49241432461654694</v>
      </c>
      <c r="N15" s="206"/>
    </row>
    <row r="16" spans="2:14" ht="18" customHeight="1" x14ac:dyDescent="0.3">
      <c r="B16" s="225">
        <v>13</v>
      </c>
      <c r="C16" s="226">
        <v>1.3221621077568146</v>
      </c>
      <c r="D16" s="207">
        <v>1.3087157582427196</v>
      </c>
      <c r="E16" s="207">
        <v>1.503468036289312</v>
      </c>
      <c r="F16" s="207"/>
      <c r="G16" s="207">
        <v>1.4909138653914105</v>
      </c>
      <c r="H16" s="207"/>
      <c r="I16" s="207">
        <v>1.2814256732049589</v>
      </c>
      <c r="J16" s="217">
        <v>1.1953519848286225</v>
      </c>
      <c r="K16" s="207"/>
      <c r="L16" s="218"/>
      <c r="M16" s="207"/>
      <c r="N16" s="208"/>
    </row>
    <row r="21" spans="4:7" x14ac:dyDescent="0.3">
      <c r="D21" s="31"/>
    </row>
    <row r="22" spans="4:7" x14ac:dyDescent="0.3">
      <c r="D22" s="31"/>
      <c r="G22" s="31"/>
    </row>
    <row r="23" spans="4:7" x14ac:dyDescent="0.3">
      <c r="D23" s="31"/>
      <c r="G23" s="31"/>
    </row>
    <row r="24" spans="4:7" x14ac:dyDescent="0.3">
      <c r="D24" s="31"/>
      <c r="G24" s="31"/>
    </row>
    <row r="25" spans="4:7" x14ac:dyDescent="0.3">
      <c r="D25" s="31"/>
      <c r="E25" s="31"/>
      <c r="G25" s="31"/>
    </row>
    <row r="26" spans="4:7" x14ac:dyDescent="0.3">
      <c r="D26" s="31"/>
      <c r="E26" s="31"/>
      <c r="G26" s="31"/>
    </row>
    <row r="27" spans="4:7" x14ac:dyDescent="0.3">
      <c r="D27" s="31"/>
      <c r="E27" s="31"/>
      <c r="G27" s="31"/>
    </row>
    <row r="28" spans="4:7" x14ac:dyDescent="0.3">
      <c r="D28" s="31"/>
      <c r="E28" s="31"/>
      <c r="G28" s="31"/>
    </row>
    <row r="29" spans="4:7" x14ac:dyDescent="0.3">
      <c r="D29" s="31"/>
      <c r="E29" s="31"/>
      <c r="G29" s="31"/>
    </row>
    <row r="30" spans="4:7" x14ac:dyDescent="0.3">
      <c r="D30" s="31"/>
      <c r="E30" s="31"/>
      <c r="G30" s="31"/>
    </row>
    <row r="31" spans="4:7" x14ac:dyDescent="0.3">
      <c r="D31" s="31"/>
      <c r="E31" s="31"/>
      <c r="G31" s="31"/>
    </row>
    <row r="32" spans="4:7" x14ac:dyDescent="0.3">
      <c r="D32" s="31"/>
      <c r="G32" s="31"/>
    </row>
    <row r="33" spans="7:7" x14ac:dyDescent="0.3">
      <c r="G33" s="31"/>
    </row>
    <row r="34" spans="7:7" x14ac:dyDescent="0.3">
      <c r="G34" s="31"/>
    </row>
    <row r="35" spans="7:7" x14ac:dyDescent="0.3">
      <c r="G35" s="31"/>
    </row>
  </sheetData>
  <mergeCells count="2">
    <mergeCell ref="B2:B3"/>
    <mergeCell ref="D2:N2"/>
  </mergeCells>
  <conditionalFormatting sqref="D4:N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1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{F2AF94B8-C139-4C29-A33E-CD0EE8051C38}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AF94B8-C139-4C29-A33E-CD0EE8051C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C4:C16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C869-3230-466E-B033-82F892704738}">
  <dimension ref="B2:F19"/>
  <sheetViews>
    <sheetView rightToLeft="1" topLeftCell="A4" zoomScale="110" zoomScaleNormal="110" workbookViewId="0">
      <selection activeCell="D18" sqref="D18"/>
    </sheetView>
  </sheetViews>
  <sheetFormatPr defaultColWidth="9.21875" defaultRowHeight="18" x14ac:dyDescent="0.3"/>
  <cols>
    <col min="1" max="1" width="9.21875" style="3"/>
    <col min="2" max="2" width="8.77734375" style="3" bestFit="1" customWidth="1"/>
    <col min="3" max="5" width="11.44140625" style="3" customWidth="1"/>
    <col min="6" max="6" width="14.21875" style="3" customWidth="1"/>
    <col min="7" max="16384" width="9.21875" style="3"/>
  </cols>
  <sheetData>
    <row r="2" spans="2:6" x14ac:dyDescent="0.3">
      <c r="D2" s="251"/>
      <c r="E2" s="251"/>
      <c r="F2" s="251"/>
    </row>
    <row r="3" spans="2:6" ht="34.5" customHeight="1" x14ac:dyDescent="0.3">
      <c r="B3" s="249" t="s">
        <v>0</v>
      </c>
      <c r="C3" s="9" t="s">
        <v>1</v>
      </c>
      <c r="D3" s="2" t="s">
        <v>4</v>
      </c>
      <c r="E3" s="2" t="s">
        <v>6</v>
      </c>
      <c r="F3" s="9" t="s">
        <v>7</v>
      </c>
    </row>
    <row r="4" spans="2:6" x14ac:dyDescent="0.3">
      <c r="B4" s="250"/>
      <c r="C4" s="18" t="s">
        <v>2</v>
      </c>
      <c r="D4" s="1" t="s">
        <v>3</v>
      </c>
      <c r="E4" s="1" t="s">
        <v>3</v>
      </c>
      <c r="F4" s="10" t="s">
        <v>8</v>
      </c>
    </row>
    <row r="5" spans="2:6" ht="18" customHeight="1" x14ac:dyDescent="0.3">
      <c r="B5" s="15">
        <v>1</v>
      </c>
      <c r="C5" s="6">
        <v>44.961444338682611</v>
      </c>
      <c r="D5" s="20">
        <v>668.51303821983117</v>
      </c>
      <c r="E5" s="11">
        <v>155.15777678984821</v>
      </c>
      <c r="F5" s="12">
        <f>E5*1000*1000/31/24/3600/C5</f>
        <v>1.2884211868047635</v>
      </c>
    </row>
    <row r="6" spans="2:6" ht="18" customHeight="1" x14ac:dyDescent="0.3">
      <c r="B6" s="15">
        <v>2</v>
      </c>
      <c r="C6" s="7">
        <v>128.31015849339019</v>
      </c>
      <c r="D6" s="20">
        <v>1561.0990008320091</v>
      </c>
      <c r="E6" s="11">
        <v>358.46818434108241</v>
      </c>
      <c r="F6" s="12">
        <f t="shared" ref="F6:F18" si="0">E6*1000*1000/31/24/3600/C6</f>
        <v>1.0430716419769019</v>
      </c>
    </row>
    <row r="7" spans="2:6" ht="18" customHeight="1" x14ac:dyDescent="0.3">
      <c r="B7" s="15">
        <v>3</v>
      </c>
      <c r="C7" s="7">
        <v>103.6064933887299</v>
      </c>
      <c r="D7" s="20">
        <v>1283.3306662689331</v>
      </c>
      <c r="E7" s="11">
        <v>294.32158081777919</v>
      </c>
      <c r="F7" s="12">
        <f t="shared" si="0"/>
        <v>1.0606197161801254</v>
      </c>
    </row>
    <row r="8" spans="2:6" ht="18" customHeight="1" x14ac:dyDescent="0.3">
      <c r="B8" s="15">
        <v>4</v>
      </c>
      <c r="C8" s="7">
        <v>61.494784349558167</v>
      </c>
      <c r="D8" s="20">
        <v>751.13588089890425</v>
      </c>
      <c r="E8" s="11">
        <v>170.64570778853249</v>
      </c>
      <c r="F8" s="12">
        <f t="shared" si="0"/>
        <v>1.0360522300769435</v>
      </c>
    </row>
    <row r="9" spans="2:6" ht="18" customHeight="1" x14ac:dyDescent="0.3">
      <c r="B9" s="15">
        <v>5</v>
      </c>
      <c r="C9" s="7">
        <v>55.680299853927153</v>
      </c>
      <c r="D9" s="20">
        <v>695.17327071143836</v>
      </c>
      <c r="E9" s="11">
        <v>158.92390655125959</v>
      </c>
      <c r="F9" s="12">
        <f t="shared" si="0"/>
        <v>1.0656442116818736</v>
      </c>
    </row>
    <row r="10" spans="2:6" ht="18" customHeight="1" x14ac:dyDescent="0.3">
      <c r="B10" s="15">
        <v>6</v>
      </c>
      <c r="C10" s="7">
        <v>84.709248549526109</v>
      </c>
      <c r="D10" s="20">
        <v>1104.515465041902</v>
      </c>
      <c r="E10" s="11">
        <v>252.17390378609329</v>
      </c>
      <c r="F10" s="12">
        <f t="shared" si="0"/>
        <v>1.1114600985496716</v>
      </c>
    </row>
    <row r="11" spans="2:6" ht="18" customHeight="1" x14ac:dyDescent="0.3">
      <c r="B11" s="15">
        <v>7</v>
      </c>
      <c r="C11" s="7">
        <v>340.59345198686083</v>
      </c>
      <c r="D11" s="20">
        <v>2800.496870264421</v>
      </c>
      <c r="E11" s="11">
        <v>660.23167066884207</v>
      </c>
      <c r="F11" s="12">
        <f t="shared" si="0"/>
        <v>0.72374341047989832</v>
      </c>
    </row>
    <row r="12" spans="2:6" ht="18" customHeight="1" x14ac:dyDescent="0.3">
      <c r="B12" s="15">
        <v>8</v>
      </c>
      <c r="C12" s="7">
        <v>95.76985784994099</v>
      </c>
      <c r="D12" s="20">
        <v>897.89735494065951</v>
      </c>
      <c r="E12" s="11">
        <v>209.39882219193871</v>
      </c>
      <c r="F12" s="12">
        <f t="shared" si="0"/>
        <v>0.81633789165245629</v>
      </c>
    </row>
    <row r="13" spans="2:6" ht="18" customHeight="1" x14ac:dyDescent="0.3">
      <c r="B13" s="15">
        <v>9</v>
      </c>
      <c r="C13" s="7">
        <v>293.21437845798607</v>
      </c>
      <c r="D13" s="20">
        <v>2644.4500983877019</v>
      </c>
      <c r="E13" s="11">
        <v>614.91880478503163</v>
      </c>
      <c r="F13" s="12">
        <f t="shared" si="0"/>
        <v>0.7829915494849955</v>
      </c>
    </row>
    <row r="14" spans="2:6" ht="18" customHeight="1" x14ac:dyDescent="0.3">
      <c r="B14" s="15">
        <v>10</v>
      </c>
      <c r="C14" s="7">
        <v>154.71294295589769</v>
      </c>
      <c r="D14" s="20">
        <v>1776.8268738270331</v>
      </c>
      <c r="E14" s="11">
        <v>406.50304509794739</v>
      </c>
      <c r="F14" s="12">
        <f t="shared" si="0"/>
        <v>0.98098353810153827</v>
      </c>
    </row>
    <row r="15" spans="2:6" ht="18" customHeight="1" x14ac:dyDescent="0.3">
      <c r="B15" s="15">
        <v>11</v>
      </c>
      <c r="C15" s="7">
        <v>129.3502296792675</v>
      </c>
      <c r="D15" s="20">
        <v>1671.5319192758091</v>
      </c>
      <c r="E15" s="11">
        <v>380.51489904379491</v>
      </c>
      <c r="F15" s="12">
        <f t="shared" si="0"/>
        <v>1.098320338096928</v>
      </c>
    </row>
    <row r="16" spans="2:6" ht="18" customHeight="1" x14ac:dyDescent="0.3">
      <c r="B16" s="15">
        <v>12</v>
      </c>
      <c r="C16" s="7">
        <v>95.023303678645789</v>
      </c>
      <c r="D16" s="20">
        <v>875.84040543465483</v>
      </c>
      <c r="E16" s="11">
        <v>205.17718840119849</v>
      </c>
      <c r="F16" s="12">
        <f t="shared" si="0"/>
        <v>0.80616420798808952</v>
      </c>
    </row>
    <row r="17" spans="2:6" ht="18" customHeight="1" x14ac:dyDescent="0.3">
      <c r="B17" s="15">
        <v>13</v>
      </c>
      <c r="C17" s="7">
        <v>8.4318874727844921</v>
      </c>
      <c r="D17" s="20">
        <v>122.05593163294169</v>
      </c>
      <c r="E17" s="11">
        <v>28.49268235705318</v>
      </c>
      <c r="F17" s="12">
        <f t="shared" si="0"/>
        <v>1.2616331684966935</v>
      </c>
    </row>
    <row r="18" spans="2:6" ht="18" customHeight="1" x14ac:dyDescent="0.3">
      <c r="B18" s="16">
        <v>16</v>
      </c>
      <c r="C18" s="8">
        <v>45.527900000000002</v>
      </c>
      <c r="D18" s="21">
        <v>452.37987271658727</v>
      </c>
      <c r="E18" s="4">
        <v>104.1705825690279</v>
      </c>
      <c r="F18" s="12">
        <f t="shared" si="0"/>
        <v>0.85426386825503342</v>
      </c>
    </row>
    <row r="19" spans="2:6" ht="18" customHeight="1" x14ac:dyDescent="0.3">
      <c r="B19" s="17" t="s">
        <v>5</v>
      </c>
      <c r="C19" s="19">
        <f>SUM(C5:C18)</f>
        <v>1641.3863810551977</v>
      </c>
      <c r="D19" s="5">
        <f t="shared" ref="D19:E19" si="1">SUM(D5:D18)</f>
        <v>17305.246648452827</v>
      </c>
      <c r="E19" s="5">
        <f t="shared" si="1"/>
        <v>3999.0987551894295</v>
      </c>
      <c r="F19" s="13">
        <f>SUMPRODUCT(F5:F18,C5:C18)/C19</f>
        <v>0.90965323201931692</v>
      </c>
    </row>
  </sheetData>
  <mergeCells count="2">
    <mergeCell ref="B3:B4"/>
    <mergeCell ref="D2:F2"/>
  </mergeCells>
  <pageMargins left="0.7" right="0.7" top="0.75" bottom="0.75" header="0.3" footer="0.3"/>
  <ignoredErrors>
    <ignoredError sqref="F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BF0E-80F9-45EE-8598-28C146232AA7}">
  <dimension ref="B1:Y41"/>
  <sheetViews>
    <sheetView rightToLeft="1" topLeftCell="F1" zoomScale="110" zoomScaleNormal="110" workbookViewId="0">
      <selection activeCell="J14" sqref="J14"/>
    </sheetView>
  </sheetViews>
  <sheetFormatPr defaultColWidth="9.21875" defaultRowHeight="18" x14ac:dyDescent="0.3"/>
  <cols>
    <col min="1" max="1" width="9.21875" style="3"/>
    <col min="2" max="2" width="8.77734375" style="3" bestFit="1" customWidth="1"/>
    <col min="3" max="5" width="11.44140625" style="3" customWidth="1"/>
    <col min="6" max="6" width="14.21875" style="3" customWidth="1"/>
    <col min="7" max="7" width="11.44140625" style="3" customWidth="1"/>
    <col min="8" max="10" width="14.21875" style="3" customWidth="1"/>
    <col min="11" max="11" width="11.44140625" style="3" customWidth="1"/>
    <col min="12" max="14" width="14.21875" style="3" customWidth="1"/>
    <col min="15" max="25" width="10" style="3" customWidth="1"/>
    <col min="26" max="16384" width="9.21875" style="3"/>
  </cols>
  <sheetData>
    <row r="1" spans="2:25" x14ac:dyDescent="0.3">
      <c r="C1" s="258" t="s">
        <v>9</v>
      </c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</row>
    <row r="2" spans="2:25" x14ac:dyDescent="0.3">
      <c r="C2" s="257" t="s">
        <v>10</v>
      </c>
      <c r="D2" s="257"/>
      <c r="E2" s="257"/>
      <c r="F2" s="257"/>
      <c r="G2" s="259" t="s">
        <v>11</v>
      </c>
      <c r="H2" s="259"/>
      <c r="I2" s="259"/>
      <c r="J2" s="259"/>
      <c r="K2" s="259" t="s">
        <v>12</v>
      </c>
      <c r="L2" s="259"/>
      <c r="M2" s="259"/>
      <c r="N2" s="259"/>
      <c r="O2" s="201" t="s">
        <v>54</v>
      </c>
      <c r="P2" s="199">
        <v>0.7</v>
      </c>
    </row>
    <row r="3" spans="2:25" ht="34.5" customHeight="1" x14ac:dyDescent="0.3">
      <c r="B3" s="255" t="s">
        <v>0</v>
      </c>
      <c r="C3" s="2" t="s">
        <v>1</v>
      </c>
      <c r="D3" s="2" t="s">
        <v>4</v>
      </c>
      <c r="E3" s="2" t="s">
        <v>6</v>
      </c>
      <c r="F3" s="9" t="s">
        <v>13</v>
      </c>
      <c r="G3" s="14" t="s">
        <v>1</v>
      </c>
      <c r="H3" s="2" t="s">
        <v>4</v>
      </c>
      <c r="I3" s="2" t="s">
        <v>6</v>
      </c>
      <c r="J3" s="9" t="s">
        <v>13</v>
      </c>
      <c r="K3" s="14" t="s">
        <v>1</v>
      </c>
      <c r="L3" s="2" t="s">
        <v>4</v>
      </c>
      <c r="M3" s="2" t="s">
        <v>6</v>
      </c>
      <c r="N3" s="9" t="s">
        <v>13</v>
      </c>
      <c r="O3" s="252" t="s">
        <v>53</v>
      </c>
      <c r="P3" s="253"/>
      <c r="Q3" s="253"/>
      <c r="R3" s="253"/>
      <c r="S3" s="253"/>
      <c r="T3" s="253"/>
      <c r="U3" s="253"/>
      <c r="V3" s="253"/>
      <c r="W3" s="253"/>
      <c r="X3" s="253"/>
      <c r="Y3" s="254"/>
    </row>
    <row r="4" spans="2:25" ht="36" x14ac:dyDescent="0.3">
      <c r="B4" s="256"/>
      <c r="C4" s="22" t="s">
        <v>2</v>
      </c>
      <c r="D4" s="1" t="s">
        <v>3</v>
      </c>
      <c r="E4" s="1" t="s">
        <v>3</v>
      </c>
      <c r="F4" s="10" t="s">
        <v>8</v>
      </c>
      <c r="G4" s="27" t="s">
        <v>2</v>
      </c>
      <c r="H4" s="1" t="s">
        <v>3</v>
      </c>
      <c r="I4" s="1" t="s">
        <v>3</v>
      </c>
      <c r="J4" s="10" t="s">
        <v>8</v>
      </c>
      <c r="K4" s="27" t="s">
        <v>2</v>
      </c>
      <c r="L4" s="1" t="s">
        <v>3</v>
      </c>
      <c r="M4" s="1" t="s">
        <v>3</v>
      </c>
      <c r="N4" s="10" t="s">
        <v>8</v>
      </c>
      <c r="O4" s="27" t="s">
        <v>42</v>
      </c>
      <c r="P4" s="22" t="s">
        <v>43</v>
      </c>
      <c r="Q4" s="22" t="s">
        <v>44</v>
      </c>
      <c r="R4" s="22" t="s">
        <v>45</v>
      </c>
      <c r="S4" s="22" t="s">
        <v>46</v>
      </c>
      <c r="T4" s="22" t="s">
        <v>47</v>
      </c>
      <c r="U4" s="22" t="s">
        <v>48</v>
      </c>
      <c r="V4" s="22" t="s">
        <v>49</v>
      </c>
      <c r="W4" s="22" t="s">
        <v>50</v>
      </c>
      <c r="X4" s="22" t="s">
        <v>51</v>
      </c>
      <c r="Y4" s="18" t="s">
        <v>52</v>
      </c>
    </row>
    <row r="5" spans="2:25" ht="18" customHeight="1" x14ac:dyDescent="0.3">
      <c r="B5" s="32">
        <v>1</v>
      </c>
      <c r="C5" s="23">
        <v>44.961444338682611</v>
      </c>
      <c r="D5" s="33">
        <v>668.51303821983117</v>
      </c>
      <c r="E5" s="23">
        <v>155.15777678984821</v>
      </c>
      <c r="F5" s="35">
        <f>E5*1000*1000/31/24/3600/C5</f>
        <v>1.2884211868047635</v>
      </c>
      <c r="G5" s="28">
        <v>10.386439999999999</v>
      </c>
      <c r="H5" s="33">
        <f>I5/(E5/D5)</f>
        <v>103.14867108632203</v>
      </c>
      <c r="I5" s="23">
        <f>J5*G5*$P$2*31*24*3600/1000/1000</f>
        <v>23.940174042377055</v>
      </c>
      <c r="J5" s="35">
        <v>1.2293827368032939</v>
      </c>
      <c r="K5" s="28">
        <v>1.15334</v>
      </c>
      <c r="L5" s="34">
        <f>M5/(E5/D5)</f>
        <v>11.453923414634726</v>
      </c>
      <c r="M5" s="23">
        <f>N5*K5*$P$2*31*24*3600/1000/1000</f>
        <v>2.6583853880670536</v>
      </c>
      <c r="N5" s="35">
        <f>J5</f>
        <v>1.2293827368032939</v>
      </c>
      <c r="O5" s="187">
        <v>1.4501556388416266</v>
      </c>
      <c r="P5" s="187">
        <v>1.2704307093984533</v>
      </c>
      <c r="Q5" s="187"/>
      <c r="R5" s="187">
        <v>1.3629837665493973</v>
      </c>
      <c r="S5" s="187"/>
      <c r="T5" s="187">
        <v>1.2858424229141245</v>
      </c>
      <c r="U5" s="187">
        <v>1.2477267500975495</v>
      </c>
      <c r="V5" s="187"/>
      <c r="W5" s="187">
        <v>1.218886620317492</v>
      </c>
      <c r="X5" s="187"/>
      <c r="Y5" s="192"/>
    </row>
    <row r="6" spans="2:25" ht="18" customHeight="1" x14ac:dyDescent="0.3">
      <c r="B6" s="25">
        <v>2</v>
      </c>
      <c r="C6" s="24">
        <v>128.31015849339019</v>
      </c>
      <c r="D6" s="20">
        <v>1561.0990008320091</v>
      </c>
      <c r="E6" s="24">
        <v>358.46818434108241</v>
      </c>
      <c r="F6" s="12">
        <f t="shared" ref="F6:F21" si="0">E6*1000*1000/31/24/3600/C6</f>
        <v>1.0430716419769019</v>
      </c>
      <c r="G6" s="29">
        <v>112.97668999999999</v>
      </c>
      <c r="H6" s="20">
        <f t="shared" ref="H6:H17" si="1">I6/(E6/D6)</f>
        <v>1120.0938233941008</v>
      </c>
      <c r="I6" s="24">
        <f t="shared" ref="I6:I17" si="2">J6*G6*$P$2*31*24*3600/1000/1000</f>
        <v>257.20213705200621</v>
      </c>
      <c r="J6" s="12">
        <v>1.2142615686703511</v>
      </c>
      <c r="K6" s="29">
        <v>23.272738</v>
      </c>
      <c r="L6" s="11">
        <f t="shared" ref="L6:L17" si="3">M6/(E6/D6)</f>
        <v>230.73476561642212</v>
      </c>
      <c r="M6" s="24">
        <f t="shared" ref="M6:M17" si="4">N6*K6*$P$2*31*24*3600/1000/1000</f>
        <v>52.982592680414278</v>
      </c>
      <c r="N6" s="12">
        <f t="shared" ref="N6:N17" si="5">J6</f>
        <v>1.2142615686703511</v>
      </c>
      <c r="O6" s="187">
        <v>1.1066624871691193</v>
      </c>
      <c r="P6" s="187">
        <v>1.1389042039252149</v>
      </c>
      <c r="Q6" s="187">
        <v>0.63290947885160931</v>
      </c>
      <c r="R6" s="187">
        <v>1.2981386787013869</v>
      </c>
      <c r="S6" s="187">
        <v>0.74986807239706721</v>
      </c>
      <c r="T6" s="187">
        <v>1.0003170234735816</v>
      </c>
      <c r="U6" s="187">
        <v>1.2466341957622542</v>
      </c>
      <c r="V6" s="187">
        <v>1.106021772584735</v>
      </c>
      <c r="W6" s="187">
        <v>1.1990335178458591</v>
      </c>
      <c r="X6" s="187">
        <v>0.47781048188233927</v>
      </c>
      <c r="Y6" s="193"/>
    </row>
    <row r="7" spans="2:25" ht="18" customHeight="1" x14ac:dyDescent="0.3">
      <c r="B7" s="25">
        <v>3</v>
      </c>
      <c r="C7" s="24">
        <v>103.6064933887299</v>
      </c>
      <c r="D7" s="20">
        <v>1283.3306662689331</v>
      </c>
      <c r="E7" s="24">
        <v>294.32158081777919</v>
      </c>
      <c r="F7" s="12">
        <f t="shared" si="0"/>
        <v>1.0606197161801254</v>
      </c>
      <c r="G7" s="29">
        <v>147.78485700000002</v>
      </c>
      <c r="H7" s="20">
        <f t="shared" si="1"/>
        <v>1222.7806886849028</v>
      </c>
      <c r="I7" s="24">
        <f t="shared" si="2"/>
        <v>280.43492978587881</v>
      </c>
      <c r="J7" s="12">
        <v>1.01211228074198</v>
      </c>
      <c r="K7" s="29">
        <v>0</v>
      </c>
      <c r="L7" s="11">
        <f t="shared" si="3"/>
        <v>0</v>
      </c>
      <c r="M7" s="24">
        <f t="shared" si="4"/>
        <v>0</v>
      </c>
      <c r="N7" s="12">
        <f t="shared" si="5"/>
        <v>1.01211228074198</v>
      </c>
      <c r="O7" s="187">
        <v>1.3421631926932716</v>
      </c>
      <c r="P7" s="187">
        <v>0.98310376935075805</v>
      </c>
      <c r="Q7" s="187">
        <v>1.292586873497229</v>
      </c>
      <c r="R7" s="187">
        <v>1.1904778832800424</v>
      </c>
      <c r="S7" s="187">
        <v>1.3427527014438705</v>
      </c>
      <c r="T7" s="187">
        <v>0.95997682197859824</v>
      </c>
      <c r="U7" s="187">
        <v>1.1438727005074245</v>
      </c>
      <c r="V7" s="187"/>
      <c r="W7" s="187">
        <v>0.90059822670386469</v>
      </c>
      <c r="X7" s="187">
        <v>0.49458533778183672</v>
      </c>
      <c r="Y7" s="193"/>
    </row>
    <row r="8" spans="2:25" ht="18" customHeight="1" x14ac:dyDescent="0.3">
      <c r="B8" s="25">
        <v>4</v>
      </c>
      <c r="C8" s="24">
        <v>61.494784349558167</v>
      </c>
      <c r="D8" s="20">
        <v>751.13588089890425</v>
      </c>
      <c r="E8" s="24">
        <v>170.64570778853249</v>
      </c>
      <c r="F8" s="12">
        <f t="shared" si="0"/>
        <v>1.0360522300769435</v>
      </c>
      <c r="G8" s="29">
        <v>67.013619999999989</v>
      </c>
      <c r="H8" s="20">
        <f t="shared" si="1"/>
        <v>572.45858952596006</v>
      </c>
      <c r="I8" s="24">
        <f t="shared" si="2"/>
        <v>130.05316837264797</v>
      </c>
      <c r="J8" s="12">
        <v>1.0351049418165501</v>
      </c>
      <c r="K8" s="29">
        <v>12.292322</v>
      </c>
      <c r="L8" s="11">
        <f t="shared" si="3"/>
        <v>105.00619596611747</v>
      </c>
      <c r="M8" s="24">
        <f t="shared" si="4"/>
        <v>23.855679229935724</v>
      </c>
      <c r="N8" s="12">
        <f t="shared" si="5"/>
        <v>1.0351049418165501</v>
      </c>
      <c r="O8" s="187">
        <v>1.3433940915762568</v>
      </c>
      <c r="P8" s="187">
        <v>1.3227717819594933</v>
      </c>
      <c r="Q8" s="187">
        <v>0.83589471809134885</v>
      </c>
      <c r="R8" s="187">
        <v>1.1845288756167447</v>
      </c>
      <c r="S8" s="187">
        <v>0.73349568794181752</v>
      </c>
      <c r="T8" s="187">
        <v>1.0057294258503806</v>
      </c>
      <c r="U8" s="187">
        <v>1.1685331294103187</v>
      </c>
      <c r="V8" s="187"/>
      <c r="W8" s="187">
        <v>1.024886880264966</v>
      </c>
      <c r="X8" s="187"/>
      <c r="Y8" s="193"/>
    </row>
    <row r="9" spans="2:25" ht="18" customHeight="1" x14ac:dyDescent="0.3">
      <c r="B9" s="25">
        <v>5</v>
      </c>
      <c r="C9" s="24">
        <v>55.680299853927153</v>
      </c>
      <c r="D9" s="20">
        <v>695.17327071143836</v>
      </c>
      <c r="E9" s="24">
        <v>158.92390655125959</v>
      </c>
      <c r="F9" s="12">
        <f t="shared" si="0"/>
        <v>1.0656442116818736</v>
      </c>
      <c r="G9" s="29">
        <v>46.409061999999999</v>
      </c>
      <c r="H9" s="20">
        <f t="shared" si="1"/>
        <v>421.91409074410387</v>
      </c>
      <c r="I9" s="24">
        <f t="shared" si="2"/>
        <v>96.4539897534532</v>
      </c>
      <c r="J9" s="12">
        <v>1.108521012025893</v>
      </c>
      <c r="K9" s="29">
        <v>65.252426999999997</v>
      </c>
      <c r="L9" s="11">
        <f t="shared" si="3"/>
        <v>593.22290130645217</v>
      </c>
      <c r="M9" s="24">
        <f t="shared" si="4"/>
        <v>135.61698198610335</v>
      </c>
      <c r="N9" s="12">
        <f t="shared" si="5"/>
        <v>1.108521012025893</v>
      </c>
      <c r="O9" s="187">
        <v>1.38306940132029</v>
      </c>
      <c r="P9" s="187">
        <v>1.2050945824604236</v>
      </c>
      <c r="Q9" s="187">
        <v>0.81372986235818623</v>
      </c>
      <c r="R9" s="187">
        <v>1.208358421678184</v>
      </c>
      <c r="S9" s="187">
        <v>1.0797217992663457</v>
      </c>
      <c r="T9" s="187">
        <v>0.99429944322452379</v>
      </c>
      <c r="U9" s="187">
        <v>1.1300607672056235</v>
      </c>
      <c r="V9" s="187"/>
      <c r="W9" s="187">
        <v>1.0665008691555711</v>
      </c>
      <c r="X9" s="187"/>
      <c r="Y9" s="193"/>
    </row>
    <row r="10" spans="2:25" ht="18" customHeight="1" x14ac:dyDescent="0.3">
      <c r="B10" s="25">
        <v>6</v>
      </c>
      <c r="C10" s="24">
        <v>84.709248549526109</v>
      </c>
      <c r="D10" s="20">
        <v>1104.515465041902</v>
      </c>
      <c r="E10" s="24">
        <v>252.17390378609329</v>
      </c>
      <c r="F10" s="12">
        <f t="shared" si="0"/>
        <v>1.1114600985496716</v>
      </c>
      <c r="G10" s="29">
        <v>150.228093</v>
      </c>
      <c r="H10" s="20">
        <f t="shared" si="1"/>
        <v>1392.4830780964119</v>
      </c>
      <c r="I10" s="24">
        <f t="shared" si="2"/>
        <v>317.92030521394838</v>
      </c>
      <c r="J10" s="12">
        <v>1.1287392730759691</v>
      </c>
      <c r="K10" s="29">
        <v>5.157133</v>
      </c>
      <c r="L10" s="11">
        <f t="shared" si="3"/>
        <v>47.802114042628375</v>
      </c>
      <c r="M10" s="24">
        <f t="shared" si="4"/>
        <v>10.91378626092874</v>
      </c>
      <c r="N10" s="12">
        <f t="shared" si="5"/>
        <v>1.1287392730759691</v>
      </c>
      <c r="O10" s="187">
        <v>1.512197116977092</v>
      </c>
      <c r="P10" s="187">
        <v>1.2481083110669469</v>
      </c>
      <c r="Q10" s="187">
        <v>0.86870352618690916</v>
      </c>
      <c r="R10" s="187">
        <v>1.2563249721835528</v>
      </c>
      <c r="S10" s="187">
        <v>0.6104658755493686</v>
      </c>
      <c r="T10" s="187">
        <v>0.97562413989906827</v>
      </c>
      <c r="U10" s="187">
        <v>1.153279304737145</v>
      </c>
      <c r="V10" s="187">
        <v>1.2698488408515081</v>
      </c>
      <c r="W10" s="187">
        <v>1.0443742029405616</v>
      </c>
      <c r="X10" s="187"/>
      <c r="Y10" s="193"/>
    </row>
    <row r="11" spans="2:25" ht="18" customHeight="1" x14ac:dyDescent="0.3">
      <c r="B11" s="25">
        <v>7</v>
      </c>
      <c r="C11" s="24">
        <v>340.59345198686083</v>
      </c>
      <c r="D11" s="20">
        <v>2800.496870264421</v>
      </c>
      <c r="E11" s="24">
        <v>660.23167066884207</v>
      </c>
      <c r="F11" s="12">
        <f t="shared" si="0"/>
        <v>0.72374341047989832</v>
      </c>
      <c r="G11" s="29">
        <v>285.439525</v>
      </c>
      <c r="H11" s="20">
        <f t="shared" si="1"/>
        <v>1711.0607546629408</v>
      </c>
      <c r="I11" s="24">
        <f t="shared" si="2"/>
        <v>403.39145266044807</v>
      </c>
      <c r="J11" s="12">
        <v>0.75377044598770371</v>
      </c>
      <c r="K11" s="29">
        <v>0</v>
      </c>
      <c r="L11" s="11">
        <f t="shared" si="3"/>
        <v>0</v>
      </c>
      <c r="M11" s="24">
        <f t="shared" si="4"/>
        <v>0</v>
      </c>
      <c r="N11" s="12">
        <f t="shared" si="5"/>
        <v>0.75377044598770371</v>
      </c>
      <c r="O11" s="187">
        <v>1.2710308502149961</v>
      </c>
      <c r="P11" s="187">
        <v>1.0049456581739753</v>
      </c>
      <c r="Q11" s="187">
        <v>0.94140397385909746</v>
      </c>
      <c r="R11" s="187">
        <v>1.1269591033664792</v>
      </c>
      <c r="S11" s="187">
        <v>0.78188119461087235</v>
      </c>
      <c r="T11" s="187">
        <v>0.78150070186726273</v>
      </c>
      <c r="U11" s="187">
        <v>1.0111593587656318</v>
      </c>
      <c r="V11" s="187">
        <v>0.77614645423079798</v>
      </c>
      <c r="W11" s="187">
        <v>0.54356501380218025</v>
      </c>
      <c r="X11" s="187">
        <v>0.53346268737329439</v>
      </c>
      <c r="Y11" s="193">
        <v>0.30937637131913698</v>
      </c>
    </row>
    <row r="12" spans="2:25" ht="18" customHeight="1" x14ac:dyDescent="0.3">
      <c r="B12" s="25">
        <v>8</v>
      </c>
      <c r="C12" s="24">
        <v>95.76985784994099</v>
      </c>
      <c r="D12" s="20">
        <v>897.89735494065951</v>
      </c>
      <c r="E12" s="24">
        <v>209.39882219193871</v>
      </c>
      <c r="F12" s="12">
        <f t="shared" si="0"/>
        <v>0.81633789165245629</v>
      </c>
      <c r="G12" s="29">
        <v>162.43614499999998</v>
      </c>
      <c r="H12" s="20">
        <f t="shared" si="1"/>
        <v>1104.9515558889373</v>
      </c>
      <c r="I12" s="24">
        <f t="shared" si="2"/>
        <v>257.6859739135603</v>
      </c>
      <c r="J12" s="12">
        <v>0.84612519993483004</v>
      </c>
      <c r="K12" s="29">
        <v>0</v>
      </c>
      <c r="L12" s="11">
        <f t="shared" si="3"/>
        <v>0</v>
      </c>
      <c r="M12" s="24">
        <f t="shared" si="4"/>
        <v>0</v>
      </c>
      <c r="N12" s="12">
        <f t="shared" si="5"/>
        <v>0.84612519993483004</v>
      </c>
      <c r="O12" s="187">
        <v>1.5046306590783007</v>
      </c>
      <c r="P12" s="187">
        <v>1.3535837867282814</v>
      </c>
      <c r="Q12" s="187">
        <v>1.4259378371293581</v>
      </c>
      <c r="R12" s="187">
        <v>1.1960275511391327</v>
      </c>
      <c r="S12" s="187">
        <v>0.49404330853278977</v>
      </c>
      <c r="T12" s="187">
        <v>1.1822528563144485</v>
      </c>
      <c r="U12" s="187">
        <v>0.94968399677955462</v>
      </c>
      <c r="V12" s="187"/>
      <c r="W12" s="187">
        <v>0.83168469057641903</v>
      </c>
      <c r="X12" s="187">
        <v>0.37567130803038051</v>
      </c>
      <c r="Y12" s="193">
        <v>0.31988804404537052</v>
      </c>
    </row>
    <row r="13" spans="2:25" ht="18" customHeight="1" x14ac:dyDescent="0.3">
      <c r="B13" s="25">
        <v>9</v>
      </c>
      <c r="C13" s="24">
        <v>293.21437845798607</v>
      </c>
      <c r="D13" s="20">
        <v>2644.4500983877019</v>
      </c>
      <c r="E13" s="24">
        <v>614.91880478503163</v>
      </c>
      <c r="F13" s="12">
        <f t="shared" si="0"/>
        <v>0.7829915494849955</v>
      </c>
      <c r="G13" s="29">
        <v>357.86860200000001</v>
      </c>
      <c r="H13" s="20">
        <f t="shared" si="1"/>
        <v>1637.4971045133123</v>
      </c>
      <c r="I13" s="24">
        <f t="shared" si="2"/>
        <v>380.77018846382884</v>
      </c>
      <c r="J13" s="12">
        <v>0.5675</v>
      </c>
      <c r="K13" s="29">
        <v>0</v>
      </c>
      <c r="L13" s="11">
        <f t="shared" si="3"/>
        <v>0</v>
      </c>
      <c r="M13" s="24">
        <f t="shared" si="4"/>
        <v>0</v>
      </c>
      <c r="N13" s="12">
        <f t="shared" si="5"/>
        <v>0.5675</v>
      </c>
      <c r="O13" s="187">
        <v>1.4592336046440142</v>
      </c>
      <c r="P13" s="187">
        <v>1.068939278307885</v>
      </c>
      <c r="Q13" s="187">
        <v>0.91680090778619283</v>
      </c>
      <c r="R13" s="187">
        <v>1.094751239303646</v>
      </c>
      <c r="S13" s="187">
        <v>1.1330049576238543</v>
      </c>
      <c r="T13" s="187">
        <v>0.95090462411897325</v>
      </c>
      <c r="U13" s="187">
        <v>1.0496209746106453</v>
      </c>
      <c r="V13" s="187">
        <v>1.1561390010250989</v>
      </c>
      <c r="W13" s="187">
        <v>0.82299907246379911</v>
      </c>
      <c r="X13" s="187">
        <v>0.44736961613752513</v>
      </c>
      <c r="Y13" s="193"/>
    </row>
    <row r="14" spans="2:25" ht="18" customHeight="1" x14ac:dyDescent="0.3">
      <c r="B14" s="25">
        <v>10</v>
      </c>
      <c r="C14" s="24">
        <v>154.71294295589769</v>
      </c>
      <c r="D14" s="20">
        <v>1776.8268738270331</v>
      </c>
      <c r="E14" s="24">
        <v>406.50304509794739</v>
      </c>
      <c r="F14" s="12">
        <f t="shared" si="0"/>
        <v>0.98098353810153827</v>
      </c>
      <c r="G14" s="29">
        <v>39.023788000000003</v>
      </c>
      <c r="H14" s="20">
        <f t="shared" si="1"/>
        <v>364.07833059252232</v>
      </c>
      <c r="I14" s="24">
        <f t="shared" si="2"/>
        <v>83.293961961115969</v>
      </c>
      <c r="J14" s="12">
        <v>1.1384412415780909</v>
      </c>
      <c r="K14" s="29">
        <v>0</v>
      </c>
      <c r="L14" s="11">
        <f t="shared" si="3"/>
        <v>0</v>
      </c>
      <c r="M14" s="24">
        <f t="shared" si="4"/>
        <v>0</v>
      </c>
      <c r="N14" s="12">
        <f t="shared" si="5"/>
        <v>1.1384412415780909</v>
      </c>
      <c r="O14" s="187">
        <v>1.2920478330907488</v>
      </c>
      <c r="P14" s="187">
        <v>0.86193795713358368</v>
      </c>
      <c r="Q14" s="187">
        <v>1.254371478603532</v>
      </c>
      <c r="R14" s="187">
        <v>1.3248049504841504</v>
      </c>
      <c r="S14" s="187">
        <v>0.56646825251060229</v>
      </c>
      <c r="T14" s="187">
        <v>0.862278393765186</v>
      </c>
      <c r="U14" s="187">
        <v>1.1339356636518814</v>
      </c>
      <c r="V14" s="187"/>
      <c r="W14" s="187"/>
      <c r="X14" s="187">
        <v>0.38011607031185679</v>
      </c>
      <c r="Y14" s="193"/>
    </row>
    <row r="15" spans="2:25" ht="18" customHeight="1" x14ac:dyDescent="0.3">
      <c r="B15" s="25">
        <v>11</v>
      </c>
      <c r="C15" s="24">
        <v>129.3502296792675</v>
      </c>
      <c r="D15" s="20">
        <v>1671.5319192758091</v>
      </c>
      <c r="E15" s="24">
        <v>380.51489904379491</v>
      </c>
      <c r="F15" s="12">
        <f t="shared" si="0"/>
        <v>1.098320338096928</v>
      </c>
      <c r="G15" s="29">
        <v>152.21254500000001</v>
      </c>
      <c r="H15" s="20">
        <f t="shared" si="1"/>
        <v>1319.6013390269632</v>
      </c>
      <c r="I15" s="24">
        <f t="shared" si="2"/>
        <v>300.39986942962378</v>
      </c>
      <c r="J15" s="12">
        <v>1.052630175791039</v>
      </c>
      <c r="K15" s="29">
        <v>0</v>
      </c>
      <c r="L15" s="11">
        <f t="shared" si="3"/>
        <v>0</v>
      </c>
      <c r="M15" s="24">
        <f t="shared" si="4"/>
        <v>0</v>
      </c>
      <c r="N15" s="12">
        <f t="shared" si="5"/>
        <v>1.052630175791039</v>
      </c>
      <c r="O15" s="187">
        <v>1.454947451870112</v>
      </c>
      <c r="P15" s="187">
        <v>1.2461196406447796</v>
      </c>
      <c r="Q15" s="187">
        <v>1.4043380214517529</v>
      </c>
      <c r="R15" s="187">
        <v>1.4913701410435869</v>
      </c>
      <c r="S15" s="187">
        <v>1.399574834676955</v>
      </c>
      <c r="T15" s="187">
        <v>1.060324646931204</v>
      </c>
      <c r="U15" s="187">
        <v>1.1965134865740952</v>
      </c>
      <c r="V15" s="187"/>
      <c r="W15" s="187">
        <v>0.97059116907707454</v>
      </c>
      <c r="X15" s="187">
        <v>0.46516940165350179</v>
      </c>
      <c r="Y15" s="193"/>
    </row>
    <row r="16" spans="2:25" ht="18" customHeight="1" x14ac:dyDescent="0.3">
      <c r="B16" s="25">
        <v>12</v>
      </c>
      <c r="C16" s="24">
        <v>95.023303678645789</v>
      </c>
      <c r="D16" s="20">
        <v>875.84040543465483</v>
      </c>
      <c r="E16" s="24">
        <v>205.17718840119849</v>
      </c>
      <c r="F16" s="12">
        <f t="shared" si="0"/>
        <v>0.80616420798808952</v>
      </c>
      <c r="G16" s="29">
        <v>344.33336099999997</v>
      </c>
      <c r="H16" s="20">
        <f t="shared" si="1"/>
        <v>3027.6253587091205</v>
      </c>
      <c r="I16" s="24">
        <f t="shared" si="2"/>
        <v>709.26124757149512</v>
      </c>
      <c r="J16" s="12">
        <v>1.0986355643058121</v>
      </c>
      <c r="K16" s="29">
        <v>243.74626099999998</v>
      </c>
      <c r="L16" s="11">
        <f t="shared" si="3"/>
        <v>2143.1915825725987</v>
      </c>
      <c r="M16" s="24">
        <f t="shared" si="4"/>
        <v>502.07094852986739</v>
      </c>
      <c r="N16" s="12">
        <f t="shared" si="5"/>
        <v>1.0986355643058121</v>
      </c>
      <c r="O16" s="187">
        <v>1.4458784212056051</v>
      </c>
      <c r="P16" s="187">
        <v>1.2381569683974138</v>
      </c>
      <c r="Q16" s="187">
        <v>0.82787718939478749</v>
      </c>
      <c r="R16" s="187">
        <v>0.881280904679976</v>
      </c>
      <c r="S16" s="187">
        <v>0.66381081191582569</v>
      </c>
      <c r="T16" s="187">
        <v>0.58669724168769299</v>
      </c>
      <c r="U16" s="187">
        <v>1.072726989498993</v>
      </c>
      <c r="V16" s="187"/>
      <c r="W16" s="187"/>
      <c r="X16" s="187">
        <v>0.49241432461654694</v>
      </c>
      <c r="Y16" s="193"/>
    </row>
    <row r="17" spans="2:25" ht="18" customHeight="1" x14ac:dyDescent="0.3">
      <c r="B17" s="25">
        <v>13</v>
      </c>
      <c r="C17" s="24">
        <v>8.4318874727844921</v>
      </c>
      <c r="D17" s="20">
        <v>122.05593163294169</v>
      </c>
      <c r="E17" s="24">
        <v>28.49268235705318</v>
      </c>
      <c r="F17" s="36">
        <f t="shared" si="0"/>
        <v>1.2616331684966935</v>
      </c>
      <c r="G17" s="29">
        <v>60</v>
      </c>
      <c r="H17" s="20">
        <f t="shared" si="1"/>
        <v>560.94199653294334</v>
      </c>
      <c r="I17" s="11">
        <f t="shared" si="2"/>
        <v>130.94605001262221</v>
      </c>
      <c r="J17" s="12">
        <v>1.164039387521888</v>
      </c>
      <c r="K17" s="29">
        <v>1.2316750000000001</v>
      </c>
      <c r="L17" s="11">
        <f t="shared" si="3"/>
        <v>11.514970559661885</v>
      </c>
      <c r="M17" s="24">
        <f t="shared" si="4"/>
        <v>2.6880496024882752</v>
      </c>
      <c r="N17" s="12">
        <f t="shared" si="5"/>
        <v>1.164039387521888</v>
      </c>
      <c r="O17" s="188">
        <v>1.3087157582427196</v>
      </c>
      <c r="P17" s="189">
        <v>1.503468036289312</v>
      </c>
      <c r="Q17" s="189"/>
      <c r="R17" s="189">
        <v>1.4909138653914105</v>
      </c>
      <c r="S17" s="189"/>
      <c r="T17" s="189">
        <v>1.2814256732049589</v>
      </c>
      <c r="U17" s="189">
        <v>1.1953519848286225</v>
      </c>
      <c r="V17" s="189"/>
      <c r="W17" s="189"/>
      <c r="X17" s="189"/>
      <c r="Y17" s="194"/>
    </row>
    <row r="18" spans="2:25" ht="18" customHeight="1" x14ac:dyDescent="0.3">
      <c r="B18" s="32">
        <v>7</v>
      </c>
      <c r="C18" s="28">
        <v>37.451700000000002</v>
      </c>
      <c r="D18" s="33">
        <v>328.63171782678728</v>
      </c>
      <c r="E18" s="23">
        <v>76.669919722570981</v>
      </c>
      <c r="F18" s="12">
        <f t="shared" si="0"/>
        <v>0.76432494956501773</v>
      </c>
      <c r="G18" s="28"/>
      <c r="H18" s="33"/>
      <c r="I18" s="34"/>
      <c r="J18" s="35"/>
      <c r="K18" s="28"/>
      <c r="L18" s="34"/>
      <c r="M18" s="34"/>
      <c r="N18" s="35"/>
      <c r="O18" s="187"/>
      <c r="P18" s="187"/>
      <c r="Q18" s="187"/>
      <c r="R18" s="187"/>
      <c r="S18" s="187"/>
      <c r="T18" s="187"/>
      <c r="U18" s="187">
        <v>1.253472227572777</v>
      </c>
      <c r="V18" s="187">
        <v>0.69042809509580494</v>
      </c>
      <c r="W18" s="187">
        <v>0.79303074452059841</v>
      </c>
      <c r="X18" s="187"/>
      <c r="Y18" s="193"/>
    </row>
    <row r="19" spans="2:25" ht="18" customHeight="1" x14ac:dyDescent="0.3">
      <c r="B19" s="25">
        <v>10</v>
      </c>
      <c r="C19" s="29">
        <v>1.3428</v>
      </c>
      <c r="D19" s="20">
        <v>18.725313915703381</v>
      </c>
      <c r="E19" s="24">
        <v>4.1792022436193328</v>
      </c>
      <c r="F19" s="12">
        <f t="shared" si="0"/>
        <v>1.1620013149746491</v>
      </c>
      <c r="G19" s="29"/>
      <c r="H19" s="20"/>
      <c r="I19" s="11"/>
      <c r="J19" s="12"/>
      <c r="K19" s="29"/>
      <c r="L19" s="11"/>
      <c r="M19" s="11"/>
      <c r="N19" s="12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93"/>
    </row>
    <row r="20" spans="2:25" ht="18" customHeight="1" x14ac:dyDescent="0.3">
      <c r="B20" s="25">
        <v>11</v>
      </c>
      <c r="C20" s="29">
        <v>1.3333999999999999</v>
      </c>
      <c r="D20" s="20">
        <v>20.565599356689169</v>
      </c>
      <c r="E20" s="24">
        <v>4.6758370819804282</v>
      </c>
      <c r="F20" s="12">
        <f t="shared" si="0"/>
        <v>1.3092527166821624</v>
      </c>
      <c r="G20" s="29"/>
      <c r="H20" s="20"/>
      <c r="I20" s="11"/>
      <c r="J20" s="12"/>
      <c r="K20" s="29"/>
      <c r="L20" s="11"/>
      <c r="M20" s="11"/>
      <c r="N20" s="12"/>
      <c r="O20" s="190"/>
      <c r="P20" s="191"/>
      <c r="Q20" s="191"/>
      <c r="R20" s="191"/>
      <c r="S20" s="191"/>
      <c r="T20" s="191"/>
      <c r="U20" s="191"/>
      <c r="V20" s="191"/>
      <c r="W20" s="191"/>
      <c r="X20" s="191"/>
      <c r="Y20" s="193"/>
    </row>
    <row r="21" spans="2:25" ht="18" customHeight="1" x14ac:dyDescent="0.3">
      <c r="B21" s="26">
        <v>12</v>
      </c>
      <c r="C21" s="30">
        <v>5.4</v>
      </c>
      <c r="D21" s="21">
        <v>84.457241617407462</v>
      </c>
      <c r="E21" s="202">
        <v>18.64562352085715</v>
      </c>
      <c r="F21" s="36">
        <f t="shared" si="0"/>
        <v>1.2891626510615202</v>
      </c>
      <c r="G21" s="30"/>
      <c r="H21" s="21"/>
      <c r="I21" s="4"/>
      <c r="J21" s="36"/>
      <c r="K21" s="30"/>
      <c r="L21" s="4"/>
      <c r="M21" s="4"/>
      <c r="N21" s="36"/>
      <c r="O21" s="190"/>
      <c r="P21" s="191"/>
      <c r="Q21" s="191"/>
      <c r="R21" s="191"/>
      <c r="S21" s="191"/>
      <c r="T21" s="191"/>
      <c r="U21" s="191"/>
      <c r="V21" s="191"/>
      <c r="W21" s="191"/>
      <c r="X21" s="191"/>
      <c r="Y21" s="193"/>
    </row>
    <row r="22" spans="2:25" ht="18" customHeight="1" x14ac:dyDescent="0.3">
      <c r="B22" s="37" t="s">
        <v>5</v>
      </c>
      <c r="C22" s="38">
        <f>SUM(C5:C21)</f>
        <v>1641.3863810551977</v>
      </c>
      <c r="D22" s="39">
        <f>SUM(D5:D21)</f>
        <v>17305.24664845283</v>
      </c>
      <c r="E22" s="39">
        <f>SUM(E5:E21)</f>
        <v>3999.0987551894295</v>
      </c>
      <c r="F22" s="40">
        <f>SUMPRODUCT(F5:F21,C5:C21)/C22</f>
        <v>0.90965323201931692</v>
      </c>
      <c r="G22" s="41">
        <f>SUM(G5:G21)</f>
        <v>1936.1127280000001</v>
      </c>
      <c r="H22" s="39">
        <f>SUM(H5:H21)</f>
        <v>14558.635381458542</v>
      </c>
      <c r="I22" s="39">
        <f>SUM(I5:I21)</f>
        <v>3371.7534482330057</v>
      </c>
      <c r="J22" s="145">
        <f>SUMPRODUCT(J5:J21,C5:C21)/C22</f>
        <v>0.89411709527704086</v>
      </c>
      <c r="K22" s="41">
        <f>SUM(K5:K21)</f>
        <v>352.10589599999997</v>
      </c>
      <c r="L22" s="39">
        <f>SUM(L5:L21)</f>
        <v>3142.9264534785157</v>
      </c>
      <c r="M22" s="39">
        <f>SUM(M5:M21)</f>
        <v>730.78642367780481</v>
      </c>
      <c r="N22" s="195">
        <f>SUMPRODUCT(N5:N21,C5:C21)/C22</f>
        <v>0.89411709527704086</v>
      </c>
      <c r="O22" s="196"/>
      <c r="P22" s="197"/>
      <c r="Q22" s="197"/>
      <c r="R22" s="197"/>
      <c r="S22" s="197"/>
      <c r="T22" s="197"/>
      <c r="U22" s="197"/>
      <c r="V22" s="197"/>
      <c r="W22" s="197"/>
      <c r="X22" s="197"/>
      <c r="Y22" s="13"/>
    </row>
    <row r="26" spans="2:25" ht="18" customHeight="1" x14ac:dyDescent="0.3">
      <c r="B26" s="25">
        <v>7</v>
      </c>
      <c r="C26" s="24">
        <v>193.36149999999998</v>
      </c>
      <c r="D26" s="20">
        <v>1305.0039147056191</v>
      </c>
      <c r="E26" s="24">
        <v>313.16329871220825</v>
      </c>
      <c r="F26" s="12">
        <f t="shared" ref="F26" si="6">E26*1000*1000/31/24/3600/C26</f>
        <v>0.60467973810653397</v>
      </c>
      <c r="G26" s="29">
        <v>0</v>
      </c>
      <c r="H26" s="20">
        <f t="shared" ref="H26" si="7">I26/(E26/D26)</f>
        <v>0</v>
      </c>
      <c r="I26" s="24">
        <f t="shared" ref="I26" si="8">J26*G26*$P$2*31*24*3600/1000/1000</f>
        <v>0</v>
      </c>
      <c r="J26" s="12">
        <v>0.75377044598770371</v>
      </c>
      <c r="K26" s="29">
        <v>0</v>
      </c>
      <c r="L26" s="11">
        <f t="shared" ref="L26" si="9">M26/(E26/D26)</f>
        <v>0</v>
      </c>
      <c r="M26" s="24">
        <f t="shared" ref="M26" si="10">N26*K26*$P$2*31*24*3600/1000/1000</f>
        <v>0</v>
      </c>
      <c r="N26" s="12">
        <f t="shared" ref="N26" si="11">J26</f>
        <v>0.75377044598770371</v>
      </c>
      <c r="O26" s="187">
        <v>1.2710308502149961</v>
      </c>
      <c r="P26" s="187">
        <v>1.0049456581739753</v>
      </c>
      <c r="Q26" s="187">
        <v>0.94140397385909746</v>
      </c>
      <c r="R26" s="187">
        <v>1.1269591033664792</v>
      </c>
      <c r="S26" s="187">
        <v>0.78188119461087235</v>
      </c>
      <c r="T26" s="187">
        <v>0.78150070186726273</v>
      </c>
      <c r="U26" s="187">
        <v>1.0111593587656318</v>
      </c>
      <c r="V26" s="187">
        <v>0.77614645423079798</v>
      </c>
      <c r="W26" s="187">
        <v>0.54356501380218025</v>
      </c>
      <c r="X26" s="187">
        <v>0.53346268737329439</v>
      </c>
      <c r="Y26" s="193">
        <v>0.30937637131913698</v>
      </c>
    </row>
    <row r="27" spans="2:25" x14ac:dyDescent="0.3">
      <c r="O27" s="31"/>
    </row>
    <row r="28" spans="2:25" x14ac:dyDescent="0.3">
      <c r="J28" s="31"/>
      <c r="M28" s="31"/>
      <c r="O28" s="31"/>
      <c r="R28" s="31"/>
    </row>
    <row r="29" spans="2:25" x14ac:dyDescent="0.3">
      <c r="J29" s="31"/>
      <c r="M29" s="31"/>
      <c r="O29" s="31"/>
      <c r="R29" s="31"/>
    </row>
    <row r="30" spans="2:25" x14ac:dyDescent="0.3">
      <c r="J30" s="31"/>
      <c r="M30" s="31"/>
      <c r="O30" s="31"/>
      <c r="R30" s="31"/>
    </row>
    <row r="31" spans="2:25" x14ac:dyDescent="0.3">
      <c r="J31" s="31"/>
      <c r="M31" s="31"/>
      <c r="O31" s="31"/>
      <c r="P31" s="31"/>
      <c r="R31" s="31"/>
    </row>
    <row r="32" spans="2:25" x14ac:dyDescent="0.3">
      <c r="J32" s="31"/>
      <c r="M32" s="31"/>
      <c r="O32" s="31"/>
      <c r="P32" s="31"/>
      <c r="R32" s="31"/>
    </row>
    <row r="33" spans="10:18" x14ac:dyDescent="0.3">
      <c r="J33" s="31"/>
      <c r="M33" s="31"/>
      <c r="O33" s="31"/>
      <c r="P33" s="31"/>
      <c r="R33" s="31"/>
    </row>
    <row r="34" spans="10:18" x14ac:dyDescent="0.3">
      <c r="J34" s="31"/>
      <c r="M34" s="31"/>
      <c r="O34" s="31"/>
      <c r="P34" s="31"/>
      <c r="R34" s="31"/>
    </row>
    <row r="35" spans="10:18" x14ac:dyDescent="0.3">
      <c r="J35" s="31"/>
      <c r="O35" s="31"/>
      <c r="P35" s="31"/>
      <c r="R35" s="31"/>
    </row>
    <row r="36" spans="10:18" x14ac:dyDescent="0.3">
      <c r="J36" s="31"/>
      <c r="O36" s="31"/>
      <c r="P36" s="31"/>
      <c r="R36" s="31"/>
    </row>
    <row r="37" spans="10:18" x14ac:dyDescent="0.3">
      <c r="J37" s="31"/>
      <c r="O37" s="31"/>
      <c r="P37" s="31"/>
      <c r="R37" s="31"/>
    </row>
    <row r="38" spans="10:18" x14ac:dyDescent="0.3">
      <c r="J38" s="31"/>
      <c r="O38" s="31"/>
      <c r="R38" s="31"/>
    </row>
    <row r="39" spans="10:18" x14ac:dyDescent="0.3">
      <c r="J39" s="31"/>
      <c r="R39" s="31"/>
    </row>
    <row r="40" spans="10:18" x14ac:dyDescent="0.3">
      <c r="R40" s="31"/>
    </row>
    <row r="41" spans="10:18" x14ac:dyDescent="0.3">
      <c r="R41" s="31"/>
    </row>
  </sheetData>
  <mergeCells count="6">
    <mergeCell ref="O3:Y3"/>
    <mergeCell ref="B3:B4"/>
    <mergeCell ref="C2:F2"/>
    <mergeCell ref="C1:N1"/>
    <mergeCell ref="G2:J2"/>
    <mergeCell ref="K2:N2"/>
  </mergeCells>
  <pageMargins left="0.7" right="0.7" top="0.75" bottom="0.75" header="0.3" footer="0.3"/>
  <pageSetup orientation="portrait" r:id="rId1"/>
  <ignoredErrors>
    <ignoredError sqref="F22 J2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AE07-82BA-4169-A86F-7D42BB7E1BDE}">
  <sheetPr>
    <tabColor rgb="FF00B0F0"/>
    <pageSetUpPr fitToPage="1"/>
  </sheetPr>
  <dimension ref="B1:W48"/>
  <sheetViews>
    <sheetView rightToLeft="1" tabSelected="1" topLeftCell="B1" zoomScale="85" zoomScaleNormal="85" workbookViewId="0">
      <pane ySplit="4" topLeftCell="A5" activePane="bottomLeft" state="frozen"/>
      <selection activeCell="C1" sqref="C1"/>
      <selection pane="bottomLeft" activeCell="J14" sqref="J14"/>
    </sheetView>
  </sheetViews>
  <sheetFormatPr defaultColWidth="9.21875" defaultRowHeight="14.4" x14ac:dyDescent="0.3"/>
  <cols>
    <col min="1" max="1" width="9.21875" style="42" customWidth="1"/>
    <col min="2" max="2" width="3" style="42" customWidth="1"/>
    <col min="3" max="3" width="21.109375" style="42" bestFit="1" customWidth="1"/>
    <col min="4" max="8" width="11.44140625" style="42" customWidth="1"/>
    <col min="9" max="9" width="8.5546875" style="42" customWidth="1"/>
    <col min="10" max="10" width="10" style="42" customWidth="1"/>
    <col min="11" max="11" width="15.5546875" style="42" customWidth="1"/>
    <col min="12" max="12" width="10.21875" style="42" customWidth="1"/>
    <col min="13" max="14" width="8.44140625" style="42" customWidth="1"/>
    <col min="15" max="15" width="9.77734375" style="42" customWidth="1"/>
    <col min="16" max="16" width="11.77734375" style="42" customWidth="1"/>
    <col min="17" max="17" width="9.44140625" style="42" bestFit="1" customWidth="1"/>
    <col min="18" max="18" width="11.21875" style="42" customWidth="1"/>
    <col min="19" max="19" width="10.5546875" style="42" customWidth="1"/>
    <col min="20" max="20" width="11.5546875" style="42" customWidth="1"/>
    <col min="21" max="22" width="10.5546875" style="42" customWidth="1"/>
    <col min="23" max="23" width="12.77734375" style="42" customWidth="1"/>
    <col min="24" max="16384" width="9.21875" style="42"/>
  </cols>
  <sheetData>
    <row r="1" spans="3:23" ht="10.5" customHeight="1" x14ac:dyDescent="0.3"/>
    <row r="2" spans="3:23" ht="24.75" customHeight="1" x14ac:dyDescent="0.75">
      <c r="C2" s="43"/>
      <c r="D2" s="43"/>
      <c r="E2" s="44" t="s">
        <v>14</v>
      </c>
      <c r="I2" s="43"/>
      <c r="J2" s="43"/>
      <c r="L2" s="272" t="s">
        <v>54</v>
      </c>
      <c r="M2" s="272"/>
      <c r="N2" s="198">
        <v>0.7</v>
      </c>
    </row>
    <row r="3" spans="3:23" ht="24" customHeight="1" x14ac:dyDescent="0.3">
      <c r="C3" s="264" t="s">
        <v>15</v>
      </c>
      <c r="D3" s="277" t="s">
        <v>16</v>
      </c>
      <c r="E3" s="276"/>
      <c r="F3" s="276"/>
      <c r="G3" s="276"/>
      <c r="H3" s="278"/>
      <c r="I3" s="266" t="s">
        <v>17</v>
      </c>
      <c r="J3" s="268" t="s">
        <v>18</v>
      </c>
      <c r="K3" s="270" t="s">
        <v>19</v>
      </c>
      <c r="L3" s="261" t="s">
        <v>20</v>
      </c>
      <c r="M3" s="262"/>
      <c r="N3" s="262"/>
      <c r="O3" s="262"/>
      <c r="P3" s="262"/>
      <c r="Q3" s="262"/>
      <c r="R3" s="263"/>
      <c r="S3" s="273" t="s">
        <v>21</v>
      </c>
      <c r="T3" s="274"/>
      <c r="U3" s="275"/>
      <c r="V3" s="276" t="s">
        <v>22</v>
      </c>
      <c r="W3" s="276"/>
    </row>
    <row r="4" spans="3:23" ht="41.25" customHeight="1" x14ac:dyDescent="0.3">
      <c r="C4" s="265"/>
      <c r="D4" s="45" t="s">
        <v>23</v>
      </c>
      <c r="E4" s="45" t="s">
        <v>40</v>
      </c>
      <c r="F4" s="46" t="s">
        <v>24</v>
      </c>
      <c r="G4" s="46" t="s">
        <v>25</v>
      </c>
      <c r="H4" s="46" t="s">
        <v>26</v>
      </c>
      <c r="I4" s="267"/>
      <c r="J4" s="269"/>
      <c r="K4" s="271"/>
      <c r="L4" s="47" t="s">
        <v>27</v>
      </c>
      <c r="M4" s="48" t="s">
        <v>24</v>
      </c>
      <c r="N4" s="48" t="s">
        <v>25</v>
      </c>
      <c r="O4" s="48" t="s">
        <v>26</v>
      </c>
      <c r="P4" s="49" t="s">
        <v>28</v>
      </c>
      <c r="Q4" s="50" t="s">
        <v>29</v>
      </c>
      <c r="R4" s="51" t="s">
        <v>30</v>
      </c>
      <c r="S4" s="52" t="s">
        <v>31</v>
      </c>
      <c r="T4" s="46" t="s">
        <v>32</v>
      </c>
      <c r="U4" s="53" t="s">
        <v>33</v>
      </c>
      <c r="V4" s="54" t="s">
        <v>34</v>
      </c>
      <c r="W4" s="54" t="s">
        <v>35</v>
      </c>
    </row>
    <row r="5" spans="3:23" ht="19.5" customHeight="1" x14ac:dyDescent="0.75">
      <c r="C5" s="43"/>
      <c r="D5" s="43"/>
      <c r="E5" s="44"/>
      <c r="I5" s="43"/>
      <c r="J5" s="43"/>
      <c r="T5" s="55"/>
    </row>
    <row r="6" spans="3:23" ht="22.5" customHeight="1" x14ac:dyDescent="0.3">
      <c r="C6" s="56">
        <v>1</v>
      </c>
      <c r="D6" s="57">
        <v>42.587899999999998</v>
      </c>
      <c r="E6" s="57">
        <f>هیدرومدول!C5</f>
        <v>44.961444338682611</v>
      </c>
      <c r="F6" s="102">
        <f>هیدرومدول!K5*$N$2</f>
        <v>0.807338</v>
      </c>
      <c r="G6" s="103">
        <f>هیدرومدول!G5*$N$2</f>
        <v>7.2705079999999986</v>
      </c>
      <c r="H6" s="141">
        <v>0</v>
      </c>
      <c r="I6" s="58">
        <v>0.1</v>
      </c>
      <c r="J6" s="59">
        <v>0.05</v>
      </c>
      <c r="K6" s="60">
        <f>SUM(E6:H6)*(1+I6)*(1+J6)</f>
        <v>61.260380341178426</v>
      </c>
      <c r="L6" s="61">
        <f>هیدرومدول!E5*1000/31/24/3600*1000</f>
        <v>57.92927747530176</v>
      </c>
      <c r="M6" s="65">
        <f>F6*هیدرومدول!N5</f>
        <v>0.99252739996529771</v>
      </c>
      <c r="N6" s="66">
        <f>G6*هیدرومدول!J5</f>
        <v>8.9382370229902417</v>
      </c>
      <c r="O6" s="66">
        <f>H6*هیدرومدول!N5</f>
        <v>0</v>
      </c>
      <c r="P6" s="62">
        <f t="shared" ref="P6:P22" si="0">SUM(L6:O6)*(J6+I6)</f>
        <v>10.179006284738595</v>
      </c>
      <c r="Q6" s="63">
        <v>0.05</v>
      </c>
      <c r="R6" s="64">
        <f t="shared" ref="R6:R22" si="1">SUM(L6:O6)*(1+J6)*(1+Q6)*(1+I6)</f>
        <v>82.297265812111561</v>
      </c>
      <c r="S6" s="65">
        <f>R6*3600*24*31/1000/1000</f>
        <v>220.4249967511596</v>
      </c>
      <c r="T6" s="66">
        <f>S6/U6</f>
        <v>949.72348358213594</v>
      </c>
      <c r="U6" s="67">
        <f>(هیدرومدول!E5/هیدرومدول!D5)</f>
        <v>0.23209386791170816</v>
      </c>
      <c r="V6" s="68">
        <f t="shared" ref="V6:V22" si="2">R6/K6</f>
        <v>1.3434011567308604</v>
      </c>
      <c r="W6" s="69">
        <f t="shared" ref="W6:W22" si="3">T6*1000/K6</f>
        <v>15503.062147065128</v>
      </c>
    </row>
    <row r="7" spans="3:23" ht="22.5" customHeight="1" x14ac:dyDescent="0.3">
      <c r="C7" s="71">
        <v>2</v>
      </c>
      <c r="D7" s="72">
        <v>124.5886</v>
      </c>
      <c r="E7" s="72">
        <f>هیدرومدول!C6</f>
        <v>128.31015849339019</v>
      </c>
      <c r="F7" s="73">
        <f>هیدرومدول!K6*$N$2</f>
        <v>16.290916599999999</v>
      </c>
      <c r="G7" s="74">
        <f>هیدرومدول!G6*$N$2</f>
        <v>79.083682999999994</v>
      </c>
      <c r="H7" s="142">
        <v>0</v>
      </c>
      <c r="I7" s="75">
        <f t="shared" ref="I7:J18" si="4">I6</f>
        <v>0.1</v>
      </c>
      <c r="J7" s="76">
        <f>J6</f>
        <v>0.05</v>
      </c>
      <c r="K7" s="77">
        <f t="shared" ref="K7:K22" si="5">SUM(E7:H7)*(1+I7)*(1+J7)</f>
        <v>258.3558955978657</v>
      </c>
      <c r="L7" s="78">
        <f>هیدرومدول!E6*1000/31/24/3600*1000</f>
        <v>133.83668770201703</v>
      </c>
      <c r="M7" s="82">
        <f>F7*هیدرومدول!N6</f>
        <v>19.781433945793861</v>
      </c>
      <c r="N7" s="83">
        <f>G7*هیدرومدول!J6</f>
        <v>96.028276975808765</v>
      </c>
      <c r="O7" s="83">
        <f>H7*هیدرومدول!N6</f>
        <v>0</v>
      </c>
      <c r="P7" s="79">
        <f t="shared" si="0"/>
        <v>37.446959793542952</v>
      </c>
      <c r="Q7" s="80">
        <f t="shared" ref="Q7:Q18" si="6">Q6</f>
        <v>0.05</v>
      </c>
      <c r="R7" s="81">
        <f t="shared" si="1"/>
        <v>302.75866993079478</v>
      </c>
      <c r="S7" s="82">
        <f t="shared" ref="S7:S22" si="7">R7*3600*24*31/1000/1000</f>
        <v>810.90882154264079</v>
      </c>
      <c r="T7" s="83">
        <f t="shared" ref="T7:T22" si="8">S7/U7</f>
        <v>3531.4401845815314</v>
      </c>
      <c r="U7" s="84">
        <f>(هیدرومدول!E6/هیدرومدول!D6)</f>
        <v>0.22962552929060354</v>
      </c>
      <c r="V7" s="70">
        <f t="shared" si="2"/>
        <v>1.1718666966363429</v>
      </c>
      <c r="W7" s="85">
        <f t="shared" si="3"/>
        <v>13668.897225702423</v>
      </c>
    </row>
    <row r="8" spans="3:23" ht="22.5" customHeight="1" x14ac:dyDescent="0.3">
      <c r="C8" s="71">
        <v>3</v>
      </c>
      <c r="D8" s="72">
        <v>103.5865</v>
      </c>
      <c r="E8" s="72">
        <f>هیدرومدول!C7</f>
        <v>103.6064933887299</v>
      </c>
      <c r="F8" s="73">
        <f>هیدرومدول!K7*$N$2</f>
        <v>0</v>
      </c>
      <c r="G8" s="74">
        <f>هیدرومدول!G7*$N$2</f>
        <v>103.4493999</v>
      </c>
      <c r="H8" s="142">
        <v>7.1359824143999893</v>
      </c>
      <c r="I8" s="75">
        <f t="shared" si="4"/>
        <v>0.1</v>
      </c>
      <c r="J8" s="76">
        <f t="shared" si="4"/>
        <v>0.05</v>
      </c>
      <c r="K8" s="77">
        <f t="shared" si="5"/>
        <v>247.39161643711506</v>
      </c>
      <c r="L8" s="78">
        <f>هیدرومدول!E7*1000/31/24/3600*1000</f>
        <v>109.88708961237276</v>
      </c>
      <c r="M8" s="82">
        <f>F8*هیدرومدول!N7</f>
        <v>0</v>
      </c>
      <c r="N8" s="83">
        <f>G8*هیدرومدول!J7</f>
        <v>104.70240807417817</v>
      </c>
      <c r="O8" s="83">
        <f>H8*هیدرومدول!N7</f>
        <v>7.2224154367730344</v>
      </c>
      <c r="P8" s="79">
        <f t="shared" si="0"/>
        <v>33.271786968498603</v>
      </c>
      <c r="Q8" s="80">
        <f t="shared" si="6"/>
        <v>0.05</v>
      </c>
      <c r="R8" s="81">
        <f t="shared" si="1"/>
        <v>269.00239764031124</v>
      </c>
      <c r="S8" s="82">
        <f t="shared" si="7"/>
        <v>720.49602183980949</v>
      </c>
      <c r="T8" s="83">
        <f t="shared" si="8"/>
        <v>3141.5794831717067</v>
      </c>
      <c r="U8" s="84">
        <f>(هیدرومدول!E7/هیدرومدول!D7)</f>
        <v>0.2293419681721387</v>
      </c>
      <c r="V8" s="70">
        <f t="shared" si="2"/>
        <v>1.0873545414126411</v>
      </c>
      <c r="W8" s="85">
        <f t="shared" si="3"/>
        <v>12698.8114165553</v>
      </c>
    </row>
    <row r="9" spans="3:23" ht="22.5" customHeight="1" x14ac:dyDescent="0.3">
      <c r="C9" s="86">
        <v>4</v>
      </c>
      <c r="D9" s="87">
        <v>51.905000000000001</v>
      </c>
      <c r="E9" s="87">
        <f>هیدرومدول!C8</f>
        <v>61.494784349558167</v>
      </c>
      <c r="F9" s="88">
        <f>هیدرومدول!K8*$N$2</f>
        <v>8.6046253999999998</v>
      </c>
      <c r="G9" s="89">
        <f>هیدرومدول!G8*$N$2</f>
        <v>46.909533999999987</v>
      </c>
      <c r="H9" s="143">
        <v>0</v>
      </c>
      <c r="I9" s="90">
        <f t="shared" si="4"/>
        <v>0.1</v>
      </c>
      <c r="J9" s="91">
        <f t="shared" si="4"/>
        <v>0.05</v>
      </c>
      <c r="K9" s="92">
        <f t="shared" si="5"/>
        <v>135.14533003073967</v>
      </c>
      <c r="L9" s="93">
        <f>هیدرومدول!E8*1000/31/24/3600*1000</f>
        <v>63.711808463460457</v>
      </c>
      <c r="M9" s="97">
        <f>F9*هیدرومدول!N8</f>
        <v>8.9066902740202085</v>
      </c>
      <c r="N9" s="98">
        <f>G9*هیدرومدول!J8</f>
        <v>48.556290461711463</v>
      </c>
      <c r="O9" s="98">
        <f>H9*هیدرومدول!N8</f>
        <v>0</v>
      </c>
      <c r="P9" s="94">
        <f t="shared" si="0"/>
        <v>18.176218379878822</v>
      </c>
      <c r="Q9" s="95">
        <f t="shared" si="6"/>
        <v>0.05</v>
      </c>
      <c r="R9" s="96">
        <f t="shared" si="1"/>
        <v>146.95472560132026</v>
      </c>
      <c r="S9" s="97">
        <f t="shared" si="7"/>
        <v>393.60353705057616</v>
      </c>
      <c r="T9" s="98">
        <f t="shared" si="8"/>
        <v>1732.5354581656632</v>
      </c>
      <c r="U9" s="99">
        <f>(هیدرومدول!E8/هیدرومدول!D8)</f>
        <v>0.2271835391278556</v>
      </c>
      <c r="V9" s="100">
        <f t="shared" si="2"/>
        <v>1.0873829348590474</v>
      </c>
      <c r="W9" s="101">
        <f t="shared" si="3"/>
        <v>12819.795236517508</v>
      </c>
    </row>
    <row r="10" spans="3:23" ht="22.5" customHeight="1" x14ac:dyDescent="0.3">
      <c r="C10" s="56">
        <v>5</v>
      </c>
      <c r="D10" s="57">
        <v>44.6798</v>
      </c>
      <c r="E10" s="57">
        <f>هیدرومدول!C9</f>
        <v>55.680299853927153</v>
      </c>
      <c r="F10" s="102">
        <f>هیدرومدول!K9*$N$2</f>
        <v>45.676698899999998</v>
      </c>
      <c r="G10" s="103">
        <f>هیدرومدول!G9*$N$2</f>
        <v>32.486343399999996</v>
      </c>
      <c r="H10" s="141">
        <v>9.0382270467999906</v>
      </c>
      <c r="I10" s="104">
        <f t="shared" si="4"/>
        <v>0.1</v>
      </c>
      <c r="J10" s="105">
        <f t="shared" si="4"/>
        <v>0.05</v>
      </c>
      <c r="K10" s="60">
        <f t="shared" si="5"/>
        <v>165.02821242683987</v>
      </c>
      <c r="L10" s="61">
        <f>هیدرومدول!E9*1000/31/24/3600*1000</f>
        <v>59.335389244048535</v>
      </c>
      <c r="M10" s="65">
        <f>F10*هیدرومدول!N9</f>
        <v>50.633580490629996</v>
      </c>
      <c r="N10" s="66">
        <f>G10*هیدرومدول!J9</f>
        <v>36.011794262788683</v>
      </c>
      <c r="O10" s="66">
        <f>H10*هیدرومدول!N9</f>
        <v>10.019064592838523</v>
      </c>
      <c r="P10" s="106">
        <f t="shared" si="0"/>
        <v>23.399974288545863</v>
      </c>
      <c r="Q10" s="107">
        <f t="shared" si="6"/>
        <v>0.05</v>
      </c>
      <c r="R10" s="64">
        <f t="shared" si="1"/>
        <v>189.18879212289332</v>
      </c>
      <c r="S10" s="65">
        <f t="shared" si="7"/>
        <v>506.72326082195741</v>
      </c>
      <c r="T10" s="66">
        <f t="shared" si="8"/>
        <v>2216.5354112884629</v>
      </c>
      <c r="U10" s="67">
        <f>(هیدرومدول!E9/هیدرومدول!D9)</f>
        <v>0.22861049647178941</v>
      </c>
      <c r="V10" s="68">
        <f t="shared" si="2"/>
        <v>1.1464027231511358</v>
      </c>
      <c r="W10" s="69">
        <f t="shared" si="3"/>
        <v>13431.251412670395</v>
      </c>
    </row>
    <row r="11" spans="3:23" ht="22.5" customHeight="1" x14ac:dyDescent="0.3">
      <c r="C11" s="71">
        <v>6</v>
      </c>
      <c r="D11" s="72">
        <v>78.962400000000002</v>
      </c>
      <c r="E11" s="72">
        <f>هیدرومدول!C10</f>
        <v>84.709248549526109</v>
      </c>
      <c r="F11" s="73">
        <f>هیدرومدول!K10*$N$2</f>
        <v>3.6099930999999996</v>
      </c>
      <c r="G11" s="74">
        <f>هیدرومدول!G10*$N$2</f>
        <v>105.1596651</v>
      </c>
      <c r="H11" s="142">
        <v>0</v>
      </c>
      <c r="I11" s="75">
        <f t="shared" si="4"/>
        <v>0.1</v>
      </c>
      <c r="J11" s="76">
        <f t="shared" si="4"/>
        <v>0.05</v>
      </c>
      <c r="K11" s="77">
        <f t="shared" si="5"/>
        <v>223.46813729570269</v>
      </c>
      <c r="L11" s="78">
        <f>هیدرومدول!E10*1000/31/24/3600*1000</f>
        <v>94.150949740924901</v>
      </c>
      <c r="M11" s="82">
        <f>F11*هیدرومدول!N10</f>
        <v>4.0747409875032634</v>
      </c>
      <c r="N11" s="83">
        <f>G11*هیدرومدول!J10</f>
        <v>118.69784394188636</v>
      </c>
      <c r="O11" s="83">
        <f>H11*هیدرومدول!N10</f>
        <v>0</v>
      </c>
      <c r="P11" s="79">
        <f t="shared" si="0"/>
        <v>32.538530200547186</v>
      </c>
      <c r="Q11" s="80">
        <f t="shared" si="6"/>
        <v>0.05</v>
      </c>
      <c r="R11" s="81">
        <f t="shared" si="1"/>
        <v>263.07401667142398</v>
      </c>
      <c r="S11" s="82">
        <f t="shared" si="7"/>
        <v>704.61744625274207</v>
      </c>
      <c r="T11" s="83">
        <f t="shared" si="8"/>
        <v>3086.2069969961885</v>
      </c>
      <c r="U11" s="84">
        <f>(هیدرومدول!E10/هیدرومدول!D10)</f>
        <v>0.22831179079645261</v>
      </c>
      <c r="V11" s="70">
        <f t="shared" si="2"/>
        <v>1.177232780722171</v>
      </c>
      <c r="W11" s="85">
        <f t="shared" si="3"/>
        <v>13810.501283735077</v>
      </c>
    </row>
    <row r="12" spans="3:23" ht="22.5" customHeight="1" x14ac:dyDescent="0.3">
      <c r="C12" s="71">
        <v>7</v>
      </c>
      <c r="D12" s="72">
        <v>452.69810000000001</v>
      </c>
      <c r="E12" s="72">
        <f>هیدرومدول!C11</f>
        <v>340.59345198686083</v>
      </c>
      <c r="F12" s="73">
        <f>هیدرومدول!K11*$N$2</f>
        <v>0</v>
      </c>
      <c r="G12" s="74">
        <f>هیدرومدول!G11*$N$2</f>
        <v>199.80766749999998</v>
      </c>
      <c r="H12" s="142">
        <v>0</v>
      </c>
      <c r="I12" s="75">
        <f t="shared" si="4"/>
        <v>0.1</v>
      </c>
      <c r="J12" s="76">
        <f t="shared" si="4"/>
        <v>0.05</v>
      </c>
      <c r="K12" s="77">
        <f t="shared" si="5"/>
        <v>624.16329300732423</v>
      </c>
      <c r="L12" s="78">
        <f>هیدرومدول!E11*1000/31/24/3600*1000</f>
        <v>246.50226652809215</v>
      </c>
      <c r="M12" s="82">
        <f>F12*هیدرومدول!N11</f>
        <v>0</v>
      </c>
      <c r="N12" s="83">
        <f>G12*هیدرومدول!J11</f>
        <v>150.6091146432378</v>
      </c>
      <c r="O12" s="83">
        <f>H12*هیدرومدول!N11</f>
        <v>0</v>
      </c>
      <c r="P12" s="79">
        <f t="shared" si="0"/>
        <v>59.566707175699506</v>
      </c>
      <c r="Q12" s="80">
        <f t="shared" si="6"/>
        <v>0.05</v>
      </c>
      <c r="R12" s="81">
        <f t="shared" si="1"/>
        <v>481.59682751553055</v>
      </c>
      <c r="S12" s="82">
        <f t="shared" si="7"/>
        <v>1289.9089428175971</v>
      </c>
      <c r="T12" s="83">
        <f t="shared" si="8"/>
        <v>5471.39150963066</v>
      </c>
      <c r="U12" s="84">
        <f>(هیدرومدول!E11/هیدرومدول!D11)</f>
        <v>0.23575518961622816</v>
      </c>
      <c r="V12" s="70">
        <f t="shared" si="2"/>
        <v>0.77158787277463181</v>
      </c>
      <c r="W12" s="85">
        <f t="shared" si="3"/>
        <v>8765.9616817076349</v>
      </c>
    </row>
    <row r="13" spans="3:23" s="185" customFormat="1" ht="22.5" customHeight="1" x14ac:dyDescent="0.3">
      <c r="C13" s="86">
        <v>8</v>
      </c>
      <c r="D13" s="87">
        <v>111.2728</v>
      </c>
      <c r="E13" s="87">
        <f>هیدرومدول!C12</f>
        <v>95.76985784994099</v>
      </c>
      <c r="F13" s="88">
        <f>هیدرومدول!K12*$N$2</f>
        <v>0</v>
      </c>
      <c r="G13" s="89">
        <f>هیدرومدول!G12*$N$2</f>
        <v>113.70530149999998</v>
      </c>
      <c r="H13" s="143">
        <v>0</v>
      </c>
      <c r="I13" s="90">
        <f t="shared" si="4"/>
        <v>0.1</v>
      </c>
      <c r="J13" s="91">
        <f t="shared" si="4"/>
        <v>0.05</v>
      </c>
      <c r="K13" s="92">
        <f t="shared" si="5"/>
        <v>241.94380904918182</v>
      </c>
      <c r="L13" s="93">
        <f>هیدرومدول!E12*1000/31/24/3600*1000</f>
        <v>78.180563841076292</v>
      </c>
      <c r="M13" s="97">
        <f>F13*هیدرومدول!N12</f>
        <v>0</v>
      </c>
      <c r="N13" s="98">
        <f>G13*هیدرومدول!J12</f>
        <v>96.208920965337612</v>
      </c>
      <c r="O13" s="98">
        <f>H13*هیدرومدول!N12</f>
        <v>0</v>
      </c>
      <c r="P13" s="94">
        <f t="shared" si="0"/>
        <v>26.15842272096209</v>
      </c>
      <c r="Q13" s="95">
        <f t="shared" si="6"/>
        <v>0.05</v>
      </c>
      <c r="R13" s="96">
        <f t="shared" si="1"/>
        <v>211.49084769897851</v>
      </c>
      <c r="S13" s="97">
        <f t="shared" si="7"/>
        <v>566.45708647694403</v>
      </c>
      <c r="T13" s="98">
        <f t="shared" si="8"/>
        <v>2428.9550166085937</v>
      </c>
      <c r="U13" s="99">
        <f>(هیدرومدول!E12/هیدرومدول!D12)</f>
        <v>0.23321020051983282</v>
      </c>
      <c r="V13" s="100">
        <f t="shared" si="2"/>
        <v>0.8741320909599597</v>
      </c>
      <c r="W13" s="101">
        <f t="shared" si="3"/>
        <v>10039.33527439357</v>
      </c>
    </row>
    <row r="14" spans="3:23" s="185" customFormat="1" ht="22.2" customHeight="1" x14ac:dyDescent="0.3">
      <c r="C14" s="56">
        <v>9</v>
      </c>
      <c r="D14" s="57">
        <v>386.35109999999997</v>
      </c>
      <c r="E14" s="57">
        <f>هیدرومدول!C13</f>
        <v>293.21437845798607</v>
      </c>
      <c r="F14" s="102">
        <f>هیدرومدول!K13*$N$2</f>
        <v>0</v>
      </c>
      <c r="G14" s="103">
        <f>هیدرومدول!G13*$N$2</f>
        <v>250.50802139999999</v>
      </c>
      <c r="H14" s="141">
        <v>0</v>
      </c>
      <c r="I14" s="104">
        <f t="shared" si="4"/>
        <v>0.1</v>
      </c>
      <c r="J14" s="105">
        <f t="shared" si="4"/>
        <v>0.05</v>
      </c>
      <c r="K14" s="60">
        <f t="shared" si="5"/>
        <v>627.99937183597388</v>
      </c>
      <c r="L14" s="61">
        <f>هیدرومدول!E13*1000/31/24/3600*1000</f>
        <v>229.58438052009845</v>
      </c>
      <c r="M14" s="65">
        <f>F14*هیدرومدول!N13</f>
        <v>0</v>
      </c>
      <c r="N14" s="66">
        <f>G14*هیدرومدول!J13</f>
        <v>142.16330214449999</v>
      </c>
      <c r="O14" s="66">
        <f>H14*هیدرومدول!N13</f>
        <v>0</v>
      </c>
      <c r="P14" s="106">
        <f t="shared" si="0"/>
        <v>55.762152399689768</v>
      </c>
      <c r="Q14" s="107">
        <f t="shared" si="6"/>
        <v>0.05</v>
      </c>
      <c r="R14" s="64">
        <f t="shared" si="1"/>
        <v>450.83700215149179</v>
      </c>
      <c r="S14" s="65">
        <f t="shared" si="7"/>
        <v>1207.5218265625556</v>
      </c>
      <c r="T14" s="66">
        <f t="shared" si="8"/>
        <v>5192.9314703182054</v>
      </c>
      <c r="U14" s="67">
        <f>(هیدرومدول!E13/هیدرومدول!D13)</f>
        <v>0.23253182397351427</v>
      </c>
      <c r="V14" s="68">
        <f t="shared" si="2"/>
        <v>0.71789403360939219</v>
      </c>
      <c r="W14" s="69">
        <f t="shared" si="3"/>
        <v>8269.0074277248459</v>
      </c>
    </row>
    <row r="15" spans="3:23" s="185" customFormat="1" ht="22.5" customHeight="1" x14ac:dyDescent="0.3">
      <c r="C15" s="71">
        <v>10</v>
      </c>
      <c r="D15" s="72">
        <v>152.72399999999999</v>
      </c>
      <c r="E15" s="72">
        <f>هیدرومدول!C14</f>
        <v>154.71294295589769</v>
      </c>
      <c r="F15" s="73">
        <f>هیدرومدول!K14*$N$2</f>
        <v>0</v>
      </c>
      <c r="G15" s="74">
        <f>هیدرومدول!G14*$N$2</f>
        <v>27.3166516</v>
      </c>
      <c r="H15" s="142">
        <v>0</v>
      </c>
      <c r="I15" s="75">
        <f t="shared" si="4"/>
        <v>0.1</v>
      </c>
      <c r="J15" s="76">
        <f t="shared" si="4"/>
        <v>0.05</v>
      </c>
      <c r="K15" s="77">
        <f t="shared" si="5"/>
        <v>210.24418171206187</v>
      </c>
      <c r="L15" s="78">
        <f>هیدرومدول!E14*1000/31/24/3600*1000</f>
        <v>151.77085017097801</v>
      </c>
      <c r="M15" s="82">
        <f>F15*هیدرومدول!N14</f>
        <v>0</v>
      </c>
      <c r="N15" s="83">
        <f>G15*هیدرومدول!J14</f>
        <v>31.098402763260143</v>
      </c>
      <c r="O15" s="83">
        <f>H15*هیدرومدول!N14</f>
        <v>0</v>
      </c>
      <c r="P15" s="79">
        <f t="shared" si="0"/>
        <v>27.430387940135727</v>
      </c>
      <c r="Q15" s="80">
        <f t="shared" si="6"/>
        <v>0.05</v>
      </c>
      <c r="R15" s="81">
        <f t="shared" si="1"/>
        <v>221.77468649599734</v>
      </c>
      <c r="S15" s="82">
        <f t="shared" si="7"/>
        <v>594.00132031087935</v>
      </c>
      <c r="T15" s="83">
        <f t="shared" si="8"/>
        <v>2596.3827866598172</v>
      </c>
      <c r="U15" s="84">
        <f>(هیدرومدول!E14/هیدرومدول!D14)</f>
        <v>0.2287803336868704</v>
      </c>
      <c r="V15" s="70">
        <f t="shared" si="2"/>
        <v>1.0548433953797922</v>
      </c>
      <c r="W15" s="85">
        <f t="shared" si="3"/>
        <v>12349.368080091135</v>
      </c>
    </row>
    <row r="16" spans="3:23" s="185" customFormat="1" ht="22.5" customHeight="1" x14ac:dyDescent="0.3">
      <c r="C16" s="71">
        <v>11</v>
      </c>
      <c r="D16" s="72">
        <v>106.37909999999999</v>
      </c>
      <c r="E16" s="72">
        <f>هیدرومدول!C15</f>
        <v>129.3502296792675</v>
      </c>
      <c r="F16" s="73">
        <f>هیدرومدول!K15*$N$2</f>
        <v>0</v>
      </c>
      <c r="G16" s="74">
        <f>هیدرومدول!G15*$N$2</f>
        <v>106.5487815</v>
      </c>
      <c r="H16" s="142">
        <v>0</v>
      </c>
      <c r="I16" s="75">
        <f t="shared" si="4"/>
        <v>0.1</v>
      </c>
      <c r="J16" s="76">
        <f t="shared" si="4"/>
        <v>0.05</v>
      </c>
      <c r="K16" s="77">
        <f t="shared" si="5"/>
        <v>272.46335791205405</v>
      </c>
      <c r="L16" s="78">
        <f>هیدرومدول!E15*1000/31/24/3600*1000</f>
        <v>142.0679879942484</v>
      </c>
      <c r="M16" s="82">
        <f>F16*هیدرومدول!N15</f>
        <v>0</v>
      </c>
      <c r="N16" s="83">
        <f>G16*هیدرومدول!J15</f>
        <v>112.156462600666</v>
      </c>
      <c r="O16" s="83">
        <f>H16*هیدرومدول!N15</f>
        <v>0</v>
      </c>
      <c r="P16" s="79">
        <f t="shared" si="0"/>
        <v>38.133667589237163</v>
      </c>
      <c r="Q16" s="80">
        <f t="shared" si="6"/>
        <v>0.05</v>
      </c>
      <c r="R16" s="81">
        <f t="shared" si="1"/>
        <v>308.31070245898246</v>
      </c>
      <c r="S16" s="82">
        <f t="shared" si="7"/>
        <v>825.77938546613848</v>
      </c>
      <c r="T16" s="83">
        <f t="shared" si="8"/>
        <v>3627.4968590066869</v>
      </c>
      <c r="U16" s="84">
        <f>(هیدرومدول!E15/هیدرومدول!D15)</f>
        <v>0.22764441088785964</v>
      </c>
      <c r="V16" s="70">
        <f t="shared" si="2"/>
        <v>1.1315675796614797</v>
      </c>
      <c r="W16" s="85">
        <f t="shared" si="3"/>
        <v>13313.705324653503</v>
      </c>
    </row>
    <row r="17" spans="2:23" ht="22.5" customHeight="1" x14ac:dyDescent="0.3">
      <c r="C17" s="86">
        <v>12</v>
      </c>
      <c r="D17" s="87">
        <v>85.039299999999997</v>
      </c>
      <c r="E17" s="87">
        <f>هیدرومدول!C16</f>
        <v>95.023303678645789</v>
      </c>
      <c r="F17" s="88">
        <f>هیدرومدول!K16*$N$2</f>
        <v>170.62238269999997</v>
      </c>
      <c r="G17" s="89">
        <f>هیدرومدول!G16*$N$2</f>
        <v>241.03335269999997</v>
      </c>
      <c r="H17" s="143">
        <v>13.5202111015999</v>
      </c>
      <c r="I17" s="90">
        <f t="shared" si="4"/>
        <v>0.1</v>
      </c>
      <c r="J17" s="91">
        <f t="shared" si="4"/>
        <v>0.05</v>
      </c>
      <c r="K17" s="92">
        <f>SUM(E17:H17)*(1+I17)*(1+J17)</f>
        <v>600.83013395818386</v>
      </c>
      <c r="L17" s="93">
        <f>هیدرومدول!E16*1000/31/24/3600*1000</f>
        <v>76.604386350507184</v>
      </c>
      <c r="M17" s="97">
        <f>F17*هیدرومدول!N16</f>
        <v>187.45181770081672</v>
      </c>
      <c r="N17" s="98">
        <f>G17*هیدرومدول!J16</f>
        <v>264.80781346008632</v>
      </c>
      <c r="O17" s="98">
        <f>H17*هیدرومدول!N16</f>
        <v>14.853784753139912</v>
      </c>
      <c r="P17" s="94">
        <f t="shared" si="0"/>
        <v>81.557670339682545</v>
      </c>
      <c r="Q17" s="95">
        <f t="shared" si="6"/>
        <v>0.05</v>
      </c>
      <c r="R17" s="96">
        <f t="shared" si="1"/>
        <v>659.39376469633339</v>
      </c>
      <c r="S17" s="97">
        <f t="shared" si="7"/>
        <v>1766.1202593626592</v>
      </c>
      <c r="T17" s="98">
        <f t="shared" si="8"/>
        <v>7539.0422105887174</v>
      </c>
      <c r="U17" s="99">
        <f>(هیدرومدول!E16/هیدرومدول!D16)</f>
        <v>0.23426321408336356</v>
      </c>
      <c r="V17" s="100">
        <f t="shared" si="2"/>
        <v>1.097471194316338</v>
      </c>
      <c r="W17" s="101">
        <f t="shared" si="3"/>
        <v>12547.709884194013</v>
      </c>
    </row>
    <row r="18" spans="2:23" ht="22.5" customHeight="1" x14ac:dyDescent="0.3">
      <c r="C18" s="108">
        <v>13</v>
      </c>
      <c r="D18" s="109">
        <v>7.2237</v>
      </c>
      <c r="E18" s="109">
        <f>هیدرومدول!C17</f>
        <v>8.4318874727844921</v>
      </c>
      <c r="F18" s="110">
        <f>هیدرومدول!K17*$N$2</f>
        <v>0.86217250000000001</v>
      </c>
      <c r="G18" s="111">
        <f>هیدرومدول!G17*$N$2</f>
        <v>42</v>
      </c>
      <c r="H18" s="144">
        <v>0</v>
      </c>
      <c r="I18" s="112">
        <f t="shared" si="4"/>
        <v>0.1</v>
      </c>
      <c r="J18" s="113">
        <f t="shared" si="4"/>
        <v>0.05</v>
      </c>
      <c r="K18" s="114">
        <f t="shared" si="5"/>
        <v>59.244639268566097</v>
      </c>
      <c r="L18" s="115">
        <f>هیدرومدول!E17*1000/31/24/3600*1000</f>
        <v>10.637948908696679</v>
      </c>
      <c r="M18" s="119">
        <f>F18*هیدرومدول!N17</f>
        <v>1.0036027488382149</v>
      </c>
      <c r="N18" s="120">
        <f>G18*هیدرومدول!J17</f>
        <v>48.889654275919291</v>
      </c>
      <c r="O18" s="120">
        <f>H18*هیدرومدول!N17</f>
        <v>0</v>
      </c>
      <c r="P18" s="116">
        <f t="shared" si="0"/>
        <v>9.0796808900181301</v>
      </c>
      <c r="Q18" s="117">
        <f t="shared" si="6"/>
        <v>0.05</v>
      </c>
      <c r="R18" s="118">
        <f t="shared" si="1"/>
        <v>73.40921999579659</v>
      </c>
      <c r="S18" s="119">
        <f t="shared" si="7"/>
        <v>196.61925483674159</v>
      </c>
      <c r="T18" s="120">
        <f t="shared" si="8"/>
        <v>842.27051792940745</v>
      </c>
      <c r="U18" s="121">
        <f>(هیدرومدول!E17/هیدرومدول!D17)</f>
        <v>0.23343955493076002</v>
      </c>
      <c r="V18" s="122">
        <f t="shared" si="2"/>
        <v>1.2390862853096298</v>
      </c>
      <c r="W18" s="123">
        <f t="shared" si="3"/>
        <v>14216.822455636044</v>
      </c>
    </row>
    <row r="19" spans="2:23" ht="22.5" customHeight="1" x14ac:dyDescent="0.3">
      <c r="B19" s="260" t="s">
        <v>39</v>
      </c>
      <c r="C19" s="71">
        <v>7</v>
      </c>
      <c r="D19" s="279">
        <v>33.664000000000001</v>
      </c>
      <c r="E19" s="72">
        <f>هیدرومدول!C18</f>
        <v>37.451700000000002</v>
      </c>
      <c r="F19" s="73">
        <f>هیدرومدول!K18*$N$2</f>
        <v>0</v>
      </c>
      <c r="G19" s="74">
        <f>هیدرومدول!G18*$N$2</f>
        <v>0</v>
      </c>
      <c r="H19" s="142">
        <v>0</v>
      </c>
      <c r="I19" s="75">
        <v>0</v>
      </c>
      <c r="J19" s="76">
        <v>0</v>
      </c>
      <c r="K19" s="124">
        <f t="shared" si="5"/>
        <v>37.451700000000002</v>
      </c>
      <c r="L19" s="72">
        <f>هیدرومدول!E18*1000/31/24/3600*1000</f>
        <v>28.625268713624177</v>
      </c>
      <c r="M19" s="82">
        <f>F19*هیدرومدول!N18</f>
        <v>0</v>
      </c>
      <c r="N19" s="83">
        <f>G19*هیدرومدول!J18</f>
        <v>0</v>
      </c>
      <c r="O19" s="83">
        <f>H19*هیدرومدول!N18</f>
        <v>0</v>
      </c>
      <c r="P19" s="79">
        <f t="shared" si="0"/>
        <v>0</v>
      </c>
      <c r="Q19" s="80">
        <v>0.05</v>
      </c>
      <c r="R19" s="125">
        <f t="shared" si="1"/>
        <v>30.056532149305387</v>
      </c>
      <c r="S19" s="126">
        <f t="shared" si="7"/>
        <v>80.503415708699535</v>
      </c>
      <c r="T19" s="127">
        <f t="shared" si="8"/>
        <v>345.06330371812669</v>
      </c>
      <c r="U19" s="84">
        <f>(هیدرومدول!E18/هیدرومدول!D18)</f>
        <v>0.23330042586754082</v>
      </c>
      <c r="V19" s="70">
        <f t="shared" si="2"/>
        <v>0.80254119704326865</v>
      </c>
      <c r="W19" s="85">
        <f t="shared" si="3"/>
        <v>9213.555158193798</v>
      </c>
    </row>
    <row r="20" spans="2:23" ht="22.5" customHeight="1" x14ac:dyDescent="0.3">
      <c r="B20" s="260"/>
      <c r="C20" s="71">
        <v>10</v>
      </c>
      <c r="D20" s="280"/>
      <c r="E20" s="72">
        <f>هیدرومدول!C19</f>
        <v>1.3428</v>
      </c>
      <c r="F20" s="73">
        <f>هیدرومدول!K19*$N$2</f>
        <v>0</v>
      </c>
      <c r="G20" s="74">
        <f>هیدرومدول!G19*$N$2</f>
        <v>0</v>
      </c>
      <c r="H20" s="142">
        <v>0</v>
      </c>
      <c r="I20" s="75">
        <v>0</v>
      </c>
      <c r="J20" s="76">
        <v>0</v>
      </c>
      <c r="K20" s="124">
        <f t="shared" si="5"/>
        <v>1.3428</v>
      </c>
      <c r="L20" s="72">
        <f>هیدرومدول!E19*1000/31/24/3600*1000</f>
        <v>1.5603353657479591</v>
      </c>
      <c r="M20" s="82">
        <f>F20*هیدرومدول!N19</f>
        <v>0</v>
      </c>
      <c r="N20" s="83">
        <f>G20*هیدرومدول!J19</f>
        <v>0</v>
      </c>
      <c r="O20" s="83">
        <f>H20*هیدرومدول!N19</f>
        <v>0</v>
      </c>
      <c r="P20" s="79">
        <f t="shared" si="0"/>
        <v>0</v>
      </c>
      <c r="Q20" s="80">
        <f t="shared" ref="Q20:Q22" si="9">Q19</f>
        <v>0.05</v>
      </c>
      <c r="R20" s="125">
        <f t="shared" si="1"/>
        <v>1.6383521340353571</v>
      </c>
      <c r="S20" s="126">
        <f t="shared" si="7"/>
        <v>4.3881623558003016</v>
      </c>
      <c r="T20" s="127">
        <f t="shared" si="8"/>
        <v>19.661579611488559</v>
      </c>
      <c r="U20" s="84">
        <f>(هیدرومدول!E19/هیدرومدول!D19)</f>
        <v>0.22318462923682039</v>
      </c>
      <c r="V20" s="70">
        <f t="shared" si="2"/>
        <v>1.2201013807233818</v>
      </c>
      <c r="W20" s="85">
        <f t="shared" si="3"/>
        <v>14642.224911743044</v>
      </c>
    </row>
    <row r="21" spans="2:23" ht="22.5" customHeight="1" x14ac:dyDescent="0.3">
      <c r="B21" s="260"/>
      <c r="C21" s="71">
        <v>11</v>
      </c>
      <c r="D21" s="280"/>
      <c r="E21" s="72">
        <f>هیدرومدول!C20</f>
        <v>1.3333999999999999</v>
      </c>
      <c r="F21" s="73">
        <f>هیدرومدول!K20*$N$2</f>
        <v>0</v>
      </c>
      <c r="G21" s="74">
        <f>هیدرومدول!G20*$N$2</f>
        <v>0</v>
      </c>
      <c r="H21" s="142">
        <v>0</v>
      </c>
      <c r="I21" s="75">
        <v>0</v>
      </c>
      <c r="J21" s="76">
        <v>0</v>
      </c>
      <c r="K21" s="124">
        <f t="shared" si="5"/>
        <v>1.3333999999999999</v>
      </c>
      <c r="L21" s="72">
        <f>هیدرومدول!E20*1000/31/24/3600*1000</f>
        <v>1.7457575724239951</v>
      </c>
      <c r="M21" s="82">
        <f>F21*هیدرومدول!N20</f>
        <v>0</v>
      </c>
      <c r="N21" s="83">
        <f>G21*هیدرومدول!J20</f>
        <v>0</v>
      </c>
      <c r="O21" s="83">
        <f>H21*هیدرومدول!N20</f>
        <v>0</v>
      </c>
      <c r="P21" s="79">
        <f t="shared" si="0"/>
        <v>0</v>
      </c>
      <c r="Q21" s="80">
        <f>Q20</f>
        <v>0.05</v>
      </c>
      <c r="R21" s="125">
        <f t="shared" si="1"/>
        <v>1.833045451045195</v>
      </c>
      <c r="S21" s="126">
        <f t="shared" si="7"/>
        <v>4.9096289360794501</v>
      </c>
      <c r="T21" s="127">
        <f t="shared" si="8"/>
        <v>21.59387932452363</v>
      </c>
      <c r="U21" s="84">
        <f>(هیدرومدول!E20/هیدرومدول!D20)</f>
        <v>0.22736206229066525</v>
      </c>
      <c r="V21" s="70">
        <f t="shared" si="2"/>
        <v>1.3747153525162705</v>
      </c>
      <c r="W21" s="85">
        <f t="shared" si="3"/>
        <v>16194.599763404553</v>
      </c>
    </row>
    <row r="22" spans="2:23" ht="22.5" customHeight="1" x14ac:dyDescent="0.3">
      <c r="B22" s="260"/>
      <c r="C22" s="71">
        <v>12</v>
      </c>
      <c r="D22" s="281"/>
      <c r="E22" s="72">
        <f>هیدرومدول!C21</f>
        <v>5.4</v>
      </c>
      <c r="F22" s="73">
        <f>هیدرومدول!K21*$N$2</f>
        <v>0</v>
      </c>
      <c r="G22" s="74">
        <f>هیدرومدول!G21*$N$2</f>
        <v>0</v>
      </c>
      <c r="H22" s="142">
        <v>0</v>
      </c>
      <c r="I22" s="75">
        <v>0</v>
      </c>
      <c r="J22" s="76">
        <v>0</v>
      </c>
      <c r="K22" s="124">
        <f t="shared" si="5"/>
        <v>5.4</v>
      </c>
      <c r="L22" s="72">
        <f>هیدرومدول!E21*1000/31/24/3600*1000</f>
        <v>6.9614783157322089</v>
      </c>
      <c r="M22" s="82">
        <f>F22*هیدرومدول!N21</f>
        <v>0</v>
      </c>
      <c r="N22" s="83">
        <f>G22*هیدرومدول!J21</f>
        <v>0</v>
      </c>
      <c r="O22" s="83">
        <f>H22*هیدرومدول!N21</f>
        <v>0</v>
      </c>
      <c r="P22" s="79">
        <f t="shared" si="0"/>
        <v>0</v>
      </c>
      <c r="Q22" s="80">
        <f t="shared" si="9"/>
        <v>0.05</v>
      </c>
      <c r="R22" s="125">
        <f t="shared" si="1"/>
        <v>7.3095522315188193</v>
      </c>
      <c r="S22" s="126">
        <f t="shared" si="7"/>
        <v>19.577904696899999</v>
      </c>
      <c r="T22" s="127">
        <f t="shared" si="8"/>
        <v>88.68010369827779</v>
      </c>
      <c r="U22" s="84">
        <f>(هیدرومدول!E21/هیدرومدول!D21)</f>
        <v>0.22076997974101614</v>
      </c>
      <c r="V22" s="70">
        <f t="shared" si="2"/>
        <v>1.3536207836145961</v>
      </c>
      <c r="W22" s="85">
        <f t="shared" si="3"/>
        <v>16422.241425606997</v>
      </c>
    </row>
    <row r="23" spans="2:23" ht="22.5" customHeight="1" x14ac:dyDescent="0.3">
      <c r="C23" s="128" t="s">
        <v>36</v>
      </c>
      <c r="D23" s="129">
        <f>SUM(D6:D22)</f>
        <v>1781.6622999999997</v>
      </c>
      <c r="E23" s="129">
        <f>SUM(E6:E22)</f>
        <v>1641.3863810551977</v>
      </c>
      <c r="F23" s="130">
        <f>SUM(F6:F22)</f>
        <v>246.47412719999997</v>
      </c>
      <c r="G23" s="130">
        <f>SUM(G6:G22)</f>
        <v>1355.2789095999999</v>
      </c>
      <c r="H23" s="130">
        <f>SUM(H6:H22)</f>
        <v>29.694420562799877</v>
      </c>
      <c r="I23" s="131">
        <f>SUM($E23:$H23)*(I24)</f>
        <v>318.2053718982425</v>
      </c>
      <c r="J23" s="130">
        <f>SUM($E23:$I23)*(J24)</f>
        <v>174.57164399953098</v>
      </c>
      <c r="K23" s="132">
        <f t="shared" ref="K23:P23" si="10">SUM(K6:K22)</f>
        <v>3773.0662588727873</v>
      </c>
      <c r="L23" s="130">
        <f t="shared" si="10"/>
        <v>1493.092426519351</v>
      </c>
      <c r="M23" s="130">
        <f t="shared" si="10"/>
        <v>272.84439354756756</v>
      </c>
      <c r="N23" s="130">
        <f t="shared" si="10"/>
        <v>1258.8685215923711</v>
      </c>
      <c r="O23" s="130">
        <f t="shared" si="10"/>
        <v>32.095264782751471</v>
      </c>
      <c r="P23" s="133">
        <f t="shared" si="10"/>
        <v>452.70116497117698</v>
      </c>
      <c r="Q23" s="134">
        <f>SUM($L23:$P23)*(Q24)</f>
        <v>175.48008857066085</v>
      </c>
      <c r="R23" s="135">
        <f>SUM(R6:R22)</f>
        <v>3700.9264007578704</v>
      </c>
      <c r="S23" s="136">
        <f>SUM(S6:S22)</f>
        <v>9912.5612717898784</v>
      </c>
      <c r="T23" s="137">
        <f>SUM(T6:T22)</f>
        <v>42831.490254880191</v>
      </c>
      <c r="U23" s="138">
        <f>SUMPRODUCT(U6:U22,K6:K22)/K23</f>
        <v>0.23179389422065913</v>
      </c>
      <c r="V23" s="139">
        <f>SUMPRODUCT(V6:V22,K6:K22)/K23</f>
        <v>0.9808803097625779</v>
      </c>
      <c r="W23" s="140">
        <f>ROUND(SUMPRODUCT(W6:W22,K6:K22)/K23,-1)</f>
        <v>11350</v>
      </c>
    </row>
    <row r="24" spans="2:23" s="186" customFormat="1" ht="22.5" customHeight="1" x14ac:dyDescent="0.3">
      <c r="C24" s="178"/>
      <c r="D24" s="178"/>
      <c r="E24" s="179" t="s">
        <v>37</v>
      </c>
      <c r="F24" s="179"/>
      <c r="G24" s="179" t="s">
        <v>38</v>
      </c>
      <c r="H24" s="179"/>
      <c r="I24" s="180">
        <f>SUMPRODUCT(I6:I22,$E6:$E22)/$E23</f>
        <v>9.7226253335260901E-2</v>
      </c>
      <c r="J24" s="180">
        <f>SUMPRODUCT(J6:J22,$E6:$E22)/$E23</f>
        <v>4.861312666763045E-2</v>
      </c>
      <c r="K24" s="178"/>
      <c r="L24" s="181">
        <f>L23/1000*3600*24*31/U23/1000/1000</f>
        <v>17.252821816705996</v>
      </c>
      <c r="M24" s="178"/>
      <c r="N24" s="178"/>
      <c r="O24" s="178"/>
      <c r="P24" s="178"/>
      <c r="Q24" s="180">
        <f>SUMPRODUCT(Q6:Q22,$E6:$E22)/$E23</f>
        <v>4.9999999999999989E-2</v>
      </c>
      <c r="R24" s="182">
        <f>R23/L23</f>
        <v>2.4786987965543106</v>
      </c>
      <c r="S24" s="178"/>
      <c r="T24" s="200">
        <f>T23/1000</f>
        <v>42.831490254880194</v>
      </c>
      <c r="U24" s="178"/>
      <c r="V24" s="178"/>
      <c r="W24" s="200">
        <f>W23*K23/1000/1000</f>
        <v>42.824302038206135</v>
      </c>
    </row>
    <row r="25" spans="2:23" ht="22.5" customHeight="1" x14ac:dyDescent="0.3"/>
    <row r="26" spans="2:23" ht="22.5" customHeight="1" x14ac:dyDescent="0.3"/>
    <row r="27" spans="2:23" ht="22.5" customHeight="1" x14ac:dyDescent="0.3"/>
    <row r="28" spans="2:23" ht="22.5" customHeight="1" x14ac:dyDescent="0.3">
      <c r="B28" s="260" t="s">
        <v>41</v>
      </c>
      <c r="C28" s="160">
        <v>14</v>
      </c>
      <c r="D28" s="176"/>
      <c r="E28" s="161">
        <v>3468.5660086580087</v>
      </c>
      <c r="F28" s="162">
        <v>0</v>
      </c>
      <c r="G28" s="163">
        <v>7000</v>
      </c>
      <c r="H28" s="164">
        <v>0</v>
      </c>
      <c r="I28" s="165">
        <f>I27</f>
        <v>0</v>
      </c>
      <c r="J28" s="166">
        <f>J27</f>
        <v>0</v>
      </c>
      <c r="K28" s="167">
        <f>SUM(E28:H28)*(1+I28)*(1+J28)</f>
        <v>10468.566008658008</v>
      </c>
      <c r="L28" s="161">
        <v>342.71609354415631</v>
      </c>
      <c r="M28" s="168">
        <v>0</v>
      </c>
      <c r="N28" s="169">
        <v>965.88209081128764</v>
      </c>
      <c r="O28" s="169">
        <v>0</v>
      </c>
      <c r="P28" s="170">
        <f t="shared" ref="P28:P29" si="11">SUM(L28:O28)*(J28+I28)</f>
        <v>0</v>
      </c>
      <c r="Q28" s="171">
        <f>Q8</f>
        <v>0.05</v>
      </c>
      <c r="R28" s="172">
        <f>SUM(L28:O28)*(1+J28)*(1+Q28)*(1+I28)</f>
        <v>1374.0280935732162</v>
      </c>
      <c r="S28" s="168">
        <f t="shared" ref="S28" si="12">R28*3600*24*31/1000/1000</f>
        <v>3680.1968458265023</v>
      </c>
      <c r="T28" s="169">
        <f t="shared" ref="T28" si="13">S28/U28</f>
        <v>16000.855851419574</v>
      </c>
      <c r="U28" s="183">
        <v>0.23</v>
      </c>
      <c r="V28" s="173">
        <f>R28/K28</f>
        <v>0.13125275156471564</v>
      </c>
      <c r="W28" s="174">
        <f>T28*1000/K28</f>
        <v>1528.4668251779751</v>
      </c>
    </row>
    <row r="29" spans="2:23" ht="22.5" customHeight="1" x14ac:dyDescent="0.3">
      <c r="B29" s="260"/>
      <c r="C29" s="146">
        <v>15</v>
      </c>
      <c r="D29" s="177"/>
      <c r="E29" s="147">
        <v>181</v>
      </c>
      <c r="F29" s="148">
        <v>0</v>
      </c>
      <c r="G29" s="148">
        <v>0</v>
      </c>
      <c r="H29" s="149">
        <v>0</v>
      </c>
      <c r="I29" s="150">
        <f t="shared" ref="I29:J29" si="14">I28</f>
        <v>0</v>
      </c>
      <c r="J29" s="151">
        <f t="shared" si="14"/>
        <v>0</v>
      </c>
      <c r="K29" s="152">
        <f>SUM(E29:H29)*(1+I29)*(1+J29)</f>
        <v>181</v>
      </c>
      <c r="L29" s="147">
        <v>17.883936121340351</v>
      </c>
      <c r="M29" s="153">
        <v>0</v>
      </c>
      <c r="N29" s="154">
        <v>0</v>
      </c>
      <c r="O29" s="154">
        <v>0</v>
      </c>
      <c r="P29" s="155">
        <f t="shared" si="11"/>
        <v>0</v>
      </c>
      <c r="Q29" s="156">
        <f>Q28</f>
        <v>0.05</v>
      </c>
      <c r="R29" s="157">
        <f>SUM(L29:O29)*(1+J29)*(1+Q29)*(1+I29)</f>
        <v>18.77813292740737</v>
      </c>
      <c r="S29" s="153">
        <f t="shared" ref="S29" si="15">R29*3600*24*31/1000/1000</f>
        <v>50.295351232767899</v>
      </c>
      <c r="T29" s="154">
        <f t="shared" ref="T29" si="16">S29/U29</f>
        <v>218.67544014246911</v>
      </c>
      <c r="U29" s="184">
        <v>0.23</v>
      </c>
      <c r="V29" s="158">
        <f>R29/K29</f>
        <v>0.10374659075915674</v>
      </c>
      <c r="W29" s="159">
        <f>T29*1000/K29</f>
        <v>1208.1516029970669</v>
      </c>
    </row>
    <row r="30" spans="2:23" ht="22.5" customHeight="1" x14ac:dyDescent="0.3">
      <c r="C30" s="128" t="s">
        <v>36</v>
      </c>
      <c r="D30" s="175"/>
      <c r="E30" s="129">
        <f>SUM(E28:E29)</f>
        <v>3649.5660086580087</v>
      </c>
      <c r="F30" s="130">
        <f>SUM(F28:F29)</f>
        <v>0</v>
      </c>
      <c r="G30" s="130">
        <f>SUM(G28:G29)</f>
        <v>7000</v>
      </c>
      <c r="H30" s="130">
        <f>SUM(H28:H29)</f>
        <v>0</v>
      </c>
      <c r="I30" s="131">
        <f>SUM($E30:$H30)*(I31)</f>
        <v>0</v>
      </c>
      <c r="J30" s="130">
        <f>SUM($E30:$I30)*(J31)</f>
        <v>0</v>
      </c>
      <c r="K30" s="132">
        <f t="shared" ref="K30:P30" si="17">SUM(K28:K29)</f>
        <v>10649.566008658008</v>
      </c>
      <c r="L30" s="130">
        <f t="shared" si="17"/>
        <v>360.60002966549666</v>
      </c>
      <c r="M30" s="130">
        <f t="shared" si="17"/>
        <v>0</v>
      </c>
      <c r="N30" s="130">
        <f t="shared" si="17"/>
        <v>965.88209081128764</v>
      </c>
      <c r="O30" s="130">
        <f t="shared" si="17"/>
        <v>0</v>
      </c>
      <c r="P30" s="133">
        <f t="shared" si="17"/>
        <v>0</v>
      </c>
      <c r="Q30" s="134">
        <f>SUM($L30:$P30)*(Q31)</f>
        <v>66.324106023839221</v>
      </c>
      <c r="R30" s="135">
        <f>SUM(R28:R29)</f>
        <v>1392.8062265006236</v>
      </c>
      <c r="S30" s="136">
        <f>SUM(S28:S29)</f>
        <v>3730.4921970592704</v>
      </c>
      <c r="T30" s="137">
        <f>SUM(T28:T29)</f>
        <v>16219.531291562043</v>
      </c>
      <c r="U30" s="138">
        <f>SUMPRODUCT(U28:U29,K28:K29)/K30</f>
        <v>0.23</v>
      </c>
      <c r="V30" s="139">
        <f>SUMPRODUCT(V28:V29,K28:K29)/K30</f>
        <v>0.1307852569173508</v>
      </c>
      <c r="W30" s="140">
        <f>ROUND(SUMPRODUCT(W28:W29,K28:K29)/K30,-1)</f>
        <v>1520</v>
      </c>
    </row>
    <row r="31" spans="2:23" s="186" customFormat="1" ht="22.5" customHeight="1" x14ac:dyDescent="0.3">
      <c r="C31" s="178"/>
      <c r="D31" s="178"/>
      <c r="E31" s="179" t="s">
        <v>37</v>
      </c>
      <c r="F31" s="179"/>
      <c r="G31" s="179" t="s">
        <v>38</v>
      </c>
      <c r="H31" s="179"/>
      <c r="I31" s="180">
        <f>SUMPRODUCT(I28:I29,$E28:$E29)/$E30</f>
        <v>0</v>
      </c>
      <c r="J31" s="180">
        <f>SUMPRODUCT(J28:J29,$E28:$E29)/$E30</f>
        <v>0</v>
      </c>
      <c r="K31" s="178"/>
      <c r="L31" s="200">
        <f>L30/1000*3600*24*31/U30/1000/1000</f>
        <v>4.1992657367655051</v>
      </c>
      <c r="M31" s="178"/>
      <c r="N31" s="178"/>
      <c r="O31" s="178"/>
      <c r="P31" s="178"/>
      <c r="Q31" s="180">
        <f>SUMPRODUCT(Q28:Q29,$E28:$E29)/$E30</f>
        <v>0.05</v>
      </c>
      <c r="R31" s="182">
        <f>R30/L30</f>
        <v>3.8624684190753733</v>
      </c>
      <c r="S31" s="178"/>
      <c r="T31" s="200">
        <f>T30/1000</f>
        <v>16.219531291562042</v>
      </c>
      <c r="U31" s="178"/>
      <c r="V31" s="178"/>
      <c r="W31" s="200">
        <f>W30*K30/1000/1000</f>
        <v>16.187340333160172</v>
      </c>
    </row>
    <row r="38" spans="3:23" ht="22.5" customHeight="1" x14ac:dyDescent="0.3">
      <c r="C38" s="243" t="s">
        <v>64</v>
      </c>
      <c r="D38" s="227">
        <v>452.69810000000001</v>
      </c>
      <c r="E38" s="227">
        <f>هیدرومدول!C11</f>
        <v>340.59345198686083</v>
      </c>
      <c r="F38" s="228">
        <f>هیدرومدول!K11*$N$2</f>
        <v>0</v>
      </c>
      <c r="G38" s="229">
        <f>هیدرومدول!G11*$N$2</f>
        <v>199.80766749999998</v>
      </c>
      <c r="H38" s="230">
        <v>0</v>
      </c>
      <c r="I38" s="231">
        <f>I6</f>
        <v>0.1</v>
      </c>
      <c r="J38" s="232">
        <f>J6</f>
        <v>0.05</v>
      </c>
      <c r="K38" s="233">
        <f t="shared" ref="K38" si="18">SUM(E38:H38)*(1+I38)*(1+J38)</f>
        <v>624.16329300732423</v>
      </c>
      <c r="L38" s="234">
        <f>هیدرومدول!E11*1000/31/24/3600*1000</f>
        <v>246.50226652809215</v>
      </c>
      <c r="M38" s="235">
        <f>F38*هیدرومدول!N11</f>
        <v>0</v>
      </c>
      <c r="N38" s="236">
        <f>G38*هیدرومدول!J11</f>
        <v>150.6091146432378</v>
      </c>
      <c r="O38" s="236">
        <f>H38*هیدرومدول!N11</f>
        <v>0</v>
      </c>
      <c r="P38" s="237">
        <f t="shared" ref="P38" si="19">SUM(L38:O38)*(J38+I38)</f>
        <v>59.566707175699506</v>
      </c>
      <c r="Q38" s="238">
        <f>Q6</f>
        <v>0.05</v>
      </c>
      <c r="R38" s="239">
        <f t="shared" ref="R38" si="20">SUM(L38:O38)*(1+J38)*(1+Q38)*(1+I38)</f>
        <v>481.59682751553055</v>
      </c>
      <c r="S38" s="235">
        <f t="shared" ref="S38" si="21">R38*3600*24*31/1000/1000</f>
        <v>1289.9089428175971</v>
      </c>
      <c r="T38" s="236">
        <f t="shared" ref="T38" si="22">S38/U38</f>
        <v>5471.39150963066</v>
      </c>
      <c r="U38" s="240">
        <f>(هیدرومدول!E11/هیدرومدول!D11)</f>
        <v>0.23575518961622816</v>
      </c>
      <c r="V38" s="241">
        <f t="shared" ref="V38" si="23">R38/K38</f>
        <v>0.77158787277463181</v>
      </c>
      <c r="W38" s="242">
        <f t="shared" ref="W38" si="24">T38*1000/K38</f>
        <v>8765.9616817076349</v>
      </c>
    </row>
    <row r="39" spans="3:23" ht="22.5" customHeight="1" x14ac:dyDescent="0.3">
      <c r="C39" s="243" t="s">
        <v>65</v>
      </c>
      <c r="D39" s="227"/>
      <c r="E39" s="227">
        <f>هیدرومدول!C26</f>
        <v>193.36149999999998</v>
      </c>
      <c r="F39" s="228">
        <f>هیدرومدول!K26*$N$2</f>
        <v>0</v>
      </c>
      <c r="G39" s="229">
        <f>هیدرومدول!G26*$N$2</f>
        <v>0</v>
      </c>
      <c r="H39" s="230">
        <v>0</v>
      </c>
      <c r="I39" s="231">
        <f>I7</f>
        <v>0.1</v>
      </c>
      <c r="J39" s="232">
        <f>J7</f>
        <v>0.05</v>
      </c>
      <c r="K39" s="233">
        <f t="shared" ref="K39" si="25">SUM(E39:H39)*(1+I39)*(1+J39)</f>
        <v>223.33253249999999</v>
      </c>
      <c r="L39" s="234">
        <f>هیدرومدول!E26*1000/31/24/3600*1000</f>
        <v>116.92178117988659</v>
      </c>
      <c r="M39" s="235">
        <f>F39*هیدرومدول!N26</f>
        <v>0</v>
      </c>
      <c r="N39" s="236">
        <f>G39*هیدرومدول!J26</f>
        <v>0</v>
      </c>
      <c r="O39" s="236">
        <f>H39*هیدرومدول!N26</f>
        <v>0</v>
      </c>
      <c r="P39" s="237">
        <f t="shared" ref="P39" si="26">SUM(L39:O39)*(J39+I39)</f>
        <v>17.538267176982991</v>
      </c>
      <c r="Q39" s="238">
        <f>Q7</f>
        <v>0.05</v>
      </c>
      <c r="R39" s="239">
        <f t="shared" ref="R39" si="27">SUM(L39:O39)*(1+J39)*(1+Q39)*(1+I39)</f>
        <v>141.79689012590751</v>
      </c>
      <c r="S39" s="235">
        <f t="shared" ref="S39" si="28">R39*3600*24*31/1000/1000</f>
        <v>379.78879051323065</v>
      </c>
      <c r="T39" s="236">
        <f t="shared" ref="T39" si="29">S39/U39</f>
        <v>1582.6434975592399</v>
      </c>
      <c r="U39" s="240">
        <f>(هیدرومدول!E26/هیدرومدول!D26)</f>
        <v>0.23997115654848528</v>
      </c>
      <c r="V39" s="241">
        <f t="shared" ref="V39" si="30">R39/K39</f>
        <v>0.63491372501186105</v>
      </c>
      <c r="W39" s="242">
        <f t="shared" ref="W39" si="31">T39*1000/K39</f>
        <v>7086.4888327867775</v>
      </c>
    </row>
    <row r="40" spans="3:23" ht="15.6" x14ac:dyDescent="0.3">
      <c r="C40" s="244" t="s">
        <v>56</v>
      </c>
    </row>
    <row r="41" spans="3:23" ht="15.6" x14ac:dyDescent="0.3">
      <c r="C41" s="244" t="s">
        <v>57</v>
      </c>
    </row>
    <row r="42" spans="3:23" ht="15.6" x14ac:dyDescent="0.3">
      <c r="C42" s="244" t="s">
        <v>58</v>
      </c>
    </row>
    <row r="43" spans="3:23" ht="15.6" x14ac:dyDescent="0.3">
      <c r="C43" s="244" t="s">
        <v>59</v>
      </c>
    </row>
    <row r="44" spans="3:23" ht="15.6" x14ac:dyDescent="0.3">
      <c r="C44" s="244" t="s">
        <v>60</v>
      </c>
    </row>
    <row r="45" spans="3:23" ht="15.6" x14ac:dyDescent="0.3">
      <c r="C45" s="244" t="s">
        <v>61</v>
      </c>
    </row>
    <row r="46" spans="3:23" ht="15.6" x14ac:dyDescent="0.3">
      <c r="C46" s="244" t="s">
        <v>62</v>
      </c>
    </row>
    <row r="47" spans="3:23" ht="15.6" x14ac:dyDescent="0.3">
      <c r="C47" s="244" t="s">
        <v>63</v>
      </c>
    </row>
    <row r="48" spans="3:23" ht="15.6" x14ac:dyDescent="0.3">
      <c r="C48" s="244" t="s">
        <v>66</v>
      </c>
    </row>
  </sheetData>
  <mergeCells count="12">
    <mergeCell ref="L2:M2"/>
    <mergeCell ref="S3:U3"/>
    <mergeCell ref="V3:W3"/>
    <mergeCell ref="D3:H3"/>
    <mergeCell ref="D19:D22"/>
    <mergeCell ref="B28:B29"/>
    <mergeCell ref="L3:R3"/>
    <mergeCell ref="B19:B22"/>
    <mergeCell ref="C3:C4"/>
    <mergeCell ref="I3:I4"/>
    <mergeCell ref="J3:J4"/>
    <mergeCell ref="K3:K4"/>
  </mergeCells>
  <conditionalFormatting sqref="U3:W24 Q3:Q24 E4:J24 I3:J3 D3 D23">
    <cfRule type="expression" dxfId="321" priority="860">
      <formula>IF(#REF!&lt;&gt;#REF!,1,0)</formula>
    </cfRule>
  </conditionalFormatting>
  <conditionalFormatting sqref="U3:W24">
    <cfRule type="expression" dxfId="320" priority="858">
      <formula>IF(#REF!&lt;&gt;#REF!,1,0)</formula>
    </cfRule>
  </conditionalFormatting>
  <conditionalFormatting sqref="F19:K22 T18:W23 L3:S5 L23:S24 L6:L22 P6:S22 E4:E24 D3 C18:C22 C23:D24">
    <cfRule type="expression" dxfId="319" priority="861">
      <formula>IF(#REF!&lt;&gt;#REF!,1,0)</formula>
    </cfRule>
  </conditionalFormatting>
  <conditionalFormatting sqref="E4:J4 E17:G17 I17:L17 S14:V17 U4:W4 U6:V13 W6:W17 E7:L13 F6:K6 P7:Q13 P17:Q17">
    <cfRule type="expression" dxfId="318" priority="450">
      <formula>IF(#REF!&lt;&gt;#REF!,1,0)</formula>
    </cfRule>
  </conditionalFormatting>
  <conditionalFormatting sqref="S6:W17 S7:S22 U7:W22">
    <cfRule type="expression" dxfId="317" priority="449">
      <formula>IF(#REF!&lt;&gt;#REF!,1,0)</formula>
    </cfRule>
  </conditionalFormatting>
  <conditionalFormatting sqref="S14:V17 U4:W4 U6:W22">
    <cfRule type="expression" dxfId="316" priority="448">
      <formula>IF(#REF!&lt;&gt;#REF!,1,0)</formula>
    </cfRule>
  </conditionalFormatting>
  <conditionalFormatting sqref="P10:Q10">
    <cfRule type="expression" dxfId="315" priority="424">
      <formula>IF(#REF!&lt;&gt;#REF!,1,0)</formula>
    </cfRule>
  </conditionalFormatting>
  <conditionalFormatting sqref="P11:Q11">
    <cfRule type="expression" dxfId="314" priority="422">
      <formula>IF(#REF!&lt;&gt;#REF!,1,0)</formula>
    </cfRule>
  </conditionalFormatting>
  <conditionalFormatting sqref="R12">
    <cfRule type="expression" dxfId="313" priority="400">
      <formula>IF(#REF!&lt;&gt;#REF!,1,0)</formula>
    </cfRule>
  </conditionalFormatting>
  <conditionalFormatting sqref="L11 P11:Q11">
    <cfRule type="expression" dxfId="312" priority="423">
      <formula>IF(#REF!&lt;&gt;#REF!,1,0)</formula>
    </cfRule>
  </conditionalFormatting>
  <conditionalFormatting sqref="R13">
    <cfRule type="expression" dxfId="311" priority="399">
      <formula>IF(#REF!&lt;&gt;#REF!,1,0)</formula>
    </cfRule>
  </conditionalFormatting>
  <conditionalFormatting sqref="R13">
    <cfRule type="expression" dxfId="310" priority="398">
      <formula>IF(#REF!&lt;&gt;#REF!,1,0)</formula>
    </cfRule>
  </conditionalFormatting>
  <conditionalFormatting sqref="S6:U13 E6:K6 Q6 S7:S22 U7:U22">
    <cfRule type="expression" dxfId="309" priority="432">
      <formula>IF(#REF!&lt;&gt;#REF!,1,0)</formula>
    </cfRule>
  </conditionalFormatting>
  <conditionalFormatting sqref="E6:L6 L7:L22 P7:P22 P6:Q6 E7:E24 E7:G22">
    <cfRule type="expression" dxfId="308" priority="431">
      <formula>IF(#REF!&lt;&gt;#REF!,1,0)</formula>
    </cfRule>
  </conditionalFormatting>
  <conditionalFormatting sqref="S4 S6:U13 S7:S22 U7:U22">
    <cfRule type="expression" dxfId="307" priority="430">
      <formula>IF(#REF!&lt;&gt;#REF!,1,0)</formula>
    </cfRule>
  </conditionalFormatting>
  <conditionalFormatting sqref="P7:P22 P6:Q6 L6:L22">
    <cfRule type="expression" dxfId="306" priority="429">
      <formula>IF(#REF!&lt;&gt;#REF!,1,0)</formula>
    </cfRule>
  </conditionalFormatting>
  <conditionalFormatting sqref="P6:Q6 P7:P22">
    <cfRule type="expression" dxfId="305" priority="428">
      <formula>IF(#REF!&lt;&gt;#REF!,1,0)</formula>
    </cfRule>
  </conditionalFormatting>
  <conditionalFormatting sqref="S4 L4:Q4">
    <cfRule type="expression" dxfId="304" priority="427">
      <formula>IF(#REF!&lt;&gt;#REF!,1,0)</formula>
    </cfRule>
  </conditionalFormatting>
  <conditionalFormatting sqref="M4:Q4">
    <cfRule type="expression" dxfId="303" priority="426">
      <formula>IF(#REF!&lt;&gt;#REF!,1,0)</formula>
    </cfRule>
  </conditionalFormatting>
  <conditionalFormatting sqref="E4 L4">
    <cfRule type="expression" dxfId="302" priority="433">
      <formula>IF(#REF!&lt;&gt;#REF!,1,0)</formula>
    </cfRule>
  </conditionalFormatting>
  <conditionalFormatting sqref="L10 P10:Q10">
    <cfRule type="expression" dxfId="301" priority="425">
      <formula>IF(#REF!&lt;&gt;#REF!,1,0)</formula>
    </cfRule>
  </conditionalFormatting>
  <conditionalFormatting sqref="L12 P12:Q12">
    <cfRule type="expression" dxfId="300" priority="419">
      <formula>IF(#REF!&lt;&gt;#REF!,1,0)</formula>
    </cfRule>
  </conditionalFormatting>
  <conditionalFormatting sqref="P12:Q12">
    <cfRule type="expression" dxfId="299" priority="418">
      <formula>IF(#REF!&lt;&gt;#REF!,1,0)</formula>
    </cfRule>
  </conditionalFormatting>
  <conditionalFormatting sqref="L9 P9:Q9">
    <cfRule type="expression" dxfId="298" priority="421">
      <formula>IF(#REF!&lt;&gt;#REF!,1,0)</formula>
    </cfRule>
  </conditionalFormatting>
  <conditionalFormatting sqref="P9:Q9">
    <cfRule type="expression" dxfId="297" priority="420">
      <formula>IF(#REF!&lt;&gt;#REF!,1,0)</formula>
    </cfRule>
  </conditionalFormatting>
  <conditionalFormatting sqref="L13 P13:Q13">
    <cfRule type="expression" dxfId="296" priority="417">
      <formula>IF(#REF!&lt;&gt;#REF!,1,0)</formula>
    </cfRule>
  </conditionalFormatting>
  <conditionalFormatting sqref="P13:Q13">
    <cfRule type="expression" dxfId="295" priority="416">
      <formula>IF(#REF!&lt;&gt;#REF!,1,0)</formula>
    </cfRule>
  </conditionalFormatting>
  <conditionalFormatting sqref="L17 P17:Q17">
    <cfRule type="expression" dxfId="294" priority="415">
      <formula>IF(#REF!&lt;&gt;#REF!,1,0)</formula>
    </cfRule>
  </conditionalFormatting>
  <conditionalFormatting sqref="P17:Q17">
    <cfRule type="expression" dxfId="293" priority="414">
      <formula>IF(#REF!&lt;&gt;#REF!,1,0)</formula>
    </cfRule>
  </conditionalFormatting>
  <conditionalFormatting sqref="C17">
    <cfRule type="expression" dxfId="292" priority="434">
      <formula>IF(#REF!&lt;&gt;#REF!,1,0)</formula>
    </cfRule>
  </conditionalFormatting>
  <conditionalFormatting sqref="R7:R8">
    <cfRule type="expression" dxfId="291" priority="389">
      <formula>IF(#REF!&lt;&gt;#REF!,1,0)</formula>
    </cfRule>
  </conditionalFormatting>
  <conditionalFormatting sqref="R4">
    <cfRule type="expression" dxfId="290" priority="413">
      <formula>IF(#REF!&lt;&gt;#REF!,1,0)</formula>
    </cfRule>
  </conditionalFormatting>
  <conditionalFormatting sqref="R4">
    <cfRule type="expression" dxfId="289" priority="412">
      <formula>IF(#REF!&lt;&gt;#REF!,1,0)</formula>
    </cfRule>
  </conditionalFormatting>
  <conditionalFormatting sqref="R10">
    <cfRule type="expression" dxfId="288" priority="411">
      <formula>IF(#REF!&lt;&gt;#REF!,1,0)</formula>
    </cfRule>
  </conditionalFormatting>
  <conditionalFormatting sqref="R10">
    <cfRule type="expression" dxfId="287" priority="410">
      <formula>IF(#REF!&lt;&gt;#REF!,1,0)</formula>
    </cfRule>
  </conditionalFormatting>
  <conditionalFormatting sqref="R10">
    <cfRule type="expression" dxfId="286" priority="409">
      <formula>IF(#REF!&lt;&gt;#REF!,1,0)</formula>
    </cfRule>
  </conditionalFormatting>
  <conditionalFormatting sqref="R12">
    <cfRule type="expression" dxfId="285" priority="402">
      <formula>IF(#REF!&lt;&gt;#REF!,1,0)</formula>
    </cfRule>
  </conditionalFormatting>
  <conditionalFormatting sqref="R12">
    <cfRule type="expression" dxfId="284" priority="401">
      <formula>IF(#REF!&lt;&gt;#REF!,1,0)</formula>
    </cfRule>
  </conditionalFormatting>
  <conditionalFormatting sqref="R11">
    <cfRule type="expression" dxfId="283" priority="408">
      <formula>IF(#REF!&lt;&gt;#REF!,1,0)</formula>
    </cfRule>
  </conditionalFormatting>
  <conditionalFormatting sqref="R11">
    <cfRule type="expression" dxfId="282" priority="407">
      <formula>IF(#REF!&lt;&gt;#REF!,1,0)</formula>
    </cfRule>
  </conditionalFormatting>
  <conditionalFormatting sqref="R11">
    <cfRule type="expression" dxfId="281" priority="406">
      <formula>IF(#REF!&lt;&gt;#REF!,1,0)</formula>
    </cfRule>
  </conditionalFormatting>
  <conditionalFormatting sqref="R9">
    <cfRule type="expression" dxfId="280" priority="405">
      <formula>IF(#REF!&lt;&gt;#REF!,1,0)</formula>
    </cfRule>
  </conditionalFormatting>
  <conditionalFormatting sqref="R9">
    <cfRule type="expression" dxfId="279" priority="404">
      <formula>IF(#REF!&lt;&gt;#REF!,1,0)</formula>
    </cfRule>
  </conditionalFormatting>
  <conditionalFormatting sqref="R9">
    <cfRule type="expression" dxfId="278" priority="403">
      <formula>IF(#REF!&lt;&gt;#REF!,1,0)</formula>
    </cfRule>
  </conditionalFormatting>
  <conditionalFormatting sqref="R13">
    <cfRule type="expression" dxfId="277" priority="397">
      <formula>IF(#REF!&lt;&gt;#REF!,1,0)</formula>
    </cfRule>
  </conditionalFormatting>
  <conditionalFormatting sqref="R17">
    <cfRule type="expression" dxfId="276" priority="396">
      <formula>IF(#REF!&lt;&gt;#REF!,1,0)</formula>
    </cfRule>
  </conditionalFormatting>
  <conditionalFormatting sqref="R17">
    <cfRule type="expression" dxfId="275" priority="395">
      <formula>IF(#REF!&lt;&gt;#REF!,1,0)</formula>
    </cfRule>
  </conditionalFormatting>
  <conditionalFormatting sqref="R17">
    <cfRule type="expression" dxfId="274" priority="394">
      <formula>IF(#REF!&lt;&gt;#REF!,1,0)</formula>
    </cfRule>
  </conditionalFormatting>
  <conditionalFormatting sqref="L7:L8 P7:Q8">
    <cfRule type="expression" dxfId="273" priority="393">
      <formula>IF(#REF!&lt;&gt;#REF!,1,0)</formula>
    </cfRule>
  </conditionalFormatting>
  <conditionalFormatting sqref="P7:Q8">
    <cfRule type="expression" dxfId="272" priority="392">
      <formula>IF(#REF!&lt;&gt;#REF!,1,0)</formula>
    </cfRule>
  </conditionalFormatting>
  <conditionalFormatting sqref="R7:R8">
    <cfRule type="expression" dxfId="271" priority="391">
      <formula>IF(#REF!&lt;&gt;#REF!,1,0)</formula>
    </cfRule>
  </conditionalFormatting>
  <conditionalFormatting sqref="R7:R8">
    <cfRule type="expression" dxfId="270" priority="390">
      <formula>IF(#REF!&lt;&gt;#REF!,1,0)</formula>
    </cfRule>
  </conditionalFormatting>
  <conditionalFormatting sqref="E14:K16 Q14:Q16">
    <cfRule type="expression" dxfId="269" priority="386">
      <formula>IF(#REF!&lt;&gt;#REF!,1,0)</formula>
    </cfRule>
  </conditionalFormatting>
  <conditionalFormatting sqref="E14:L16 P14:Q16">
    <cfRule type="expression" dxfId="268" priority="385">
      <formula>IF(#REF!&lt;&gt;#REF!,1,0)</formula>
    </cfRule>
  </conditionalFormatting>
  <conditionalFormatting sqref="F14:K16 Q14:Q16">
    <cfRule type="expression" dxfId="267" priority="384">
      <formula>IF(#REF!&lt;&gt;#REF!,1,0)</formula>
    </cfRule>
  </conditionalFormatting>
  <conditionalFormatting sqref="L14:L16 S23:W23 P14:Q16">
    <cfRule type="expression" dxfId="266" priority="383">
      <formula>IF(#REF!&lt;&gt;#REF!,1,0)</formula>
    </cfRule>
  </conditionalFormatting>
  <conditionalFormatting sqref="P14:Q16">
    <cfRule type="expression" dxfId="265" priority="382">
      <formula>IF(#REF!&lt;&gt;#REF!,1,0)</formula>
    </cfRule>
  </conditionalFormatting>
  <conditionalFormatting sqref="R14:R16">
    <cfRule type="expression" dxfId="264" priority="381">
      <formula>IF(#REF!&lt;&gt;#REF!,1,0)</formula>
    </cfRule>
  </conditionalFormatting>
  <conditionalFormatting sqref="R14:R16">
    <cfRule type="expression" dxfId="263" priority="380">
      <formula>IF(#REF!&lt;&gt;#REF!,1,0)</formula>
    </cfRule>
  </conditionalFormatting>
  <conditionalFormatting sqref="R14:R16">
    <cfRule type="expression" dxfId="262" priority="379">
      <formula>IF(#REF!&lt;&gt;#REF!,1,0)</formula>
    </cfRule>
  </conditionalFormatting>
  <conditionalFormatting sqref="O4:Q4">
    <cfRule type="expression" dxfId="261" priority="378">
      <formula>IF(#REF!&lt;&gt;#REF!,1,0)</formula>
    </cfRule>
  </conditionalFormatting>
  <conditionalFormatting sqref="O4:Q4">
    <cfRule type="expression" dxfId="260" priority="377">
      <formula>IF(#REF!&lt;&gt;#REF!,1,0)</formula>
    </cfRule>
  </conditionalFormatting>
  <conditionalFormatting sqref="R18">
    <cfRule type="expression" dxfId="259" priority="354">
      <formula>IF(#REF!&lt;&gt;#REF!,1,0)</formula>
    </cfRule>
  </conditionalFormatting>
  <conditionalFormatting sqref="W23 L23:Q23 D23:J23">
    <cfRule type="expression" dxfId="258" priority="351">
      <formula>IF(#REF!&lt;&gt;#REF!,1,0)</formula>
    </cfRule>
  </conditionalFormatting>
  <conditionalFormatting sqref="W23:W24">
    <cfRule type="expression" dxfId="257" priority="350">
      <formula>IF(#REF!&lt;&gt;#REF!,1,0)</formula>
    </cfRule>
  </conditionalFormatting>
  <conditionalFormatting sqref="R6:R22">
    <cfRule type="expression" dxfId="256" priority="362">
      <formula>IF(#REF!&lt;&gt;#REF!,1,0)</formula>
    </cfRule>
  </conditionalFormatting>
  <conditionalFormatting sqref="R6:R22">
    <cfRule type="expression" dxfId="255" priority="361">
      <formula>IF(#REF!&lt;&gt;#REF!,1,0)</formula>
    </cfRule>
  </conditionalFormatting>
  <conditionalFormatting sqref="R6:R22">
    <cfRule type="expression" dxfId="254" priority="360">
      <formula>IF(#REF!&lt;&gt;#REF!,1,0)</formula>
    </cfRule>
  </conditionalFormatting>
  <conditionalFormatting sqref="R23:R24">
    <cfRule type="expression" dxfId="253" priority="341">
      <formula>IF(#REF!&lt;&gt;#REF!,1,0)</formula>
    </cfRule>
  </conditionalFormatting>
  <conditionalFormatting sqref="H18">
    <cfRule type="expression" dxfId="252" priority="319">
      <formula>IF(#REF!&lt;&gt;#REF!,1,0)</formula>
    </cfRule>
  </conditionalFormatting>
  <conditionalFormatting sqref="H18">
    <cfRule type="expression" dxfId="251" priority="318">
      <formula>IF(#REF!&lt;&gt;#REF!,1,0)</formula>
    </cfRule>
  </conditionalFormatting>
  <conditionalFormatting sqref="K23:K24">
    <cfRule type="expression" dxfId="250" priority="332">
      <formula>IF(#REF!&lt;&gt;#REF!,1,0)</formula>
    </cfRule>
  </conditionalFormatting>
  <conditionalFormatting sqref="K23:K24">
    <cfRule type="expression" dxfId="249" priority="334">
      <formula>IF(#REF!&lt;&gt;#REF!,1,0)</formula>
    </cfRule>
  </conditionalFormatting>
  <conditionalFormatting sqref="K23:K24">
    <cfRule type="expression" dxfId="248" priority="333">
      <formula>IF(#REF!&lt;&gt;#REF!,1,0)</formula>
    </cfRule>
  </conditionalFormatting>
  <conditionalFormatting sqref="E18:G18 I18:L18 Q22 L19:L22 P18:Q18">
    <cfRule type="expression" dxfId="247" priority="359">
      <formula>IF(#REF!&lt;&gt;#REF!,1,0)</formula>
    </cfRule>
  </conditionalFormatting>
  <conditionalFormatting sqref="R18">
    <cfRule type="expression" dxfId="246" priority="356">
      <formula>IF(#REF!&lt;&gt;#REF!,1,0)</formula>
    </cfRule>
  </conditionalFormatting>
  <conditionalFormatting sqref="R18">
    <cfRule type="expression" dxfId="245" priority="355">
      <formula>IF(#REF!&lt;&gt;#REF!,1,0)</formula>
    </cfRule>
  </conditionalFormatting>
  <conditionalFormatting sqref="W23">
    <cfRule type="expression" dxfId="244" priority="349">
      <formula>IF(#REF!&lt;&gt;#REF!,1,0)</formula>
    </cfRule>
  </conditionalFormatting>
  <conditionalFormatting sqref="L23:Q23">
    <cfRule type="expression" dxfId="243" priority="345">
      <formula>IF(#REF!&lt;&gt;#REF!,1,0)</formula>
    </cfRule>
  </conditionalFormatting>
  <conditionalFormatting sqref="M23:Q23">
    <cfRule type="expression" dxfId="242" priority="344">
      <formula>IF(#REF!&lt;&gt;#REF!,1,0)</formula>
    </cfRule>
  </conditionalFormatting>
  <conditionalFormatting sqref="C23:D23">
    <cfRule type="expression" dxfId="241" priority="346">
      <formula>IF(#REF!&lt;&gt;#REF!,1,0)</formula>
    </cfRule>
  </conditionalFormatting>
  <conditionalFormatting sqref="R23">
    <cfRule type="expression" dxfId="240" priority="343">
      <formula>IF(#REF!&lt;&gt;#REF!,1,0)</formula>
    </cfRule>
  </conditionalFormatting>
  <conditionalFormatting sqref="R23">
    <cfRule type="expression" dxfId="239" priority="342">
      <formula>IF(#REF!&lt;&gt;#REF!,1,0)</formula>
    </cfRule>
  </conditionalFormatting>
  <conditionalFormatting sqref="E6:E24">
    <cfRule type="expression" dxfId="238" priority="322">
      <formula>IF(#REF!&lt;&gt;#REF!,1,0)</formula>
    </cfRule>
  </conditionalFormatting>
  <conditionalFormatting sqref="H17">
    <cfRule type="expression" dxfId="237" priority="321">
      <formula>IF(#REF!&lt;&gt;#REF!,1,0)</formula>
    </cfRule>
  </conditionalFormatting>
  <conditionalFormatting sqref="H18">
    <cfRule type="expression" dxfId="236" priority="320">
      <formula>IF(#REF!&lt;&gt;#REF!,1,0)</formula>
    </cfRule>
  </conditionalFormatting>
  <conditionalFormatting sqref="S16">
    <cfRule type="expression" dxfId="235" priority="327">
      <formula>IF(#REF!&lt;&gt;#REF!,1,0)</formula>
    </cfRule>
  </conditionalFormatting>
  <conditionalFormatting sqref="S16">
    <cfRule type="expression" dxfId="234" priority="326">
      <formula>IF(#REF!&lt;&gt;#REF!,1,0)</formula>
    </cfRule>
  </conditionalFormatting>
  <conditionalFormatting sqref="T16">
    <cfRule type="expression" dxfId="233" priority="325">
      <formula>IF(#REF!&lt;&gt;#REF!,1,0)</formula>
    </cfRule>
  </conditionalFormatting>
  <conditionalFormatting sqref="T16">
    <cfRule type="expression" dxfId="232" priority="324">
      <formula>IF(#REF!&lt;&gt;#REF!,1,0)</formula>
    </cfRule>
  </conditionalFormatting>
  <conditionalFormatting sqref="E6:E24">
    <cfRule type="expression" dxfId="231" priority="323">
      <formula>IF(#REF!&lt;&gt;#REF!,1,0)</formula>
    </cfRule>
  </conditionalFormatting>
  <conditionalFormatting sqref="B16">
    <cfRule type="expression" dxfId="230" priority="452">
      <formula>IF(#REF!&lt;&gt;#REF!,1,0)</formula>
    </cfRule>
  </conditionalFormatting>
  <conditionalFormatting sqref="C16">
    <cfRule type="expression" dxfId="229" priority="453">
      <formula>IF(#REF!&lt;&gt;#REF!,1,0)</formula>
    </cfRule>
  </conditionalFormatting>
  <conditionalFormatting sqref="C17">
    <cfRule type="expression" dxfId="228" priority="454">
      <formula>IF(#REF!&lt;&gt;#REF!,1,0)</formula>
    </cfRule>
  </conditionalFormatting>
  <conditionalFormatting sqref="T24">
    <cfRule type="expression" dxfId="227" priority="316">
      <formula>IF(#REF!&lt;&gt;#REF!,1,0)</formula>
    </cfRule>
  </conditionalFormatting>
  <conditionalFormatting sqref="T24">
    <cfRule type="expression" dxfId="226" priority="315">
      <formula>IF(#REF!&lt;&gt;#REF!,1,0)</formula>
    </cfRule>
  </conditionalFormatting>
  <conditionalFormatting sqref="T24">
    <cfRule type="expression" dxfId="225" priority="314">
      <formula>IF(#REF!&lt;&gt;#REF!,1,0)</formula>
    </cfRule>
  </conditionalFormatting>
  <conditionalFormatting sqref="W24">
    <cfRule type="expression" dxfId="224" priority="313">
      <formula>IF(#REF!&lt;&gt;#REF!,1,0)</formula>
    </cfRule>
  </conditionalFormatting>
  <conditionalFormatting sqref="W24">
    <cfRule type="expression" dxfId="223" priority="312">
      <formula>IF(#REF!&lt;&gt;#REF!,1,0)</formula>
    </cfRule>
  </conditionalFormatting>
  <conditionalFormatting sqref="W24">
    <cfRule type="expression" dxfId="222" priority="311">
      <formula>IF(#REF!&lt;&gt;#REF!,1,0)</formula>
    </cfRule>
  </conditionalFormatting>
  <conditionalFormatting sqref="L24">
    <cfRule type="expression" dxfId="221" priority="307">
      <formula>IF(#REF!&lt;&gt;#REF!,1,0)</formula>
    </cfRule>
  </conditionalFormatting>
  <conditionalFormatting sqref="L24">
    <cfRule type="expression" dxfId="220" priority="306">
      <formula>IF(#REF!&lt;&gt;#REF!,1,0)</formula>
    </cfRule>
  </conditionalFormatting>
  <conditionalFormatting sqref="L24">
    <cfRule type="expression" dxfId="219" priority="305">
      <formula>IF(#REF!&lt;&gt;#REF!,1,0)</formula>
    </cfRule>
  </conditionalFormatting>
  <conditionalFormatting sqref="R24">
    <cfRule type="expression" dxfId="218" priority="304">
      <formula>IF(#REF!&lt;&gt;#REF!,1,0)</formula>
    </cfRule>
  </conditionalFormatting>
  <conditionalFormatting sqref="R24">
    <cfRule type="expression" dxfId="217" priority="303">
      <formula>IF(#REF!&lt;&gt;#REF!,1,0)</formula>
    </cfRule>
  </conditionalFormatting>
  <conditionalFormatting sqref="R24">
    <cfRule type="expression" dxfId="216" priority="302">
      <formula>IF(#REF!&lt;&gt;#REF!,1,0)</formula>
    </cfRule>
  </conditionalFormatting>
  <conditionalFormatting sqref="I24">
    <cfRule type="expression" dxfId="215" priority="298">
      <formula>IF(#REF!&lt;&gt;#REF!,1,0)</formula>
    </cfRule>
  </conditionalFormatting>
  <conditionalFormatting sqref="J24">
    <cfRule type="expression" dxfId="214" priority="297">
      <formula>IF(#REF!&lt;&gt;#REF!,1,0)</formula>
    </cfRule>
  </conditionalFormatting>
  <conditionalFormatting sqref="Q24">
    <cfRule type="expression" dxfId="213" priority="296">
      <formula>IF(#REF!&lt;&gt;#REF!,1,0)</formula>
    </cfRule>
  </conditionalFormatting>
  <conditionalFormatting sqref="E22 L22">
    <cfRule type="expression" dxfId="212" priority="868">
      <formula>IF(#REF!&lt;&gt;#REF!,1,0)</formula>
    </cfRule>
  </conditionalFormatting>
  <conditionalFormatting sqref="Q20:Q22">
    <cfRule type="expression" dxfId="211" priority="244">
      <formula>IF(#REF!&lt;&gt;#REF!,1,0)</formula>
    </cfRule>
  </conditionalFormatting>
  <conditionalFormatting sqref="N18:N22 M6:M22">
    <cfRule type="expression" dxfId="210" priority="239">
      <formula>IF(#REF!&lt;&gt;#REF!,1,0)</formula>
    </cfRule>
  </conditionalFormatting>
  <conditionalFormatting sqref="M14:N17">
    <cfRule type="expression" dxfId="209" priority="238">
      <formula>IF(#REF!&lt;&gt;#REF!,1,0)</formula>
    </cfRule>
  </conditionalFormatting>
  <conditionalFormatting sqref="M6:N17 M18:M22">
    <cfRule type="expression" dxfId="208" priority="237">
      <formula>IF(#REF!&lt;&gt;#REF!,1,0)</formula>
    </cfRule>
  </conditionalFormatting>
  <conditionalFormatting sqref="T5">
    <cfRule type="expression" dxfId="207" priority="251">
      <formula>IF(#REF!&lt;&gt;#REF!,1,0)</formula>
    </cfRule>
  </conditionalFormatting>
  <conditionalFormatting sqref="T5">
    <cfRule type="expression" dxfId="206" priority="252">
      <formula>IF(#REF!&lt;&gt;#REF!,1,0)</formula>
    </cfRule>
  </conditionalFormatting>
  <conditionalFormatting sqref="T5">
    <cfRule type="expression" dxfId="205" priority="250">
      <formula>IF(#REF!&lt;&gt;#REF!,1,0)</formula>
    </cfRule>
  </conditionalFormatting>
  <conditionalFormatting sqref="T5">
    <cfRule type="expression" dxfId="204" priority="249">
      <formula>IF(#REF!&lt;&gt;#REF!,1,0)</formula>
    </cfRule>
  </conditionalFormatting>
  <conditionalFormatting sqref="T5">
    <cfRule type="expression" dxfId="203" priority="248">
      <formula>IF(#REF!&lt;&gt;#REF!,1,0)</formula>
    </cfRule>
  </conditionalFormatting>
  <conditionalFormatting sqref="C6 C14 B13:C13">
    <cfRule type="expression" dxfId="202" priority="889">
      <formula>IF(#REF!&lt;&gt;#REF!,1,0)</formula>
    </cfRule>
  </conditionalFormatting>
  <conditionalFormatting sqref="C6:C13 B13">
    <cfRule type="expression" dxfId="201" priority="890">
      <formula>IF(#REF!&lt;&gt;#REF!,1,0)</formula>
    </cfRule>
  </conditionalFormatting>
  <conditionalFormatting sqref="E6:E24 L6:L22">
    <cfRule type="expression" dxfId="200" priority="892">
      <formula>IF(#REF!&lt;&gt;#REF!,1,0)</formula>
    </cfRule>
  </conditionalFormatting>
  <conditionalFormatting sqref="C7:C12">
    <cfRule type="expression" dxfId="199" priority="893">
      <formula>IF(#REF!&lt;&gt;#REF!,1,0)</formula>
    </cfRule>
  </conditionalFormatting>
  <conditionalFormatting sqref="L12 E12">
    <cfRule type="expression" dxfId="198" priority="894">
      <formula>IF(#REF!&lt;&gt;#REF!,1,0)</formula>
    </cfRule>
  </conditionalFormatting>
  <conditionalFormatting sqref="B14">
    <cfRule type="expression" dxfId="197" priority="895">
      <formula>IF(#REF!&lt;&gt;#REF!,1,0)</formula>
    </cfRule>
  </conditionalFormatting>
  <conditionalFormatting sqref="B14:B15">
    <cfRule type="expression" dxfId="196" priority="902">
      <formula>IF(#REF!&lt;&gt;#REF!,1,0)</formula>
    </cfRule>
  </conditionalFormatting>
  <conditionalFormatting sqref="C14:C15">
    <cfRule type="expression" dxfId="195" priority="903">
      <formula>IF(#REF!&lt;&gt;#REF!,1,0)</formula>
    </cfRule>
  </conditionalFormatting>
  <conditionalFormatting sqref="B15:C16">
    <cfRule type="expression" dxfId="194" priority="904">
      <formula>IF(#REF!&lt;&gt;#REF!,1,0)</formula>
    </cfRule>
  </conditionalFormatting>
  <conditionalFormatting sqref="Q20:Q22">
    <cfRule type="expression" dxfId="193" priority="247">
      <formula>IF(#REF!&lt;&gt;#REF!,1,0)</formula>
    </cfRule>
  </conditionalFormatting>
  <conditionalFormatting sqref="Q22">
    <cfRule type="expression" dxfId="192" priority="246">
      <formula>IF(#REF!&lt;&gt;#REF!,1,0)</formula>
    </cfRule>
  </conditionalFormatting>
  <conditionalFormatting sqref="Q22">
    <cfRule type="expression" dxfId="191" priority="245">
      <formula>IF(#REF!&lt;&gt;#REF!,1,0)</formula>
    </cfRule>
  </conditionalFormatting>
  <conditionalFormatting sqref="Q20:Q22">
    <cfRule type="expression" dxfId="190" priority="243">
      <formula>IF(#REF!&lt;&gt;#REF!,1,0)</formula>
    </cfRule>
  </conditionalFormatting>
  <conditionalFormatting sqref="O6:O13">
    <cfRule type="expression" dxfId="189" priority="224">
      <formula>IF(#REF!&lt;&gt;#REF!,1,0)</formula>
    </cfRule>
  </conditionalFormatting>
  <conditionalFormatting sqref="O16">
    <cfRule type="expression" dxfId="188" priority="223">
      <formula>IF(#REF!&lt;&gt;#REF!,1,0)</formula>
    </cfRule>
  </conditionalFormatting>
  <conditionalFormatting sqref="O16">
    <cfRule type="expression" dxfId="187" priority="222">
      <formula>IF(#REF!&lt;&gt;#REF!,1,0)</formula>
    </cfRule>
  </conditionalFormatting>
  <conditionalFormatting sqref="W6:W22">
    <cfRule type="colorScale" priority="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W4 E4:J4 L4:S4">
    <cfRule type="expression" dxfId="186" priority="912">
      <formula>IF(#REF!&lt;&gt;#REF!,1,0)</formula>
    </cfRule>
  </conditionalFormatting>
  <conditionalFormatting sqref="M14:N17">
    <cfRule type="expression" dxfId="185" priority="236">
      <formula>IF(#REF!&lt;&gt;#REF!,1,0)</formula>
    </cfRule>
  </conditionalFormatting>
  <conditionalFormatting sqref="M6:N13 M14:M22">
    <cfRule type="expression" dxfId="184" priority="235">
      <formula>IF(#REF!&lt;&gt;#REF!,1,0)</formula>
    </cfRule>
  </conditionalFormatting>
  <conditionalFormatting sqref="M6:N13 M14:M22">
    <cfRule type="expression" dxfId="183" priority="234">
      <formula>IF(#REF!&lt;&gt;#REF!,1,0)</formula>
    </cfRule>
  </conditionalFormatting>
  <conditionalFormatting sqref="M16">
    <cfRule type="expression" dxfId="182" priority="233">
      <formula>IF(#REF!&lt;&gt;#REF!,1,0)</formula>
    </cfRule>
  </conditionalFormatting>
  <conditionalFormatting sqref="M16">
    <cfRule type="expression" dxfId="181" priority="232">
      <formula>IF(#REF!&lt;&gt;#REF!,1,0)</formula>
    </cfRule>
  </conditionalFormatting>
  <conditionalFormatting sqref="N16">
    <cfRule type="expression" dxfId="180" priority="231">
      <formula>IF(#REF!&lt;&gt;#REF!,1,0)</formula>
    </cfRule>
  </conditionalFormatting>
  <conditionalFormatting sqref="N16">
    <cfRule type="expression" dxfId="179" priority="230">
      <formula>IF(#REF!&lt;&gt;#REF!,1,0)</formula>
    </cfRule>
  </conditionalFormatting>
  <conditionalFormatting sqref="O18:O22">
    <cfRule type="expression" dxfId="178" priority="229">
      <formula>IF(#REF!&lt;&gt;#REF!,1,0)</formula>
    </cfRule>
  </conditionalFormatting>
  <conditionalFormatting sqref="O14:O17">
    <cfRule type="expression" dxfId="177" priority="228">
      <formula>IF(#REF!&lt;&gt;#REF!,1,0)</formula>
    </cfRule>
  </conditionalFormatting>
  <conditionalFormatting sqref="O6:O17">
    <cfRule type="expression" dxfId="176" priority="227">
      <formula>IF(#REF!&lt;&gt;#REF!,1,0)</formula>
    </cfRule>
  </conditionalFormatting>
  <conditionalFormatting sqref="O14:O17">
    <cfRule type="expression" dxfId="175" priority="226">
      <formula>IF(#REF!&lt;&gt;#REF!,1,0)</formula>
    </cfRule>
  </conditionalFormatting>
  <conditionalFormatting sqref="O6:O13">
    <cfRule type="expression" dxfId="174" priority="225">
      <formula>IF(#REF!&lt;&gt;#REF!,1,0)</formula>
    </cfRule>
  </conditionalFormatting>
  <conditionalFormatting sqref="E28:J28 Q28:Q29 U28:W29">
    <cfRule type="expression" dxfId="173" priority="219">
      <formula>IF(#REF!&lt;&gt;#REF!,1,0)</formula>
    </cfRule>
  </conditionalFormatting>
  <conditionalFormatting sqref="U28:W29">
    <cfRule type="expression" dxfId="172" priority="218">
      <formula>IF(#REF!&lt;&gt;#REF!,1,0)</formula>
    </cfRule>
  </conditionalFormatting>
  <conditionalFormatting sqref="E28 L28 P28:W29">
    <cfRule type="expression" dxfId="171" priority="220">
      <formula>IF(#REF!&lt;&gt;#REF!,1,0)</formula>
    </cfRule>
  </conditionalFormatting>
  <conditionalFormatting sqref="S28:S29 U28:W29">
    <cfRule type="expression" dxfId="170" priority="217">
      <formula>IF(#REF!&lt;&gt;#REF!,1,0)</formula>
    </cfRule>
  </conditionalFormatting>
  <conditionalFormatting sqref="U28:W29">
    <cfRule type="expression" dxfId="169" priority="216">
      <formula>IF(#REF!&lt;&gt;#REF!,1,0)</formula>
    </cfRule>
  </conditionalFormatting>
  <conditionalFormatting sqref="S28:S29 U28:U29">
    <cfRule type="expression" dxfId="168" priority="215">
      <formula>IF(#REF!&lt;&gt;#REF!,1,0)</formula>
    </cfRule>
  </conditionalFormatting>
  <conditionalFormatting sqref="L28 P28:P29">
    <cfRule type="expression" dxfId="167" priority="214">
      <formula>IF(#REF!&lt;&gt;#REF!,1,0)</formula>
    </cfRule>
  </conditionalFormatting>
  <conditionalFormatting sqref="S28:S29 U28:U29">
    <cfRule type="expression" dxfId="166" priority="213">
      <formula>IF(#REF!&lt;&gt;#REF!,1,0)</formula>
    </cfRule>
  </conditionalFormatting>
  <conditionalFormatting sqref="L28 P28:P29">
    <cfRule type="expression" dxfId="165" priority="212">
      <formula>IF(#REF!&lt;&gt;#REF!,1,0)</formula>
    </cfRule>
  </conditionalFormatting>
  <conditionalFormatting sqref="P28:P29">
    <cfRule type="expression" dxfId="164" priority="211">
      <formula>IF(#REF!&lt;&gt;#REF!,1,0)</formula>
    </cfRule>
  </conditionalFormatting>
  <conditionalFormatting sqref="R28:R29">
    <cfRule type="expression" dxfId="163" priority="204">
      <formula>IF(#REF!&lt;&gt;#REF!,1,0)</formula>
    </cfRule>
  </conditionalFormatting>
  <conditionalFormatting sqref="R28:R29">
    <cfRule type="expression" dxfId="162" priority="210">
      <formula>IF(#REF!&lt;&gt;#REF!,1,0)</formula>
    </cfRule>
  </conditionalFormatting>
  <conditionalFormatting sqref="R28:R29">
    <cfRule type="expression" dxfId="161" priority="209">
      <formula>IF(#REF!&lt;&gt;#REF!,1,0)</formula>
    </cfRule>
  </conditionalFormatting>
  <conditionalFormatting sqref="R28:R29">
    <cfRule type="expression" dxfId="160" priority="208">
      <formula>IF(#REF!&lt;&gt;#REF!,1,0)</formula>
    </cfRule>
  </conditionalFormatting>
  <conditionalFormatting sqref="H28">
    <cfRule type="expression" dxfId="159" priority="202">
      <formula>IF(#REF!&lt;&gt;#REF!,1,0)</formula>
    </cfRule>
  </conditionalFormatting>
  <conditionalFormatting sqref="H28">
    <cfRule type="expression" dxfId="158" priority="201">
      <formula>IF(#REF!&lt;&gt;#REF!,1,0)</formula>
    </cfRule>
  </conditionalFormatting>
  <conditionalFormatting sqref="E28:G28 I28:L28 P28:Q29">
    <cfRule type="expression" dxfId="157" priority="207">
      <formula>IF(#REF!&lt;&gt;#REF!,1,0)</formula>
    </cfRule>
  </conditionalFormatting>
  <conditionalFormatting sqref="R28:R29">
    <cfRule type="expression" dxfId="156" priority="206">
      <formula>IF(#REF!&lt;&gt;#REF!,1,0)</formula>
    </cfRule>
  </conditionalFormatting>
  <conditionalFormatting sqref="R28:R29">
    <cfRule type="expression" dxfId="155" priority="205">
      <formula>IF(#REF!&lt;&gt;#REF!,1,0)</formula>
    </cfRule>
  </conditionalFormatting>
  <conditionalFormatting sqref="H28">
    <cfRule type="expression" dxfId="154" priority="203">
      <formula>IF(#REF!&lt;&gt;#REF!,1,0)</formula>
    </cfRule>
  </conditionalFormatting>
  <conditionalFormatting sqref="M28:N28">
    <cfRule type="expression" dxfId="153" priority="200">
      <formula>IF(#REF!&lt;&gt;#REF!,1,0)</formula>
    </cfRule>
  </conditionalFormatting>
  <conditionalFormatting sqref="M28">
    <cfRule type="expression" dxfId="152" priority="199">
      <formula>IF(#REF!&lt;&gt;#REF!,1,0)</formula>
    </cfRule>
  </conditionalFormatting>
  <conditionalFormatting sqref="W28:W29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">
    <cfRule type="expression" dxfId="151" priority="198">
      <formula>IF(#REF!&lt;&gt;#REF!,1,0)</formula>
    </cfRule>
  </conditionalFormatting>
  <conditionalFormatting sqref="M28">
    <cfRule type="expression" dxfId="150" priority="197">
      <formula>IF(#REF!&lt;&gt;#REF!,1,0)</formula>
    </cfRule>
  </conditionalFormatting>
  <conditionalFormatting sqref="O28">
    <cfRule type="expression" dxfId="149" priority="196">
      <formula>IF(#REF!&lt;&gt;#REF!,1,0)</formula>
    </cfRule>
  </conditionalFormatting>
  <conditionalFormatting sqref="I29:J29">
    <cfRule type="expression" dxfId="148" priority="164">
      <formula>IF(#REF!&lt;&gt;#REF!,1,0)</formula>
    </cfRule>
  </conditionalFormatting>
  <conditionalFormatting sqref="E29:H29">
    <cfRule type="expression" dxfId="147" priority="190">
      <formula>IF(#REF!&lt;&gt;#REF!,1,0)</formula>
    </cfRule>
  </conditionalFormatting>
  <conditionalFormatting sqref="E29 L29">
    <cfRule type="expression" dxfId="146" priority="191">
      <formula>IF(#REF!&lt;&gt;#REF!,1,0)</formula>
    </cfRule>
  </conditionalFormatting>
  <conditionalFormatting sqref="I29:J29">
    <cfRule type="expression" dxfId="145" priority="165">
      <formula>IF(#REF!&lt;&gt;#REF!,1,0)</formula>
    </cfRule>
  </conditionalFormatting>
  <conditionalFormatting sqref="L29">
    <cfRule type="expression" dxfId="144" priority="185">
      <formula>IF(#REF!&lt;&gt;#REF!,1,0)</formula>
    </cfRule>
  </conditionalFormatting>
  <conditionalFormatting sqref="D6:D11 D13:D17">
    <cfRule type="expression" dxfId="143" priority="162">
      <formula>IF(#REF!&lt;&gt;#REF!,1,0)</formula>
    </cfRule>
  </conditionalFormatting>
  <conditionalFormatting sqref="L29">
    <cfRule type="expression" dxfId="142" priority="183">
      <formula>IF(#REF!&lt;&gt;#REF!,1,0)</formula>
    </cfRule>
  </conditionalFormatting>
  <conditionalFormatting sqref="D6">
    <cfRule type="expression" dxfId="141" priority="153">
      <formula>IF(#REF!&lt;&gt;#REF!,1,0)</formula>
    </cfRule>
  </conditionalFormatting>
  <conditionalFormatting sqref="D6">
    <cfRule type="expression" dxfId="140" priority="158">
      <formula>IF(#REF!&lt;&gt;#REF!,1,0)</formula>
    </cfRule>
  </conditionalFormatting>
  <conditionalFormatting sqref="D6">
    <cfRule type="expression" dxfId="139" priority="157">
      <formula>IF(#REF!&lt;&gt;#REF!,1,0)</formula>
    </cfRule>
  </conditionalFormatting>
  <conditionalFormatting sqref="H29">
    <cfRule type="expression" dxfId="138" priority="173">
      <formula>IF(#REF!&lt;&gt;#REF!,1,0)</formula>
    </cfRule>
  </conditionalFormatting>
  <conditionalFormatting sqref="H29">
    <cfRule type="expression" dxfId="137" priority="172">
      <formula>IF(#REF!&lt;&gt;#REF!,1,0)</formula>
    </cfRule>
  </conditionalFormatting>
  <conditionalFormatting sqref="E29:G29 K29:L29">
    <cfRule type="expression" dxfId="136" priority="178">
      <formula>IF(#REF!&lt;&gt;#REF!,1,0)</formula>
    </cfRule>
  </conditionalFormatting>
  <conditionalFormatting sqref="D14:D16">
    <cfRule type="expression" dxfId="135" priority="155">
      <formula>IF(#REF!&lt;&gt;#REF!,1,0)</formula>
    </cfRule>
  </conditionalFormatting>
  <conditionalFormatting sqref="D18">
    <cfRule type="expression" dxfId="134" priority="154">
      <formula>IF(#REF!&lt;&gt;#REF!,1,0)</formula>
    </cfRule>
  </conditionalFormatting>
  <conditionalFormatting sqref="H29">
    <cfRule type="expression" dxfId="133" priority="174">
      <formula>IF(#REF!&lt;&gt;#REF!,1,0)</formula>
    </cfRule>
  </conditionalFormatting>
  <conditionalFormatting sqref="M29:N29">
    <cfRule type="expression" dxfId="132" priority="171">
      <formula>IF(#REF!&lt;&gt;#REF!,1,0)</formula>
    </cfRule>
  </conditionalFormatting>
  <conditionalFormatting sqref="M29">
    <cfRule type="expression" dxfId="131" priority="170">
      <formula>IF(#REF!&lt;&gt;#REF!,1,0)</formula>
    </cfRule>
  </conditionalFormatting>
  <conditionalFormatting sqref="M29">
    <cfRule type="expression" dxfId="130" priority="169">
      <formula>IF(#REF!&lt;&gt;#REF!,1,0)</formula>
    </cfRule>
  </conditionalFormatting>
  <conditionalFormatting sqref="M29">
    <cfRule type="expression" dxfId="129" priority="168">
      <formula>IF(#REF!&lt;&gt;#REF!,1,0)</formula>
    </cfRule>
  </conditionalFormatting>
  <conditionalFormatting sqref="O29">
    <cfRule type="expression" dxfId="128" priority="167">
      <formula>IF(#REF!&lt;&gt;#REF!,1,0)</formula>
    </cfRule>
  </conditionalFormatting>
  <conditionalFormatting sqref="C28:D29">
    <cfRule type="expression" dxfId="127" priority="166">
      <formula>IF(#REF!&lt;&gt;#REF!,1,0)</formula>
    </cfRule>
  </conditionalFormatting>
  <conditionalFormatting sqref="D4">
    <cfRule type="expression" dxfId="126" priority="142">
      <formula>IF(#REF!&lt;&gt;#REF!,1,0)</formula>
    </cfRule>
  </conditionalFormatting>
  <conditionalFormatting sqref="D6:D18">
    <cfRule type="expression" dxfId="125" priority="160">
      <formula>IF(#REF!&lt;&gt;#REF!,1,0)</formula>
    </cfRule>
  </conditionalFormatting>
  <conditionalFormatting sqref="D6:D18">
    <cfRule type="expression" dxfId="124" priority="161">
      <formula>IF(#REF!&lt;&gt;#REF!,1,0)</formula>
    </cfRule>
  </conditionalFormatting>
  <conditionalFormatting sqref="D17 D7:D13">
    <cfRule type="expression" dxfId="123" priority="159">
      <formula>IF(#REF!&lt;&gt;#REF!,1,0)</formula>
    </cfRule>
  </conditionalFormatting>
  <conditionalFormatting sqref="D14:D16">
    <cfRule type="expression" dxfId="122" priority="156">
      <formula>IF(#REF!&lt;&gt;#REF!,1,0)</formula>
    </cfRule>
  </conditionalFormatting>
  <conditionalFormatting sqref="D6">
    <cfRule type="expression" dxfId="121" priority="152">
      <formula>IF(#REF!&lt;&gt;#REF!,1,0)</formula>
    </cfRule>
  </conditionalFormatting>
  <conditionalFormatting sqref="D12">
    <cfRule type="expression" dxfId="120" priority="163">
      <formula>IF(#REF!&lt;&gt;#REF!,1,0)</formula>
    </cfRule>
  </conditionalFormatting>
  <conditionalFormatting sqref="D19">
    <cfRule type="expression" dxfId="119" priority="149">
      <formula>IF(#REF!&lt;&gt;#REF!,1,0)</formula>
    </cfRule>
  </conditionalFormatting>
  <conditionalFormatting sqref="D19">
    <cfRule type="expression" dxfId="118" priority="150">
      <formula>IF(#REF!&lt;&gt;#REF!,1,0)</formula>
    </cfRule>
  </conditionalFormatting>
  <conditionalFormatting sqref="D19">
    <cfRule type="expression" dxfId="117" priority="148">
      <formula>IF(#REF!&lt;&gt;#REF!,1,0)</formula>
    </cfRule>
  </conditionalFormatting>
  <conditionalFormatting sqref="D19">
    <cfRule type="expression" dxfId="116" priority="147">
      <formula>IF(#REF!&lt;&gt;#REF!,1,0)</formula>
    </cfRule>
  </conditionalFormatting>
  <conditionalFormatting sqref="D19">
    <cfRule type="expression" dxfId="115" priority="151">
      <formula>IF(#REF!&lt;&gt;#REF!,1,0)</formula>
    </cfRule>
  </conditionalFormatting>
  <conditionalFormatting sqref="D4">
    <cfRule type="expression" dxfId="114" priority="144">
      <formula>IF(#REF!&lt;&gt;#REF!,1,0)</formula>
    </cfRule>
  </conditionalFormatting>
  <conditionalFormatting sqref="D4">
    <cfRule type="expression" dxfId="113" priority="145">
      <formula>IF(#REF!&lt;&gt;#REF!,1,0)</formula>
    </cfRule>
  </conditionalFormatting>
  <conditionalFormatting sqref="D4">
    <cfRule type="expression" dxfId="112" priority="143">
      <formula>IF(#REF!&lt;&gt;#REF!,1,0)</formula>
    </cfRule>
  </conditionalFormatting>
  <conditionalFormatting sqref="D4">
    <cfRule type="expression" dxfId="111" priority="146">
      <formula>IF(#REF!&lt;&gt;#REF!,1,0)</formula>
    </cfRule>
  </conditionalFormatting>
  <conditionalFormatting sqref="U31:W31 Q31 E31:J31">
    <cfRule type="expression" dxfId="110" priority="140">
      <formula>IF(#REF!&lt;&gt;#REF!,1,0)</formula>
    </cfRule>
  </conditionalFormatting>
  <conditionalFormatting sqref="U31:W31">
    <cfRule type="expression" dxfId="109" priority="139">
      <formula>IF(#REF!&lt;&gt;#REF!,1,0)</formula>
    </cfRule>
  </conditionalFormatting>
  <conditionalFormatting sqref="L31:S31 C31:E31">
    <cfRule type="expression" dxfId="108" priority="141">
      <formula>IF(#REF!&lt;&gt;#REF!,1,0)</formula>
    </cfRule>
  </conditionalFormatting>
  <conditionalFormatting sqref="W31">
    <cfRule type="expression" dxfId="107" priority="138">
      <formula>IF(#REF!&lt;&gt;#REF!,1,0)</formula>
    </cfRule>
  </conditionalFormatting>
  <conditionalFormatting sqref="R31">
    <cfRule type="expression" dxfId="106" priority="137">
      <formula>IF(#REF!&lt;&gt;#REF!,1,0)</formula>
    </cfRule>
  </conditionalFormatting>
  <conditionalFormatting sqref="K31">
    <cfRule type="expression" dxfId="105" priority="134">
      <formula>IF(#REF!&lt;&gt;#REF!,1,0)</formula>
    </cfRule>
  </conditionalFormatting>
  <conditionalFormatting sqref="K31">
    <cfRule type="expression" dxfId="104" priority="136">
      <formula>IF(#REF!&lt;&gt;#REF!,1,0)</formula>
    </cfRule>
  </conditionalFormatting>
  <conditionalFormatting sqref="K31">
    <cfRule type="expression" dxfId="103" priority="135">
      <formula>IF(#REF!&lt;&gt;#REF!,1,0)</formula>
    </cfRule>
  </conditionalFormatting>
  <conditionalFormatting sqref="T31">
    <cfRule type="expression" dxfId="102" priority="133">
      <formula>IF(#REF!&lt;&gt;#REF!,1,0)</formula>
    </cfRule>
  </conditionalFormatting>
  <conditionalFormatting sqref="T31">
    <cfRule type="expression" dxfId="101" priority="132">
      <formula>IF(#REF!&lt;&gt;#REF!,1,0)</formula>
    </cfRule>
  </conditionalFormatting>
  <conditionalFormatting sqref="T31">
    <cfRule type="expression" dxfId="100" priority="131">
      <formula>IF(#REF!&lt;&gt;#REF!,1,0)</formula>
    </cfRule>
  </conditionalFormatting>
  <conditionalFormatting sqref="W31">
    <cfRule type="expression" dxfId="99" priority="130">
      <formula>IF(#REF!&lt;&gt;#REF!,1,0)</formula>
    </cfRule>
  </conditionalFormatting>
  <conditionalFormatting sqref="W31">
    <cfRule type="expression" dxfId="98" priority="129">
      <formula>IF(#REF!&lt;&gt;#REF!,1,0)</formula>
    </cfRule>
  </conditionalFormatting>
  <conditionalFormatting sqref="W31">
    <cfRule type="expression" dxfId="97" priority="128">
      <formula>IF(#REF!&lt;&gt;#REF!,1,0)</formula>
    </cfRule>
  </conditionalFormatting>
  <conditionalFormatting sqref="L31">
    <cfRule type="expression" dxfId="96" priority="127">
      <formula>IF(#REF!&lt;&gt;#REF!,1,0)</formula>
    </cfRule>
  </conditionalFormatting>
  <conditionalFormatting sqref="L31">
    <cfRule type="expression" dxfId="95" priority="126">
      <formula>IF(#REF!&lt;&gt;#REF!,1,0)</formula>
    </cfRule>
  </conditionalFormatting>
  <conditionalFormatting sqref="L31">
    <cfRule type="expression" dxfId="94" priority="125">
      <formula>IF(#REF!&lt;&gt;#REF!,1,0)</formula>
    </cfRule>
  </conditionalFormatting>
  <conditionalFormatting sqref="R31">
    <cfRule type="expression" dxfId="93" priority="124">
      <formula>IF(#REF!&lt;&gt;#REF!,1,0)</formula>
    </cfRule>
  </conditionalFormatting>
  <conditionalFormatting sqref="R31">
    <cfRule type="expression" dxfId="92" priority="123">
      <formula>IF(#REF!&lt;&gt;#REF!,1,0)</formula>
    </cfRule>
  </conditionalFormatting>
  <conditionalFormatting sqref="R31">
    <cfRule type="expression" dxfId="91" priority="122">
      <formula>IF(#REF!&lt;&gt;#REF!,1,0)</formula>
    </cfRule>
  </conditionalFormatting>
  <conditionalFormatting sqref="I31">
    <cfRule type="expression" dxfId="90" priority="121">
      <formula>IF(#REF!&lt;&gt;#REF!,1,0)</formula>
    </cfRule>
  </conditionalFormatting>
  <conditionalFormatting sqref="J31">
    <cfRule type="expression" dxfId="89" priority="120">
      <formula>IF(#REF!&lt;&gt;#REF!,1,0)</formula>
    </cfRule>
  </conditionalFormatting>
  <conditionalFormatting sqref="Q31">
    <cfRule type="expression" dxfId="88" priority="119">
      <formula>IF(#REF!&lt;&gt;#REF!,1,0)</formula>
    </cfRule>
  </conditionalFormatting>
  <conditionalFormatting sqref="U30:W30 Q30 E30:J30">
    <cfRule type="expression" dxfId="87" priority="117">
      <formula>IF(#REF!&lt;&gt;#REF!,1,0)</formula>
    </cfRule>
  </conditionalFormatting>
  <conditionalFormatting sqref="U30:W30">
    <cfRule type="expression" dxfId="86" priority="116">
      <formula>IF(#REF!&lt;&gt;#REF!,1,0)</formula>
    </cfRule>
  </conditionalFormatting>
  <conditionalFormatting sqref="L30:W30 C30:E30">
    <cfRule type="expression" dxfId="85" priority="118">
      <formula>IF(#REF!&lt;&gt;#REF!,1,0)</formula>
    </cfRule>
  </conditionalFormatting>
  <conditionalFormatting sqref="S30:W30">
    <cfRule type="expression" dxfId="84" priority="115">
      <formula>IF(#REF!&lt;&gt;#REF!,1,0)</formula>
    </cfRule>
  </conditionalFormatting>
  <conditionalFormatting sqref="W30 E30:J30 L30:Q30">
    <cfRule type="expression" dxfId="83" priority="114">
      <formula>IF(#REF!&lt;&gt;#REF!,1,0)</formula>
    </cfRule>
  </conditionalFormatting>
  <conditionalFormatting sqref="W30">
    <cfRule type="expression" dxfId="82" priority="113">
      <formula>IF(#REF!&lt;&gt;#REF!,1,0)</formula>
    </cfRule>
  </conditionalFormatting>
  <conditionalFormatting sqref="R30">
    <cfRule type="expression" dxfId="81" priority="106">
      <formula>IF(#REF!&lt;&gt;#REF!,1,0)</formula>
    </cfRule>
  </conditionalFormatting>
  <conditionalFormatting sqref="K30">
    <cfRule type="expression" dxfId="80" priority="103">
      <formula>IF(#REF!&lt;&gt;#REF!,1,0)</formula>
    </cfRule>
  </conditionalFormatting>
  <conditionalFormatting sqref="K30">
    <cfRule type="expression" dxfId="79" priority="105">
      <formula>IF(#REF!&lt;&gt;#REF!,1,0)</formula>
    </cfRule>
  </conditionalFormatting>
  <conditionalFormatting sqref="K30">
    <cfRule type="expression" dxfId="78" priority="104">
      <formula>IF(#REF!&lt;&gt;#REF!,1,0)</formula>
    </cfRule>
  </conditionalFormatting>
  <conditionalFormatting sqref="W30">
    <cfRule type="expression" dxfId="77" priority="112">
      <formula>IF(#REF!&lt;&gt;#REF!,1,0)</formula>
    </cfRule>
  </conditionalFormatting>
  <conditionalFormatting sqref="L30:Q30">
    <cfRule type="expression" dxfId="76" priority="110">
      <formula>IF(#REF!&lt;&gt;#REF!,1,0)</formula>
    </cfRule>
  </conditionalFormatting>
  <conditionalFormatting sqref="M30:Q30">
    <cfRule type="expression" dxfId="75" priority="109">
      <formula>IF(#REF!&lt;&gt;#REF!,1,0)</formula>
    </cfRule>
  </conditionalFormatting>
  <conditionalFormatting sqref="C30:D30">
    <cfRule type="expression" dxfId="74" priority="111">
      <formula>IF(#REF!&lt;&gt;#REF!,1,0)</formula>
    </cfRule>
  </conditionalFormatting>
  <conditionalFormatting sqref="R30">
    <cfRule type="expression" dxfId="73" priority="108">
      <formula>IF(#REF!&lt;&gt;#REF!,1,0)</formula>
    </cfRule>
  </conditionalFormatting>
  <conditionalFormatting sqref="R30">
    <cfRule type="expression" dxfId="72" priority="107">
      <formula>IF(#REF!&lt;&gt;#REF!,1,0)</formula>
    </cfRule>
  </conditionalFormatting>
  <conditionalFormatting sqref="P39">
    <cfRule type="expression" dxfId="71" priority="22">
      <formula>IF(#REF!&lt;&gt;#REF!,1,0)</formula>
    </cfRule>
  </conditionalFormatting>
  <conditionalFormatting sqref="L39 P39:Q39">
    <cfRule type="expression" dxfId="70" priority="21">
      <formula>IF(#REF!&lt;&gt;#REF!,1,0)</formula>
    </cfRule>
  </conditionalFormatting>
  <conditionalFormatting sqref="P39:Q39">
    <cfRule type="expression" dxfId="69" priority="20">
      <formula>IF(#REF!&lt;&gt;#REF!,1,0)</formula>
    </cfRule>
  </conditionalFormatting>
  <conditionalFormatting sqref="R39">
    <cfRule type="expression" dxfId="68" priority="19">
      <formula>IF(#REF!&lt;&gt;#REF!,1,0)</formula>
    </cfRule>
  </conditionalFormatting>
  <conditionalFormatting sqref="R39">
    <cfRule type="expression" dxfId="67" priority="18">
      <formula>IF(#REF!&lt;&gt;#REF!,1,0)</formula>
    </cfRule>
  </conditionalFormatting>
  <conditionalFormatting sqref="R39">
    <cfRule type="expression" dxfId="66" priority="17">
      <formula>IF(#REF!&lt;&gt;#REF!,1,0)</formula>
    </cfRule>
  </conditionalFormatting>
  <conditionalFormatting sqref="R39">
    <cfRule type="expression" dxfId="65" priority="16">
      <formula>IF(#REF!&lt;&gt;#REF!,1,0)</formula>
    </cfRule>
  </conditionalFormatting>
  <conditionalFormatting sqref="R39">
    <cfRule type="expression" dxfId="64" priority="15">
      <formula>IF(#REF!&lt;&gt;#REF!,1,0)</formula>
    </cfRule>
  </conditionalFormatting>
  <conditionalFormatting sqref="R39">
    <cfRule type="expression" dxfId="63" priority="14">
      <formula>IF(#REF!&lt;&gt;#REF!,1,0)</formula>
    </cfRule>
  </conditionalFormatting>
  <conditionalFormatting sqref="E39">
    <cfRule type="expression" dxfId="62" priority="13">
      <formula>IF(#REF!&lt;&gt;#REF!,1,0)</formula>
    </cfRule>
  </conditionalFormatting>
  <conditionalFormatting sqref="M39">
    <cfRule type="expression" dxfId="61" priority="11">
      <formula>IF(#REF!&lt;&gt;#REF!,1,0)</formula>
    </cfRule>
  </conditionalFormatting>
  <conditionalFormatting sqref="E39">
    <cfRule type="expression" dxfId="60" priority="12">
      <formula>IF(#REF!&lt;&gt;#REF!,1,0)</formula>
    </cfRule>
  </conditionalFormatting>
  <conditionalFormatting sqref="M39:N39">
    <cfRule type="expression" dxfId="59" priority="10">
      <formula>IF(#REF!&lt;&gt;#REF!,1,0)</formula>
    </cfRule>
  </conditionalFormatting>
  <conditionalFormatting sqref="U39:W39">
    <cfRule type="expression" dxfId="58" priority="27">
      <formula>IF(#REF!&lt;&gt;#REF!,1,0)</formula>
    </cfRule>
  </conditionalFormatting>
  <conditionalFormatting sqref="O39">
    <cfRule type="expression" dxfId="57" priority="6">
      <formula>IF(#REF!&lt;&gt;#REF!,1,0)</formula>
    </cfRule>
  </conditionalFormatting>
  <conditionalFormatting sqref="D39">
    <cfRule type="expression" dxfId="56" priority="3">
      <formula>IF(#REF!&lt;&gt;#REF!,1,0)</formula>
    </cfRule>
  </conditionalFormatting>
  <conditionalFormatting sqref="D39">
    <cfRule type="expression" dxfId="55" priority="4">
      <formula>IF(#REF!&lt;&gt;#REF!,1,0)</formula>
    </cfRule>
  </conditionalFormatting>
  <conditionalFormatting sqref="D39">
    <cfRule type="expression" dxfId="54" priority="2">
      <formula>IF(#REF!&lt;&gt;#REF!,1,0)</formula>
    </cfRule>
  </conditionalFormatting>
  <conditionalFormatting sqref="D39">
    <cfRule type="expression" dxfId="53" priority="1">
      <formula>IF(#REF!&lt;&gt;#REF!,1,0)</formula>
    </cfRule>
  </conditionalFormatting>
  <conditionalFormatting sqref="O39">
    <cfRule type="expression" dxfId="52" priority="5">
      <formula>IF(#REF!&lt;&gt;#REF!,1,0)</formula>
    </cfRule>
  </conditionalFormatting>
  <conditionalFormatting sqref="U38:W38 Q38 E38:J38">
    <cfRule type="expression" dxfId="51" priority="68">
      <formula>IF(#REF!&lt;&gt;#REF!,1,0)</formula>
    </cfRule>
  </conditionalFormatting>
  <conditionalFormatting sqref="U38:W38">
    <cfRule type="expression" dxfId="50" priority="67">
      <formula>IF(#REF!&lt;&gt;#REF!,1,0)</formula>
    </cfRule>
  </conditionalFormatting>
  <conditionalFormatting sqref="L38 P38:S38 E38">
    <cfRule type="expression" dxfId="49" priority="69">
      <formula>IF(#REF!&lt;&gt;#REF!,1,0)</formula>
    </cfRule>
  </conditionalFormatting>
  <conditionalFormatting sqref="U38:W38 E38:L38 P38:Q38">
    <cfRule type="expression" dxfId="48" priority="66">
      <formula>IF(#REF!&lt;&gt;#REF!,1,0)</formula>
    </cfRule>
  </conditionalFormatting>
  <conditionalFormatting sqref="S38:W38">
    <cfRule type="expression" dxfId="47" priority="65">
      <formula>IF(#REF!&lt;&gt;#REF!,1,0)</formula>
    </cfRule>
  </conditionalFormatting>
  <conditionalFormatting sqref="U38:W38">
    <cfRule type="expression" dxfId="46" priority="64">
      <formula>IF(#REF!&lt;&gt;#REF!,1,0)</formula>
    </cfRule>
  </conditionalFormatting>
  <conditionalFormatting sqref="R38">
    <cfRule type="expression" dxfId="45" priority="54">
      <formula>IF(#REF!&lt;&gt;#REF!,1,0)</formula>
    </cfRule>
  </conditionalFormatting>
  <conditionalFormatting sqref="S38:U38">
    <cfRule type="expression" dxfId="44" priority="63">
      <formula>IF(#REF!&lt;&gt;#REF!,1,0)</formula>
    </cfRule>
  </conditionalFormatting>
  <conditionalFormatting sqref="L38 P38 E38:G38">
    <cfRule type="expression" dxfId="43" priority="62">
      <formula>IF(#REF!&lt;&gt;#REF!,1,0)</formula>
    </cfRule>
  </conditionalFormatting>
  <conditionalFormatting sqref="S38:U38">
    <cfRule type="expression" dxfId="42" priority="61">
      <formula>IF(#REF!&lt;&gt;#REF!,1,0)</formula>
    </cfRule>
  </conditionalFormatting>
  <conditionalFormatting sqref="P38 L38">
    <cfRule type="expression" dxfId="41" priority="60">
      <formula>IF(#REF!&lt;&gt;#REF!,1,0)</formula>
    </cfRule>
  </conditionalFormatting>
  <conditionalFormatting sqref="P38">
    <cfRule type="expression" dxfId="40" priority="59">
      <formula>IF(#REF!&lt;&gt;#REF!,1,0)</formula>
    </cfRule>
  </conditionalFormatting>
  <conditionalFormatting sqref="L38 P38:Q38">
    <cfRule type="expression" dxfId="39" priority="58">
      <formula>IF(#REF!&lt;&gt;#REF!,1,0)</formula>
    </cfRule>
  </conditionalFormatting>
  <conditionalFormatting sqref="P38:Q38">
    <cfRule type="expression" dxfId="38" priority="57">
      <formula>IF(#REF!&lt;&gt;#REF!,1,0)</formula>
    </cfRule>
  </conditionalFormatting>
  <conditionalFormatting sqref="R38">
    <cfRule type="expression" dxfId="37" priority="56">
      <formula>IF(#REF!&lt;&gt;#REF!,1,0)</formula>
    </cfRule>
  </conditionalFormatting>
  <conditionalFormatting sqref="R38">
    <cfRule type="expression" dxfId="36" priority="55">
      <formula>IF(#REF!&lt;&gt;#REF!,1,0)</formula>
    </cfRule>
  </conditionalFormatting>
  <conditionalFormatting sqref="R38">
    <cfRule type="expression" dxfId="35" priority="53">
      <formula>IF(#REF!&lt;&gt;#REF!,1,0)</formula>
    </cfRule>
  </conditionalFormatting>
  <conditionalFormatting sqref="R38">
    <cfRule type="expression" dxfId="34" priority="52">
      <formula>IF(#REF!&lt;&gt;#REF!,1,0)</formula>
    </cfRule>
  </conditionalFormatting>
  <conditionalFormatting sqref="R38">
    <cfRule type="expression" dxfId="33" priority="51">
      <formula>IF(#REF!&lt;&gt;#REF!,1,0)</formula>
    </cfRule>
  </conditionalFormatting>
  <conditionalFormatting sqref="E38">
    <cfRule type="expression" dxfId="32" priority="49">
      <formula>IF(#REF!&lt;&gt;#REF!,1,0)</formula>
    </cfRule>
  </conditionalFormatting>
  <conditionalFormatting sqref="E38">
    <cfRule type="expression" dxfId="31" priority="50">
      <formula>IF(#REF!&lt;&gt;#REF!,1,0)</formula>
    </cfRule>
  </conditionalFormatting>
  <conditionalFormatting sqref="M38">
    <cfRule type="expression" dxfId="30" priority="48">
      <formula>IF(#REF!&lt;&gt;#REF!,1,0)</formula>
    </cfRule>
  </conditionalFormatting>
  <conditionalFormatting sqref="M38:N38">
    <cfRule type="expression" dxfId="29" priority="47">
      <formula>IF(#REF!&lt;&gt;#REF!,1,0)</formula>
    </cfRule>
  </conditionalFormatting>
  <conditionalFormatting sqref="C38">
    <cfRule type="expression" dxfId="28" priority="70">
      <formula>IF(#REF!&lt;&gt;#REF!,1,0)</formula>
    </cfRule>
  </conditionalFormatting>
  <conditionalFormatting sqref="E38 L38">
    <cfRule type="expression" dxfId="27" priority="71">
      <formula>IF(#REF!&lt;&gt;#REF!,1,0)</formula>
    </cfRule>
  </conditionalFormatting>
  <conditionalFormatting sqref="C38">
    <cfRule type="expression" dxfId="26" priority="72">
      <formula>IF(#REF!&lt;&gt;#REF!,1,0)</formula>
    </cfRule>
  </conditionalFormatting>
  <conditionalFormatting sqref="L38 E38">
    <cfRule type="expression" dxfId="25" priority="73">
      <formula>IF(#REF!&lt;&gt;#REF!,1,0)</formula>
    </cfRule>
  </conditionalFormatting>
  <conditionalFormatting sqref="O38">
    <cfRule type="expression" dxfId="24" priority="42">
      <formula>IF(#REF!&lt;&gt;#REF!,1,0)</formula>
    </cfRule>
  </conditionalFormatting>
  <conditionalFormatting sqref="W38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8:N38">
    <cfRule type="expression" dxfId="23" priority="46">
      <formula>IF(#REF!&lt;&gt;#REF!,1,0)</formula>
    </cfRule>
  </conditionalFormatting>
  <conditionalFormatting sqref="M38:N38">
    <cfRule type="expression" dxfId="22" priority="45">
      <formula>IF(#REF!&lt;&gt;#REF!,1,0)</formula>
    </cfRule>
  </conditionalFormatting>
  <conditionalFormatting sqref="O38">
    <cfRule type="expression" dxfId="21" priority="44">
      <formula>IF(#REF!&lt;&gt;#REF!,1,0)</formula>
    </cfRule>
  </conditionalFormatting>
  <conditionalFormatting sqref="O38">
    <cfRule type="expression" dxfId="20" priority="43">
      <formula>IF(#REF!&lt;&gt;#REF!,1,0)</formula>
    </cfRule>
  </conditionalFormatting>
  <conditionalFormatting sqref="D38">
    <cfRule type="expression" dxfId="19" priority="39">
      <formula>IF(#REF!&lt;&gt;#REF!,1,0)</formula>
    </cfRule>
  </conditionalFormatting>
  <conditionalFormatting sqref="D38">
    <cfRule type="expression" dxfId="18" priority="40">
      <formula>IF(#REF!&lt;&gt;#REF!,1,0)</formula>
    </cfRule>
  </conditionalFormatting>
  <conditionalFormatting sqref="D38">
    <cfRule type="expression" dxfId="17" priority="38">
      <formula>IF(#REF!&lt;&gt;#REF!,1,0)</formula>
    </cfRule>
  </conditionalFormatting>
  <conditionalFormatting sqref="D38">
    <cfRule type="expression" dxfId="16" priority="41">
      <formula>IF(#REF!&lt;&gt;#REF!,1,0)</formula>
    </cfRule>
  </conditionalFormatting>
  <conditionalFormatting sqref="U39:W39 Q39 E39:J39">
    <cfRule type="expression" dxfId="15" priority="31">
      <formula>IF(#REF!&lt;&gt;#REF!,1,0)</formula>
    </cfRule>
  </conditionalFormatting>
  <conditionalFormatting sqref="U39:W39">
    <cfRule type="expression" dxfId="14" priority="30">
      <formula>IF(#REF!&lt;&gt;#REF!,1,0)</formula>
    </cfRule>
  </conditionalFormatting>
  <conditionalFormatting sqref="L39 P39:S39 E39">
    <cfRule type="expression" dxfId="13" priority="32">
      <formula>IF(#REF!&lt;&gt;#REF!,1,0)</formula>
    </cfRule>
  </conditionalFormatting>
  <conditionalFormatting sqref="U39:W39 E39:L39 P39:Q39">
    <cfRule type="expression" dxfId="12" priority="29">
      <formula>IF(#REF!&lt;&gt;#REF!,1,0)</formula>
    </cfRule>
  </conditionalFormatting>
  <conditionalFormatting sqref="S39:W39">
    <cfRule type="expression" dxfId="11" priority="28">
      <formula>IF(#REF!&lt;&gt;#REF!,1,0)</formula>
    </cfRule>
  </conditionalFormatting>
  <conditionalFormatting sqref="S39:U39">
    <cfRule type="expression" dxfId="10" priority="26">
      <formula>IF(#REF!&lt;&gt;#REF!,1,0)</formula>
    </cfRule>
  </conditionalFormatting>
  <conditionalFormatting sqref="L39 P39 E39:G39">
    <cfRule type="expression" dxfId="9" priority="25">
      <formula>IF(#REF!&lt;&gt;#REF!,1,0)</formula>
    </cfRule>
  </conditionalFormatting>
  <conditionalFormatting sqref="S39:U39">
    <cfRule type="expression" dxfId="8" priority="24">
      <formula>IF(#REF!&lt;&gt;#REF!,1,0)</formula>
    </cfRule>
  </conditionalFormatting>
  <conditionalFormatting sqref="P39 L39">
    <cfRule type="expression" dxfId="7" priority="23">
      <formula>IF(#REF!&lt;&gt;#REF!,1,0)</formula>
    </cfRule>
  </conditionalFormatting>
  <conditionalFormatting sqref="C39">
    <cfRule type="expression" dxfId="6" priority="33">
      <formula>IF(#REF!&lt;&gt;#REF!,1,0)</formula>
    </cfRule>
  </conditionalFormatting>
  <conditionalFormatting sqref="E39 L39">
    <cfRule type="expression" dxfId="5" priority="34">
      <formula>IF(#REF!&lt;&gt;#REF!,1,0)</formula>
    </cfRule>
  </conditionalFormatting>
  <conditionalFormatting sqref="C39">
    <cfRule type="expression" dxfId="4" priority="35">
      <formula>IF(#REF!&lt;&gt;#REF!,1,0)</formula>
    </cfRule>
  </conditionalFormatting>
  <conditionalFormatting sqref="L39 E39">
    <cfRule type="expression" dxfId="3" priority="36">
      <formula>IF(#REF!&lt;&gt;#REF!,1,0)</formula>
    </cfRule>
  </conditionalFormatting>
  <conditionalFormatting sqref="W3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9:N39">
    <cfRule type="expression" dxfId="2" priority="9">
      <formula>IF(#REF!&lt;&gt;#REF!,1,0)</formula>
    </cfRule>
  </conditionalFormatting>
  <conditionalFormatting sqref="M39:N39">
    <cfRule type="expression" dxfId="1" priority="8">
      <formula>IF(#REF!&lt;&gt;#REF!,1,0)</formula>
    </cfRule>
  </conditionalFormatting>
  <conditionalFormatting sqref="O39">
    <cfRule type="expression" dxfId="0" priority="7">
      <formula>IF(#REF!&lt;&gt;#REF!,1,0)</formula>
    </cfRule>
  </conditionalFormatting>
  <pageMargins left="0.7" right="0.7" top="0.75" bottom="0.75" header="0.3" footer="0.3"/>
  <pageSetup paperSize="9" scale="55" orientation="landscape" r:id="rId1"/>
  <ignoredErrors>
    <ignoredError sqref="N6 Q23 N7:N22" formula="1"/>
    <ignoredError sqref="K7:K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هیدرومدول انتخاب</vt:lpstr>
      <vt:lpstr>روش ها</vt:lpstr>
      <vt:lpstr>هیدرومدول</vt:lpstr>
      <vt:lpstr>نتایج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Pooya Shirazi</dc:creator>
  <cp:lastModifiedBy>POOYA</cp:lastModifiedBy>
  <cp:lastPrinted>2021-01-05T20:07:49Z</cp:lastPrinted>
  <dcterms:created xsi:type="dcterms:W3CDTF">2020-12-29T16:16:45Z</dcterms:created>
  <dcterms:modified xsi:type="dcterms:W3CDTF">2021-03-14T08:31:56Z</dcterms:modified>
</cp:coreProperties>
</file>