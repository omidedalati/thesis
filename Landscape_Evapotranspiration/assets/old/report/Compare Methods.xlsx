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HydroTech\Landscape_Evapotranspiration\assets\report\"/>
    </mc:Choice>
  </mc:AlternateContent>
  <xr:revisionPtr revIDLastSave="0" documentId="13_ncr:1_{B27936BF-E4F3-4A9E-A8E4-87B811DA96C3}" xr6:coauthVersionLast="45" xr6:coauthVersionMax="45" xr10:uidLastSave="{00000000-0000-0000-0000-000000000000}"/>
  <bookViews>
    <workbookView xWindow="-120" yWindow="-120" windowWidth="29040" windowHeight="15840" activeTab="1" xr2:uid="{219C7FA2-49D3-427B-87CF-D5B9256F5224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3" l="1"/>
  <c r="F21" i="3"/>
  <c r="F22" i="3"/>
  <c r="F19" i="3"/>
  <c r="L7" i="3"/>
  <c r="L12" i="3"/>
  <c r="L13" i="3"/>
  <c r="L15" i="3"/>
  <c r="H6" i="3"/>
  <c r="H7" i="3"/>
  <c r="H10" i="3"/>
  <c r="H12" i="3"/>
  <c r="H13" i="3"/>
  <c r="H14" i="3"/>
  <c r="H15" i="3"/>
  <c r="H18" i="3"/>
  <c r="I6" i="3"/>
  <c r="I7" i="3"/>
  <c r="I8" i="3"/>
  <c r="H8" i="3" s="1"/>
  <c r="I9" i="3"/>
  <c r="H9" i="3" s="1"/>
  <c r="I10" i="3"/>
  <c r="I11" i="3"/>
  <c r="H11" i="3" s="1"/>
  <c r="I12" i="3"/>
  <c r="I13" i="3"/>
  <c r="I14" i="3"/>
  <c r="I15" i="3"/>
  <c r="I16" i="3"/>
  <c r="H16" i="3" s="1"/>
  <c r="I17" i="3"/>
  <c r="H17" i="3" s="1"/>
  <c r="I18" i="3"/>
  <c r="I5" i="3"/>
  <c r="H5" i="3" s="1"/>
  <c r="M6" i="3"/>
  <c r="L6" i="3" s="1"/>
  <c r="M7" i="3"/>
  <c r="M8" i="3"/>
  <c r="L8" i="3" s="1"/>
  <c r="M9" i="3"/>
  <c r="L9" i="3" s="1"/>
  <c r="M10" i="3"/>
  <c r="L10" i="3" s="1"/>
  <c r="M11" i="3"/>
  <c r="L11" i="3" s="1"/>
  <c r="M12" i="3"/>
  <c r="M13" i="3"/>
  <c r="M14" i="3"/>
  <c r="L14" i="3" s="1"/>
  <c r="M15" i="3"/>
  <c r="M16" i="3"/>
  <c r="L16" i="3" s="1"/>
  <c r="M17" i="3"/>
  <c r="L17" i="3" s="1"/>
  <c r="M18" i="3"/>
  <c r="L18" i="3" s="1"/>
  <c r="M5" i="3"/>
  <c r="L5" i="3" s="1"/>
  <c r="K23" i="3"/>
  <c r="G23" i="3"/>
  <c r="E23" i="3"/>
  <c r="D23" i="3"/>
  <c r="C23" i="3"/>
  <c r="N23" i="3" s="1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23" i="3" s="1"/>
  <c r="J23" i="3" l="1"/>
  <c r="L23" i="3"/>
  <c r="H23" i="3"/>
  <c r="I23" i="3"/>
  <c r="M23" i="3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I1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5" i="1"/>
  <c r="K19" i="1"/>
  <c r="J19" i="1"/>
  <c r="H19" i="1"/>
  <c r="G19" i="1"/>
  <c r="D19" i="1"/>
  <c r="E19" i="1"/>
  <c r="C19" i="1"/>
  <c r="L19" i="1" l="1"/>
</calcChain>
</file>

<file path=xl/sharedStrings.xml><?xml version="1.0" encoding="utf-8"?>
<sst xmlns="http://schemas.openxmlformats.org/spreadsheetml/2006/main" count="55" uniqueCount="15">
  <si>
    <t>منطقه شهرداری</t>
  </si>
  <si>
    <t>مساحت</t>
  </si>
  <si>
    <t>هکتار</t>
  </si>
  <si>
    <t>هزار متر مکعب</t>
  </si>
  <si>
    <t>نیاز آبیاری سالانه</t>
  </si>
  <si>
    <t>جمع کل</t>
  </si>
  <si>
    <t>نیاز آبیاری
 ماه اوج</t>
  </si>
  <si>
    <t>هیدرومودول
ماه اوج</t>
  </si>
  <si>
    <t>لیتر در ثانیه در هکتار</t>
  </si>
  <si>
    <t>روش دفتر محیط زیست</t>
  </si>
  <si>
    <t>روش دفتر محیط زیست - تغییر Kd</t>
  </si>
  <si>
    <t>روش سه ضریبی</t>
  </si>
  <si>
    <t>لکه‏های موجود</t>
  </si>
  <si>
    <t>لکه‏های طرح تفصیلی</t>
  </si>
  <si>
    <t>لکه‏های طرح توسعه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</si>
</sst>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 Zar"/>
      <charset val="178"/>
    </font>
    <font>
      <b/>
      <sz val="10"/>
      <color theme="1"/>
      <name val="B Zar"/>
      <charset val="178"/>
    </font>
    <font>
      <sz val="12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FF0000"/>
      <name val="B Zar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164" fontId="4" fillId="4" borderId="6" xfId="1" applyNumberFormat="1" applyFont="1" applyFill="1" applyBorder="1" applyAlignment="1">
      <alignment horizontal="center" vertical="center"/>
    </xf>
    <xf numFmtId="164" fontId="4" fillId="4" borderId="7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center"/>
    </xf>
    <xf numFmtId="165" fontId="4" fillId="4" borderId="10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5" fontId="5" fillId="3" borderId="11" xfId="1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right" vertical="center" indent="1"/>
    </xf>
    <xf numFmtId="165" fontId="4" fillId="4" borderId="1" xfId="1" applyNumberFormat="1" applyFont="1" applyFill="1" applyBorder="1" applyAlignment="1">
      <alignment horizontal="right" vertical="center" indent="1"/>
    </xf>
    <xf numFmtId="165" fontId="4" fillId="4" borderId="10" xfId="1" applyNumberFormat="1" applyFont="1" applyFill="1" applyBorder="1" applyAlignment="1">
      <alignment horizontal="right" vertical="center" indent="1"/>
    </xf>
    <xf numFmtId="165" fontId="4" fillId="4" borderId="9" xfId="1" applyNumberFormat="1" applyFont="1" applyFill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 indent="1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right" vertical="center" indent="1"/>
    </xf>
    <xf numFmtId="0" fontId="6" fillId="5" borderId="0" xfId="0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4" fontId="4" fillId="4" borderId="8" xfId="1" applyNumberFormat="1" applyFont="1" applyFill="1" applyBorder="1" applyAlignment="1">
      <alignment horizontal="center" vertical="center"/>
    </xf>
    <xf numFmtId="164" fontId="4" fillId="4" borderId="10" xfId="1" applyNumberFormat="1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right" vertical="center" indent="1"/>
    </xf>
    <xf numFmtId="165" fontId="4" fillId="4" borderId="3" xfId="1" applyNumberFormat="1" applyFont="1" applyFill="1" applyBorder="1" applyAlignment="1">
      <alignment horizontal="center" vertical="center"/>
    </xf>
    <xf numFmtId="2" fontId="4" fillId="4" borderId="5" xfId="1" applyNumberFormat="1" applyFont="1" applyFill="1" applyBorder="1" applyAlignment="1">
      <alignment horizontal="center" vertical="center"/>
    </xf>
    <xf numFmtId="2" fontId="4" fillId="4" borderId="7" xfId="1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C869-3230-466E-B033-82F892704738}">
  <dimension ref="B2:L19"/>
  <sheetViews>
    <sheetView rightToLeft="1" zoomScale="110" zoomScaleNormal="110" workbookViewId="0">
      <selection activeCell="T8" sqref="T8"/>
    </sheetView>
  </sheetViews>
  <sheetFormatPr defaultRowHeight="17.25" x14ac:dyDescent="0.25"/>
  <cols>
    <col min="1" max="1" width="9.140625" style="3"/>
    <col min="2" max="2" width="8.7109375" style="3" bestFit="1" customWidth="1"/>
    <col min="3" max="5" width="11.42578125" style="3" customWidth="1"/>
    <col min="6" max="12" width="14.28515625" style="3" customWidth="1"/>
    <col min="13" max="16384" width="9.140625" style="3"/>
  </cols>
  <sheetData>
    <row r="2" spans="2:12" x14ac:dyDescent="0.25">
      <c r="D2" s="30" t="s">
        <v>9</v>
      </c>
      <c r="E2" s="30"/>
      <c r="F2" s="30"/>
      <c r="G2" s="30" t="s">
        <v>10</v>
      </c>
      <c r="H2" s="30"/>
      <c r="I2" s="30"/>
      <c r="J2" s="30" t="s">
        <v>11</v>
      </c>
      <c r="K2" s="30"/>
      <c r="L2" s="30"/>
    </row>
    <row r="3" spans="2:12" ht="34.5" customHeight="1" x14ac:dyDescent="0.25">
      <c r="B3" s="28" t="s">
        <v>0</v>
      </c>
      <c r="C3" s="9" t="s">
        <v>1</v>
      </c>
      <c r="D3" s="2" t="s">
        <v>4</v>
      </c>
      <c r="E3" s="2" t="s">
        <v>6</v>
      </c>
      <c r="F3" s="9" t="s">
        <v>7</v>
      </c>
      <c r="G3" s="14" t="s">
        <v>4</v>
      </c>
      <c r="H3" s="2" t="s">
        <v>6</v>
      </c>
      <c r="I3" s="9" t="s">
        <v>7</v>
      </c>
      <c r="J3" s="14" t="s">
        <v>4</v>
      </c>
      <c r="K3" s="2" t="s">
        <v>6</v>
      </c>
      <c r="L3" s="9" t="s">
        <v>7</v>
      </c>
    </row>
    <row r="4" spans="2:12" x14ac:dyDescent="0.25">
      <c r="B4" s="29"/>
      <c r="C4" s="22" t="s">
        <v>2</v>
      </c>
      <c r="D4" s="1" t="s">
        <v>3</v>
      </c>
      <c r="E4" s="1" t="s">
        <v>3</v>
      </c>
      <c r="F4" s="10" t="s">
        <v>8</v>
      </c>
      <c r="G4" s="15" t="s">
        <v>3</v>
      </c>
      <c r="H4" s="1" t="s">
        <v>3</v>
      </c>
      <c r="I4" s="10" t="s">
        <v>8</v>
      </c>
      <c r="J4" s="15" t="s">
        <v>3</v>
      </c>
      <c r="K4" s="1" t="s">
        <v>3</v>
      </c>
      <c r="L4" s="10" t="s">
        <v>8</v>
      </c>
    </row>
    <row r="5" spans="2:12" ht="18" customHeight="1" x14ac:dyDescent="0.25">
      <c r="B5" s="19">
        <v>1</v>
      </c>
      <c r="C5" s="6">
        <v>54.593800000000002</v>
      </c>
      <c r="D5" s="24">
        <v>727.03452127757976</v>
      </c>
      <c r="E5" s="11">
        <v>169.3973212709333</v>
      </c>
      <c r="F5" s="12">
        <f>E5*1000*1000/31/24/3600/C5</f>
        <v>1.1584779651449879</v>
      </c>
      <c r="G5" s="26">
        <v>731.06466714200292</v>
      </c>
      <c r="H5" s="11">
        <v>170.31078277623709</v>
      </c>
      <c r="I5" s="12">
        <f>H5*1000*1000/31/24/3600/C5</f>
        <v>1.1647249649084028</v>
      </c>
      <c r="J5" s="16">
        <v>740.45978969811961</v>
      </c>
      <c r="K5" s="11">
        <v>158.290046745815</v>
      </c>
      <c r="L5" s="12">
        <f>K5*1000*1000/31/24/3600/C5</f>
        <v>1.0825173024047221</v>
      </c>
    </row>
    <row r="6" spans="2:12" ht="18" customHeight="1" x14ac:dyDescent="0.25">
      <c r="B6" s="19">
        <v>2</v>
      </c>
      <c r="C6" s="7">
        <v>142.60640000000001</v>
      </c>
      <c r="D6" s="24">
        <v>1634.202846066748</v>
      </c>
      <c r="E6" s="11">
        <v>376.76495765771188</v>
      </c>
      <c r="F6" s="12">
        <f t="shared" ref="F6:F18" si="0">E6*1000*1000/31/24/3600/C6</f>
        <v>0.98640678309278684</v>
      </c>
      <c r="G6" s="26">
        <v>1653.22997362259</v>
      </c>
      <c r="H6" s="11">
        <v>381.07759277402181</v>
      </c>
      <c r="I6" s="12">
        <f t="shared" ref="I6:I18" si="1">H6*1000*1000/31/24/3600/C6</f>
        <v>0.9976976753195449</v>
      </c>
      <c r="J6" s="16">
        <v>1773.5423719973569</v>
      </c>
      <c r="K6" s="11">
        <v>380.50878734517607</v>
      </c>
      <c r="L6" s="12">
        <f t="shared" ref="L6:L18" si="2">K6*1000*1000/31/24/3600/C6</f>
        <v>0.9962084881701837</v>
      </c>
    </row>
    <row r="7" spans="2:12" ht="18" customHeight="1" x14ac:dyDescent="0.25">
      <c r="B7" s="19">
        <v>3</v>
      </c>
      <c r="C7" s="7">
        <v>110.65809999999999</v>
      </c>
      <c r="D7" s="24">
        <v>1319.1424882003701</v>
      </c>
      <c r="E7" s="11">
        <v>303.15359904680969</v>
      </c>
      <c r="F7" s="12">
        <f t="shared" si="0"/>
        <v>1.0228314733195274</v>
      </c>
      <c r="G7" s="26">
        <v>1329.5414536698099</v>
      </c>
      <c r="H7" s="11">
        <v>305.51059925743999</v>
      </c>
      <c r="I7" s="12">
        <f t="shared" si="1"/>
        <v>1.0307839238450485</v>
      </c>
      <c r="J7" s="16">
        <v>1057.72702230236</v>
      </c>
      <c r="K7" s="11">
        <v>227.82645297857181</v>
      </c>
      <c r="L7" s="12">
        <f t="shared" si="2"/>
        <v>0.76867986160788737</v>
      </c>
    </row>
    <row r="8" spans="2:12" ht="18" customHeight="1" x14ac:dyDescent="0.25">
      <c r="B8" s="19">
        <v>4</v>
      </c>
      <c r="C8" s="7">
        <v>67.195999999999998</v>
      </c>
      <c r="D8" s="24">
        <v>772.32117499832952</v>
      </c>
      <c r="E8" s="11">
        <v>175.99920655006389</v>
      </c>
      <c r="F8" s="12">
        <f t="shared" si="0"/>
        <v>0.97789415920912248</v>
      </c>
      <c r="G8" s="26">
        <v>778.47479338041398</v>
      </c>
      <c r="H8" s="11">
        <v>177.3939683526043</v>
      </c>
      <c r="I8" s="12">
        <f t="shared" si="1"/>
        <v>0.98564379312468386</v>
      </c>
      <c r="J8" s="16">
        <v>699.62421014254596</v>
      </c>
      <c r="K8" s="11">
        <v>149.06105393423539</v>
      </c>
      <c r="L8" s="12">
        <f t="shared" si="2"/>
        <v>0.82821926794528422</v>
      </c>
    </row>
    <row r="9" spans="2:12" ht="18" customHeight="1" x14ac:dyDescent="0.25">
      <c r="B9" s="19">
        <v>5</v>
      </c>
      <c r="C9" s="7">
        <v>73.179299999999998</v>
      </c>
      <c r="D9" s="24">
        <v>768.24287186193374</v>
      </c>
      <c r="E9" s="11">
        <v>176.82755430920619</v>
      </c>
      <c r="F9" s="12">
        <f t="shared" si="0"/>
        <v>0.90216557886659055</v>
      </c>
      <c r="G9" s="26">
        <v>776.74719216827998</v>
      </c>
      <c r="H9" s="11">
        <v>178.75511958598599</v>
      </c>
      <c r="I9" s="12">
        <f t="shared" si="1"/>
        <v>0.91199992312658273</v>
      </c>
      <c r="J9" s="16">
        <v>837.49634036270595</v>
      </c>
      <c r="K9" s="11">
        <v>180.97723939681589</v>
      </c>
      <c r="L9" s="12">
        <f t="shared" si="2"/>
        <v>0.92333707028829004</v>
      </c>
    </row>
    <row r="10" spans="2:12" ht="18" customHeight="1" x14ac:dyDescent="0.25">
      <c r="B10" s="19">
        <v>6</v>
      </c>
      <c r="C10" s="7">
        <v>89.3827</v>
      </c>
      <c r="D10" s="24">
        <v>1124.8322480046279</v>
      </c>
      <c r="E10" s="11">
        <v>257.27223765904421</v>
      </c>
      <c r="F10" s="12">
        <f t="shared" si="0"/>
        <v>1.07464251520873</v>
      </c>
      <c r="G10" s="26">
        <v>1134.9298245184741</v>
      </c>
      <c r="H10" s="11">
        <v>259.5609258982667</v>
      </c>
      <c r="I10" s="12">
        <f t="shared" si="1"/>
        <v>1.0842025116868039</v>
      </c>
      <c r="J10" s="16">
        <v>902.3762978602723</v>
      </c>
      <c r="K10" s="11">
        <v>191.53170536113831</v>
      </c>
      <c r="L10" s="12">
        <f t="shared" si="2"/>
        <v>0.80004012661595203</v>
      </c>
    </row>
    <row r="11" spans="2:12" ht="18" customHeight="1" x14ac:dyDescent="0.25">
      <c r="B11" s="19">
        <v>7</v>
      </c>
      <c r="C11" s="7">
        <v>527.73968000000002</v>
      </c>
      <c r="D11" s="24">
        <v>3598.9087338812101</v>
      </c>
      <c r="E11" s="11">
        <v>859.21665394478373</v>
      </c>
      <c r="F11" s="12">
        <f t="shared" si="0"/>
        <v>0.60786550735887968</v>
      </c>
      <c r="G11" s="26">
        <v>4122.1605690377919</v>
      </c>
      <c r="H11" s="11">
        <v>977.81544045879798</v>
      </c>
      <c r="I11" s="12">
        <f t="shared" si="1"/>
        <v>0.69176996987773753</v>
      </c>
      <c r="J11" s="16">
        <v>6419.1371952955533</v>
      </c>
      <c r="K11" s="11">
        <v>1472.194808930416</v>
      </c>
      <c r="L11" s="12">
        <f t="shared" si="2"/>
        <v>1.0415259531493035</v>
      </c>
    </row>
    <row r="12" spans="2:12" ht="18" customHeight="1" x14ac:dyDescent="0.25">
      <c r="B12" s="19">
        <v>8</v>
      </c>
      <c r="C12" s="7">
        <v>105.15429999999999</v>
      </c>
      <c r="D12" s="24">
        <v>934.02395261922436</v>
      </c>
      <c r="E12" s="11">
        <v>218.35233856934599</v>
      </c>
      <c r="F12" s="12">
        <f t="shared" si="0"/>
        <v>0.77527427692782913</v>
      </c>
      <c r="G12" s="26">
        <v>948.58555088551952</v>
      </c>
      <c r="H12" s="11">
        <v>221.65282940005741</v>
      </c>
      <c r="I12" s="12">
        <f t="shared" si="1"/>
        <v>0.78699288575543302</v>
      </c>
      <c r="J12" s="16">
        <v>1002.054464582636</v>
      </c>
      <c r="K12" s="11">
        <v>222.25402516462569</v>
      </c>
      <c r="L12" s="12">
        <f t="shared" si="2"/>
        <v>0.78912747068693223</v>
      </c>
    </row>
    <row r="13" spans="2:12" ht="18" customHeight="1" x14ac:dyDescent="0.25">
      <c r="B13" s="19">
        <v>9</v>
      </c>
      <c r="C13" s="7">
        <v>324.26010000000002</v>
      </c>
      <c r="D13" s="24">
        <v>2735.1443673656222</v>
      </c>
      <c r="E13" s="11">
        <v>638.50031045349863</v>
      </c>
      <c r="F13" s="12">
        <f t="shared" si="0"/>
        <v>0.73517742735897529</v>
      </c>
      <c r="G13" s="26">
        <v>2842.456149670893</v>
      </c>
      <c r="H13" s="11">
        <v>662.82329664283975</v>
      </c>
      <c r="I13" s="12">
        <f t="shared" si="1"/>
        <v>0.76318322488108947</v>
      </c>
      <c r="J13" s="16">
        <v>3264.7562667241868</v>
      </c>
      <c r="K13" s="11">
        <v>730.25004107683571</v>
      </c>
      <c r="L13" s="12">
        <f t="shared" si="2"/>
        <v>0.84081924117835372</v>
      </c>
    </row>
    <row r="14" spans="2:12" ht="18" customHeight="1" x14ac:dyDescent="0.25">
      <c r="B14" s="19">
        <v>10</v>
      </c>
      <c r="C14" s="7">
        <v>189.87299999999999</v>
      </c>
      <c r="D14" s="24">
        <v>1949.9005024037169</v>
      </c>
      <c r="E14" s="11">
        <v>448.82585958594109</v>
      </c>
      <c r="F14" s="12">
        <f t="shared" si="0"/>
        <v>0.88254980369860991</v>
      </c>
      <c r="G14" s="26">
        <v>1974.5434373260821</v>
      </c>
      <c r="H14" s="11">
        <v>454.41135777547328</v>
      </c>
      <c r="I14" s="12">
        <f t="shared" si="1"/>
        <v>0.8935328614379261</v>
      </c>
      <c r="J14" s="16">
        <v>2238.201077199757</v>
      </c>
      <c r="K14" s="11">
        <v>488.61358743500239</v>
      </c>
      <c r="L14" s="12">
        <f t="shared" si="2"/>
        <v>0.96078649762528667</v>
      </c>
    </row>
    <row r="15" spans="2:12" ht="18" customHeight="1" x14ac:dyDescent="0.25">
      <c r="B15" s="19">
        <v>11</v>
      </c>
      <c r="C15" s="7">
        <v>121.60599999999999</v>
      </c>
      <c r="D15" s="24">
        <v>1601.0551359752089</v>
      </c>
      <c r="E15" s="11">
        <v>364.2089548791277</v>
      </c>
      <c r="F15" s="12">
        <f t="shared" si="0"/>
        <v>1.1182017818019712</v>
      </c>
      <c r="G15" s="26">
        <v>1609.7845049728101</v>
      </c>
      <c r="H15" s="11">
        <v>366.18752905811488</v>
      </c>
      <c r="I15" s="12">
        <f t="shared" si="1"/>
        <v>1.1242764407106332</v>
      </c>
      <c r="J15" s="16">
        <v>1350.810268087529</v>
      </c>
      <c r="K15" s="11">
        <v>283.44532871264278</v>
      </c>
      <c r="L15" s="12">
        <f t="shared" si="2"/>
        <v>0.87023964502770246</v>
      </c>
    </row>
    <row r="16" spans="2:12" ht="18" customHeight="1" x14ac:dyDescent="0.25">
      <c r="B16" s="19">
        <v>12</v>
      </c>
      <c r="C16" s="7">
        <v>123.75879999999999</v>
      </c>
      <c r="D16" s="24">
        <v>1005.163691228035</v>
      </c>
      <c r="E16" s="11">
        <v>237.15974286545409</v>
      </c>
      <c r="F16" s="12">
        <f t="shared" si="0"/>
        <v>0.71546673235282909</v>
      </c>
      <c r="G16" s="26">
        <v>1041.537928938734</v>
      </c>
      <c r="H16" s="11">
        <v>245.40422508799659</v>
      </c>
      <c r="I16" s="12">
        <f t="shared" si="1"/>
        <v>0.74033879826264026</v>
      </c>
      <c r="J16" s="16">
        <v>1295.079072188842</v>
      </c>
      <c r="K16" s="11">
        <v>294.33443420944087</v>
      </c>
      <c r="L16" s="12">
        <f t="shared" si="2"/>
        <v>0.88795211749836378</v>
      </c>
    </row>
    <row r="17" spans="2:12" ht="18" customHeight="1" x14ac:dyDescent="0.25">
      <c r="B17" s="19">
        <v>13</v>
      </c>
      <c r="C17" s="7">
        <v>9.1692999999999998</v>
      </c>
      <c r="D17" s="24">
        <v>127.2056318552735</v>
      </c>
      <c r="E17" s="11">
        <v>29.754771989121501</v>
      </c>
      <c r="F17" s="12">
        <f t="shared" si="0"/>
        <v>1.2115602276575679</v>
      </c>
      <c r="G17" s="26">
        <v>127.6684186876679</v>
      </c>
      <c r="H17" s="11">
        <v>29.859665948490449</v>
      </c>
      <c r="I17" s="12">
        <f t="shared" si="1"/>
        <v>1.2158313190085421</v>
      </c>
      <c r="J17" s="16">
        <v>111.4872164173663</v>
      </c>
      <c r="K17" s="11">
        <v>23.942188993663461</v>
      </c>
      <c r="L17" s="12">
        <f t="shared" si="2"/>
        <v>0.97488241410112886</v>
      </c>
    </row>
    <row r="18" spans="2:12" ht="18" customHeight="1" x14ac:dyDescent="0.25">
      <c r="B18" s="20">
        <v>16</v>
      </c>
      <c r="C18" s="8">
        <v>45.527900000000002</v>
      </c>
      <c r="D18" s="25">
        <v>421.73667928470832</v>
      </c>
      <c r="E18" s="4">
        <v>97.316457737346141</v>
      </c>
      <c r="F18" s="12">
        <f t="shared" si="0"/>
        <v>0.79805576182215054</v>
      </c>
      <c r="G18" s="27">
        <v>459.76580565310252</v>
      </c>
      <c r="H18" s="4">
        <v>105.93603235982199</v>
      </c>
      <c r="I18" s="12">
        <f t="shared" si="1"/>
        <v>0.86874165968424466</v>
      </c>
      <c r="J18" s="17">
        <v>329.82544640091078</v>
      </c>
      <c r="K18" s="4">
        <v>74.605931358822588</v>
      </c>
      <c r="L18" s="12">
        <f t="shared" si="2"/>
        <v>0.61181525480214127</v>
      </c>
    </row>
    <row r="19" spans="2:12" ht="18" customHeight="1" x14ac:dyDescent="0.25">
      <c r="B19" s="21" t="s">
        <v>5</v>
      </c>
      <c r="C19" s="23">
        <f>SUM(C5:C18)</f>
        <v>1984.7053800000001</v>
      </c>
      <c r="D19" s="5">
        <f t="shared" ref="D19:E19" si="3">SUM(D5:D18)</f>
        <v>18718.914845022591</v>
      </c>
      <c r="E19" s="5">
        <f t="shared" si="3"/>
        <v>4352.7499665183886</v>
      </c>
      <c r="F19" s="13">
        <f>SUMPRODUCT(F5:F18,C5:C18)/C19</f>
        <v>0.81882715636578085</v>
      </c>
      <c r="G19" s="18">
        <f t="shared" ref="G19" si="4">SUM(G5:G18)</f>
        <v>19530.490269674174</v>
      </c>
      <c r="H19" s="5">
        <f t="shared" ref="H19" si="5">SUM(H5:H18)</f>
        <v>4536.6993653761474</v>
      </c>
      <c r="I19" s="13">
        <f>SUMPRODUCT(I5:I18,C5:C18)/C19</f>
        <v>0.85343120308118925</v>
      </c>
      <c r="J19" s="18">
        <f t="shared" ref="J19" si="6">SUM(J5:J18)</f>
        <v>22022.577039260137</v>
      </c>
      <c r="K19" s="5">
        <f t="shared" ref="K19" si="7">SUM(K5:K18)</f>
        <v>4877.8356316432019</v>
      </c>
      <c r="L19" s="13">
        <f>SUMPRODUCT(L5:L18,C5:C18)/C19</f>
        <v>0.91760480390580068</v>
      </c>
    </row>
  </sheetData>
  <mergeCells count="4">
    <mergeCell ref="B3:B4"/>
    <mergeCell ref="D2:F2"/>
    <mergeCell ref="G2:I2"/>
    <mergeCell ref="J2:L2"/>
  </mergeCells>
  <pageMargins left="0.7" right="0.7" top="0.75" bottom="0.75" header="0.3" footer="0.3"/>
  <ignoredErrors>
    <ignoredError sqref="F19 I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BF0E-80F9-45EE-8598-28C146232AA7}">
  <dimension ref="B1:T42"/>
  <sheetViews>
    <sheetView rightToLeft="1" tabSelected="1" zoomScale="110" zoomScaleNormal="110" workbookViewId="0">
      <selection activeCell="I11" sqref="I11"/>
    </sheetView>
  </sheetViews>
  <sheetFormatPr defaultRowHeight="17.25" x14ac:dyDescent="0.25"/>
  <cols>
    <col min="1" max="1" width="9.140625" style="3"/>
    <col min="2" max="2" width="8.7109375" style="3" bestFit="1" customWidth="1"/>
    <col min="3" max="5" width="11.42578125" style="3" customWidth="1"/>
    <col min="6" max="6" width="14.28515625" style="3" customWidth="1"/>
    <col min="7" max="7" width="11.42578125" style="3" customWidth="1"/>
    <col min="8" max="10" width="14.28515625" style="3" customWidth="1"/>
    <col min="11" max="11" width="11.42578125" style="3" customWidth="1"/>
    <col min="12" max="14" width="14.28515625" style="3" customWidth="1"/>
    <col min="15" max="16384" width="9.140625" style="3"/>
  </cols>
  <sheetData>
    <row r="1" spans="2:14" x14ac:dyDescent="0.25">
      <c r="C1" s="31" t="s">
        <v>9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2:14" x14ac:dyDescent="0.25">
      <c r="C2" s="32" t="s">
        <v>12</v>
      </c>
      <c r="D2" s="32"/>
      <c r="E2" s="32"/>
      <c r="F2" s="32"/>
      <c r="G2" s="33"/>
      <c r="H2" s="32" t="s">
        <v>13</v>
      </c>
      <c r="I2" s="32"/>
      <c r="J2" s="32"/>
      <c r="K2" s="33"/>
      <c r="L2" s="32" t="s">
        <v>14</v>
      </c>
      <c r="M2" s="32"/>
      <c r="N2" s="32"/>
    </row>
    <row r="3" spans="2:14" ht="34.5" customHeight="1" x14ac:dyDescent="0.25">
      <c r="B3" s="37" t="s">
        <v>0</v>
      </c>
      <c r="C3" s="2" t="s">
        <v>1</v>
      </c>
      <c r="D3" s="2" t="s">
        <v>4</v>
      </c>
      <c r="E3" s="2" t="s">
        <v>6</v>
      </c>
      <c r="F3" s="9" t="s">
        <v>7</v>
      </c>
      <c r="G3" s="14" t="s">
        <v>1</v>
      </c>
      <c r="H3" s="2" t="s">
        <v>4</v>
      </c>
      <c r="I3" s="2" t="s">
        <v>6</v>
      </c>
      <c r="J3" s="9" t="s">
        <v>7</v>
      </c>
      <c r="K3" s="14" t="s">
        <v>1</v>
      </c>
      <c r="L3" s="2" t="s">
        <v>4</v>
      </c>
      <c r="M3" s="2" t="s">
        <v>6</v>
      </c>
      <c r="N3" s="9" t="s">
        <v>7</v>
      </c>
    </row>
    <row r="4" spans="2:14" x14ac:dyDescent="0.25">
      <c r="B4" s="38"/>
      <c r="C4" s="34" t="s">
        <v>2</v>
      </c>
      <c r="D4" s="1" t="s">
        <v>3</v>
      </c>
      <c r="E4" s="1" t="s">
        <v>3</v>
      </c>
      <c r="F4" s="10" t="s">
        <v>8</v>
      </c>
      <c r="G4" s="41" t="s">
        <v>2</v>
      </c>
      <c r="H4" s="1" t="s">
        <v>3</v>
      </c>
      <c r="I4" s="1" t="s">
        <v>3</v>
      </c>
      <c r="J4" s="10" t="s">
        <v>8</v>
      </c>
      <c r="K4" s="41" t="s">
        <v>2</v>
      </c>
      <c r="L4" s="1" t="s">
        <v>3</v>
      </c>
      <c r="M4" s="1" t="s">
        <v>3</v>
      </c>
      <c r="N4" s="10" t="s">
        <v>8</v>
      </c>
    </row>
    <row r="5" spans="2:14" ht="18" customHeight="1" x14ac:dyDescent="0.25">
      <c r="B5" s="46">
        <v>1</v>
      </c>
      <c r="C5" s="35">
        <v>54.593800000000002</v>
      </c>
      <c r="D5" s="47">
        <v>727.03452127757976</v>
      </c>
      <c r="E5" s="48">
        <v>169.3973212709333</v>
      </c>
      <c r="F5" s="49">
        <f>E5*1000*1000/31/24/3600/C5</f>
        <v>1.1584779651449879</v>
      </c>
      <c r="G5" s="42">
        <v>10.386438</v>
      </c>
      <c r="H5" s="47">
        <f>I5/(E5/D5)</f>
        <v>146.8573458641435</v>
      </c>
      <c r="I5" s="48">
        <f>J5*G5*31*24*3600/1000/1000</f>
        <v>34.217413713215997</v>
      </c>
      <c r="J5" s="49">
        <v>1.23</v>
      </c>
      <c r="K5" s="42">
        <v>1.15334</v>
      </c>
      <c r="L5" s="48">
        <f>M5/(E5/D5)</f>
        <v>16.307462797058172</v>
      </c>
      <c r="M5" s="48">
        <f>N5*K5*31*24*3600/1000/1000</f>
        <v>3.7996002028800002</v>
      </c>
      <c r="N5" s="49">
        <v>1.23</v>
      </c>
    </row>
    <row r="6" spans="2:14" ht="18" customHeight="1" x14ac:dyDescent="0.25">
      <c r="B6" s="39">
        <v>2</v>
      </c>
      <c r="C6" s="36">
        <v>142.60640000000001</v>
      </c>
      <c r="D6" s="24">
        <v>1634.202846066748</v>
      </c>
      <c r="E6" s="11">
        <v>376.76495765771188</v>
      </c>
      <c r="F6" s="12">
        <f t="shared" ref="F6:F22" si="0">E6*1000*1000/31/24/3600/C6</f>
        <v>0.98640678309278684</v>
      </c>
      <c r="G6" s="43">
        <v>112.97669599999999</v>
      </c>
      <c r="H6" s="24">
        <f t="shared" ref="H6:H18" si="1">I6/(E6/D6)</f>
        <v>1575.0016445953192</v>
      </c>
      <c r="I6" s="11">
        <f t="shared" ref="I6:I18" si="2">J6*G6*31*24*3600/1000/1000</f>
        <v>363.11613907967995</v>
      </c>
      <c r="J6" s="12">
        <v>1.2</v>
      </c>
      <c r="K6" s="43">
        <v>23.272729999999999</v>
      </c>
      <c r="L6" s="11">
        <f t="shared" ref="L6:L18" si="3">M6/(E6/D6)</f>
        <v>324.44379524271829</v>
      </c>
      <c r="M6" s="11">
        <f t="shared" ref="M6:M18" si="4">N6*K6*31*24*3600/1000/1000</f>
        <v>74.800416038400002</v>
      </c>
      <c r="N6" s="12">
        <v>1.2</v>
      </c>
    </row>
    <row r="7" spans="2:14" ht="18" customHeight="1" x14ac:dyDescent="0.25">
      <c r="B7" s="39">
        <v>3</v>
      </c>
      <c r="C7" s="36">
        <v>110.65809999999999</v>
      </c>
      <c r="D7" s="24">
        <v>1319.1424882003701</v>
      </c>
      <c r="E7" s="11">
        <v>303.15359904680969</v>
      </c>
      <c r="F7" s="12">
        <f t="shared" si="0"/>
        <v>1.0228314733195274</v>
      </c>
      <c r="G7" s="43">
        <v>147.784863</v>
      </c>
      <c r="H7" s="24">
        <f t="shared" si="1"/>
        <v>1739.6254140047984</v>
      </c>
      <c r="I7" s="11">
        <f t="shared" si="2"/>
        <v>399.78524682979202</v>
      </c>
      <c r="J7" s="12">
        <v>1.01</v>
      </c>
      <c r="K7" s="43">
        <v>0</v>
      </c>
      <c r="L7" s="11">
        <f t="shared" si="3"/>
        <v>0</v>
      </c>
      <c r="M7" s="11">
        <f t="shared" si="4"/>
        <v>0</v>
      </c>
      <c r="N7" s="12">
        <v>1.01</v>
      </c>
    </row>
    <row r="8" spans="2:14" ht="18" customHeight="1" x14ac:dyDescent="0.25">
      <c r="B8" s="39">
        <v>4</v>
      </c>
      <c r="C8" s="36">
        <v>67.195999999999998</v>
      </c>
      <c r="D8" s="24">
        <v>772.32117499832952</v>
      </c>
      <c r="E8" s="11">
        <v>175.99920655006389</v>
      </c>
      <c r="F8" s="12">
        <f t="shared" si="0"/>
        <v>0.97789415920912248</v>
      </c>
      <c r="G8" s="43">
        <v>67.013599999999997</v>
      </c>
      <c r="H8" s="24">
        <f t="shared" si="1"/>
        <v>795.51246937288624</v>
      </c>
      <c r="I8" s="11">
        <f t="shared" si="2"/>
        <v>181.28411850239999</v>
      </c>
      <c r="J8" s="12">
        <v>1.01</v>
      </c>
      <c r="K8" s="43">
        <v>12.292321000000001</v>
      </c>
      <c r="L8" s="11">
        <f t="shared" si="3"/>
        <v>145.92104637020225</v>
      </c>
      <c r="M8" s="11">
        <f t="shared" si="4"/>
        <v>33.252990092063996</v>
      </c>
      <c r="N8" s="12">
        <v>1.01</v>
      </c>
    </row>
    <row r="9" spans="2:14" ht="18" customHeight="1" x14ac:dyDescent="0.25">
      <c r="B9" s="39">
        <v>5</v>
      </c>
      <c r="C9" s="36">
        <v>73.179299999999998</v>
      </c>
      <c r="D9" s="24">
        <v>768.24287186193374</v>
      </c>
      <c r="E9" s="11">
        <v>176.82755430920619</v>
      </c>
      <c r="F9" s="12">
        <f t="shared" si="0"/>
        <v>0.90216557886659055</v>
      </c>
      <c r="G9" s="43">
        <v>46.409067999999998</v>
      </c>
      <c r="H9" s="24">
        <f t="shared" si="1"/>
        <v>594.04530448002129</v>
      </c>
      <c r="I9" s="11">
        <f t="shared" si="2"/>
        <v>136.73225250432003</v>
      </c>
      <c r="J9" s="12">
        <v>1.1000000000000001</v>
      </c>
      <c r="K9" s="43">
        <v>65.252418999999989</v>
      </c>
      <c r="L9" s="11">
        <f t="shared" si="3"/>
        <v>835.24394656908248</v>
      </c>
      <c r="M9" s="11">
        <f t="shared" si="4"/>
        <v>192.24928695455998</v>
      </c>
      <c r="N9" s="12">
        <v>1.1000000000000001</v>
      </c>
    </row>
    <row r="10" spans="2:14" ht="18" customHeight="1" x14ac:dyDescent="0.25">
      <c r="B10" s="39">
        <v>6</v>
      </c>
      <c r="C10" s="36">
        <v>89.3827</v>
      </c>
      <c r="D10" s="24">
        <v>1124.8322480046279</v>
      </c>
      <c r="E10" s="11">
        <v>257.27223765904421</v>
      </c>
      <c r="F10" s="12">
        <f t="shared" si="0"/>
        <v>1.07464251520873</v>
      </c>
      <c r="G10" s="43">
        <v>150.22808899999998</v>
      </c>
      <c r="H10" s="24">
        <f t="shared" si="1"/>
        <v>1970.3321173468548</v>
      </c>
      <c r="I10" s="11">
        <f t="shared" si="2"/>
        <v>450.65542320691202</v>
      </c>
      <c r="J10" s="12">
        <v>1.1200000000000001</v>
      </c>
      <c r="K10" s="43">
        <v>5.1571319999999998</v>
      </c>
      <c r="L10" s="11">
        <f t="shared" si="3"/>
        <v>67.638900824979672</v>
      </c>
      <c r="M10" s="11">
        <f t="shared" si="4"/>
        <v>15.470405830656</v>
      </c>
      <c r="N10" s="12">
        <v>1.1200000000000001</v>
      </c>
    </row>
    <row r="11" spans="2:14" ht="18" customHeight="1" x14ac:dyDescent="0.25">
      <c r="B11" s="39">
        <v>7</v>
      </c>
      <c r="C11" s="36">
        <v>527.73968000000002</v>
      </c>
      <c r="D11" s="24">
        <v>3598.9087338812101</v>
      </c>
      <c r="E11" s="11">
        <v>859.21665394478373</v>
      </c>
      <c r="F11" s="12">
        <f t="shared" si="0"/>
        <v>0.60786550735887968</v>
      </c>
      <c r="G11" s="43">
        <v>285.43950599999999</v>
      </c>
      <c r="H11" s="24">
        <f t="shared" si="1"/>
        <v>2081.4741472610986</v>
      </c>
      <c r="I11" s="11">
        <f t="shared" si="2"/>
        <v>496.93876236576006</v>
      </c>
      <c r="J11" s="12">
        <v>0.65</v>
      </c>
      <c r="K11" s="43">
        <v>0</v>
      </c>
      <c r="L11" s="11">
        <f t="shared" si="3"/>
        <v>0</v>
      </c>
      <c r="M11" s="11">
        <f t="shared" si="4"/>
        <v>0</v>
      </c>
      <c r="N11" s="12">
        <v>0.65</v>
      </c>
    </row>
    <row r="12" spans="2:14" ht="18" customHeight="1" x14ac:dyDescent="0.25">
      <c r="B12" s="39">
        <v>8</v>
      </c>
      <c r="C12" s="36">
        <v>105.15429999999999</v>
      </c>
      <c r="D12" s="24">
        <v>934.02395261922436</v>
      </c>
      <c r="E12" s="11">
        <v>218.35233856934599</v>
      </c>
      <c r="F12" s="12">
        <f t="shared" si="0"/>
        <v>0.77527427692782913</v>
      </c>
      <c r="G12" s="43">
        <v>162.43614700000001</v>
      </c>
      <c r="H12" s="24">
        <f t="shared" si="1"/>
        <v>1544.6723554500124</v>
      </c>
      <c r="I12" s="11">
        <f t="shared" si="2"/>
        <v>361.10725018358403</v>
      </c>
      <c r="J12" s="12">
        <v>0.83</v>
      </c>
      <c r="K12" s="43">
        <v>0</v>
      </c>
      <c r="L12" s="11">
        <f t="shared" si="3"/>
        <v>0</v>
      </c>
      <c r="M12" s="11">
        <f t="shared" si="4"/>
        <v>0</v>
      </c>
      <c r="N12" s="12">
        <v>0.83</v>
      </c>
    </row>
    <row r="13" spans="2:14" ht="18" customHeight="1" x14ac:dyDescent="0.25">
      <c r="B13" s="39">
        <v>9</v>
      </c>
      <c r="C13" s="36">
        <v>324.26010000000002</v>
      </c>
      <c r="D13" s="24">
        <v>2735.1443673656222</v>
      </c>
      <c r="E13" s="11">
        <v>638.50031045349863</v>
      </c>
      <c r="F13" s="12">
        <f t="shared" si="0"/>
        <v>0.73517742735897529</v>
      </c>
      <c r="G13" s="43">
        <v>357.86856899999998</v>
      </c>
      <c r="H13" s="24">
        <f t="shared" si="1"/>
        <v>3366.913717129592</v>
      </c>
      <c r="I13" s="11">
        <f t="shared" si="2"/>
        <v>785.98244367187181</v>
      </c>
      <c r="J13" s="12">
        <v>0.82</v>
      </c>
      <c r="K13" s="43">
        <v>0</v>
      </c>
      <c r="L13" s="11">
        <f t="shared" si="3"/>
        <v>0</v>
      </c>
      <c r="M13" s="11">
        <f t="shared" si="4"/>
        <v>0</v>
      </c>
      <c r="N13" s="12">
        <v>0.82</v>
      </c>
    </row>
    <row r="14" spans="2:14" ht="18" customHeight="1" x14ac:dyDescent="0.25">
      <c r="B14" s="39">
        <v>10</v>
      </c>
      <c r="C14" s="36">
        <v>189.87299999999999</v>
      </c>
      <c r="D14" s="24">
        <v>1949.9005024037169</v>
      </c>
      <c r="E14" s="11">
        <v>448.82585958594109</v>
      </c>
      <c r="F14" s="12">
        <f t="shared" si="0"/>
        <v>0.88254980369860991</v>
      </c>
      <c r="G14" s="43">
        <v>39.023783999999999</v>
      </c>
      <c r="H14" s="24">
        <f t="shared" si="1"/>
        <v>513.11869585389206</v>
      </c>
      <c r="I14" s="11">
        <f t="shared" si="2"/>
        <v>118.10907246412798</v>
      </c>
      <c r="J14" s="12">
        <v>1.1299999999999999</v>
      </c>
      <c r="K14" s="43">
        <v>0</v>
      </c>
      <c r="L14" s="11">
        <f t="shared" si="3"/>
        <v>0</v>
      </c>
      <c r="M14" s="11">
        <f t="shared" si="4"/>
        <v>0</v>
      </c>
      <c r="N14" s="12">
        <v>1.1299999999999999</v>
      </c>
    </row>
    <row r="15" spans="2:14" ht="18" customHeight="1" x14ac:dyDescent="0.25">
      <c r="B15" s="39">
        <v>11</v>
      </c>
      <c r="C15" s="36">
        <v>121.60599999999999</v>
      </c>
      <c r="D15" s="24">
        <v>1601.0551359752089</v>
      </c>
      <c r="E15" s="11">
        <v>364.2089548791277</v>
      </c>
      <c r="F15" s="12">
        <f t="shared" si="0"/>
        <v>1.1182017818019712</v>
      </c>
      <c r="G15" s="43">
        <v>152.21250000000001</v>
      </c>
      <c r="H15" s="24">
        <f t="shared" si="1"/>
        <v>1971.397079936075</v>
      </c>
      <c r="I15" s="11">
        <f t="shared" si="2"/>
        <v>448.45455600000003</v>
      </c>
      <c r="J15" s="12">
        <v>1.1000000000000001</v>
      </c>
      <c r="K15" s="43">
        <v>0</v>
      </c>
      <c r="L15" s="11">
        <f t="shared" si="3"/>
        <v>0</v>
      </c>
      <c r="M15" s="11">
        <f t="shared" si="4"/>
        <v>0</v>
      </c>
      <c r="N15" s="12">
        <v>1.1000000000000001</v>
      </c>
    </row>
    <row r="16" spans="2:14" ht="18" customHeight="1" x14ac:dyDescent="0.25">
      <c r="B16" s="39">
        <v>12</v>
      </c>
      <c r="C16" s="36">
        <v>123.75879999999999</v>
      </c>
      <c r="D16" s="24">
        <v>1005.163691228035</v>
      </c>
      <c r="E16" s="11">
        <v>237.15974286545409</v>
      </c>
      <c r="F16" s="12">
        <f t="shared" si="0"/>
        <v>0.71546673235282909</v>
      </c>
      <c r="G16" s="43">
        <v>344.33337699999998</v>
      </c>
      <c r="H16" s="24">
        <f t="shared" si="1"/>
        <v>4260.6599890906009</v>
      </c>
      <c r="I16" s="11">
        <f t="shared" si="2"/>
        <v>1005.266143482912</v>
      </c>
      <c r="J16" s="12">
        <v>1.0900000000000001</v>
      </c>
      <c r="K16" s="43">
        <v>56.337606999999991</v>
      </c>
      <c r="L16" s="11">
        <f t="shared" si="3"/>
        <v>697.10171612556303</v>
      </c>
      <c r="M16" s="11">
        <f t="shared" si="4"/>
        <v>164.47516478179196</v>
      </c>
      <c r="N16" s="12">
        <v>1.0900000000000001</v>
      </c>
    </row>
    <row r="17" spans="2:20" ht="18" customHeight="1" x14ac:dyDescent="0.25">
      <c r="B17" s="39">
        <v>13</v>
      </c>
      <c r="C17" s="36">
        <v>9.1692999999999998</v>
      </c>
      <c r="D17" s="24">
        <v>127.2056318552735</v>
      </c>
      <c r="E17" s="11">
        <v>29.754771989121501</v>
      </c>
      <c r="F17" s="12">
        <f t="shared" si="0"/>
        <v>1.2115602276575679</v>
      </c>
      <c r="G17" s="43">
        <v>0</v>
      </c>
      <c r="H17" s="24">
        <f t="shared" si="1"/>
        <v>0</v>
      </c>
      <c r="I17" s="11">
        <f t="shared" si="2"/>
        <v>0</v>
      </c>
      <c r="J17" s="12">
        <v>1.1599999999999999</v>
      </c>
      <c r="K17" s="43">
        <v>1.2316750000000001</v>
      </c>
      <c r="L17" s="11">
        <f t="shared" si="3"/>
        <v>16.359848020547226</v>
      </c>
      <c r="M17" s="11">
        <f t="shared" si="4"/>
        <v>3.8267452512000011</v>
      </c>
      <c r="N17" s="12">
        <v>1.1599999999999999</v>
      </c>
    </row>
    <row r="18" spans="2:20" ht="18" customHeight="1" x14ac:dyDescent="0.25">
      <c r="B18" s="39">
        <v>16</v>
      </c>
      <c r="C18" s="36">
        <v>45.527900000000002</v>
      </c>
      <c r="D18" s="24">
        <v>421.73667928470832</v>
      </c>
      <c r="E18" s="11">
        <v>97.316457737346141</v>
      </c>
      <c r="F18" s="50">
        <f t="shared" si="0"/>
        <v>0.79805576182215054</v>
      </c>
      <c r="G18" s="43">
        <v>0</v>
      </c>
      <c r="H18" s="24">
        <f t="shared" si="1"/>
        <v>0</v>
      </c>
      <c r="I18" s="11">
        <f t="shared" si="2"/>
        <v>0</v>
      </c>
      <c r="J18" s="12">
        <v>0.8</v>
      </c>
      <c r="K18" s="43">
        <v>0</v>
      </c>
      <c r="L18" s="11">
        <f t="shared" si="3"/>
        <v>0</v>
      </c>
      <c r="M18" s="11">
        <f t="shared" si="4"/>
        <v>0</v>
      </c>
      <c r="N18" s="12">
        <v>0.8</v>
      </c>
    </row>
    <row r="19" spans="2:20" ht="18" customHeight="1" x14ac:dyDescent="0.25">
      <c r="B19" s="46">
        <v>7.1</v>
      </c>
      <c r="C19" s="42">
        <v>37.451700000000002</v>
      </c>
      <c r="D19" s="47">
        <v>297.98852439490838</v>
      </c>
      <c r="E19" s="48">
        <v>69.815794890889237</v>
      </c>
      <c r="F19" s="12">
        <f t="shared" si="0"/>
        <v>0.69599595384878465</v>
      </c>
      <c r="G19" s="42"/>
      <c r="H19" s="47"/>
      <c r="I19" s="48"/>
      <c r="J19" s="49"/>
      <c r="K19" s="42"/>
      <c r="L19" s="48"/>
      <c r="M19" s="48"/>
      <c r="N19" s="49"/>
    </row>
    <row r="20" spans="2:20" ht="18" customHeight="1" x14ac:dyDescent="0.25">
      <c r="B20" s="39">
        <v>10.199999999999999</v>
      </c>
      <c r="C20" s="43">
        <v>1.3428</v>
      </c>
      <c r="D20" s="24">
        <v>18.725313915703381</v>
      </c>
      <c r="E20" s="11">
        <v>4.1792022436193328</v>
      </c>
      <c r="F20" s="12">
        <f t="shared" si="0"/>
        <v>1.1620013149746491</v>
      </c>
      <c r="G20" s="43"/>
      <c r="H20" s="24"/>
      <c r="I20" s="11"/>
      <c r="J20" s="12"/>
      <c r="K20" s="43"/>
      <c r="L20" s="11"/>
      <c r="M20" s="11"/>
      <c r="N20" s="12"/>
    </row>
    <row r="21" spans="2:20" ht="18" customHeight="1" x14ac:dyDescent="0.25">
      <c r="B21" s="39">
        <v>11.2</v>
      </c>
      <c r="C21" s="43">
        <v>1.3333999999999999</v>
      </c>
      <c r="D21" s="24">
        <v>20.565599356689169</v>
      </c>
      <c r="E21" s="11">
        <v>4.6758370819804282</v>
      </c>
      <c r="F21" s="12">
        <f t="shared" si="0"/>
        <v>1.3092527166821624</v>
      </c>
      <c r="G21" s="43"/>
      <c r="H21" s="24"/>
      <c r="I21" s="11"/>
      <c r="J21" s="12"/>
      <c r="K21" s="43"/>
      <c r="L21" s="11"/>
      <c r="M21" s="11"/>
      <c r="N21" s="12"/>
    </row>
    <row r="22" spans="2:20" ht="18" customHeight="1" x14ac:dyDescent="0.25">
      <c r="B22" s="40">
        <v>12.2</v>
      </c>
      <c r="C22" s="44">
        <v>5.4</v>
      </c>
      <c r="D22" s="25">
        <v>84.457241617407462</v>
      </c>
      <c r="E22" s="4">
        <v>18.64562352085715</v>
      </c>
      <c r="F22" s="50">
        <f t="shared" si="0"/>
        <v>1.2891626510615202</v>
      </c>
      <c r="G22" s="44"/>
      <c r="H22" s="25"/>
      <c r="I22" s="4"/>
      <c r="J22" s="50"/>
      <c r="K22" s="44"/>
      <c r="L22" s="4"/>
      <c r="M22" s="4"/>
      <c r="N22" s="50"/>
    </row>
    <row r="23" spans="2:20" ht="18" customHeight="1" x14ac:dyDescent="0.25">
      <c r="B23" s="51" t="s">
        <v>5</v>
      </c>
      <c r="C23" s="52">
        <f>SUM(C5:C18)</f>
        <v>1984.7053800000001</v>
      </c>
      <c r="D23" s="53">
        <f t="shared" ref="D23:E23" si="5">SUM(D5:D18)</f>
        <v>18718.914845022591</v>
      </c>
      <c r="E23" s="53">
        <f t="shared" si="5"/>
        <v>4352.7499665183886</v>
      </c>
      <c r="F23" s="54">
        <f>SUMPRODUCT(F5:F18,C5:C18)/C23</f>
        <v>0.81882715636578085</v>
      </c>
      <c r="G23" s="55">
        <f>SUM(G5:G18)</f>
        <v>1876.1126369999997</v>
      </c>
      <c r="H23" s="53">
        <f t="shared" ref="H23:I23" si="6">SUM(H5:H18)</f>
        <v>20559.610280385295</v>
      </c>
      <c r="I23" s="53">
        <f t="shared" si="6"/>
        <v>4781.6488220045758</v>
      </c>
      <c r="J23" s="54">
        <f>SUMPRODUCT(J5:J18,C5:C18)/C23</f>
        <v>0.9195307275279313</v>
      </c>
      <c r="K23" s="55">
        <f>SUM(K5:K18)</f>
        <v>164.69722399999998</v>
      </c>
      <c r="L23" s="53">
        <f t="shared" ref="L23:M23" si="7">SUM(L5:L18)</f>
        <v>2103.0167159501511</v>
      </c>
      <c r="M23" s="53">
        <f t="shared" si="7"/>
        <v>487.87460915155191</v>
      </c>
      <c r="N23" s="54">
        <f>SUMPRODUCT(N5:N18,C5:C18)/C23</f>
        <v>0.9195307275279313</v>
      </c>
    </row>
    <row r="28" spans="2:20" x14ac:dyDescent="0.25">
      <c r="Q28" s="45"/>
    </row>
    <row r="29" spans="2:20" x14ac:dyDescent="0.25">
      <c r="M29" s="45"/>
      <c r="Q29" s="45"/>
      <c r="T29" s="45"/>
    </row>
    <row r="30" spans="2:20" x14ac:dyDescent="0.25">
      <c r="M30" s="45"/>
      <c r="Q30" s="45"/>
      <c r="T30" s="45"/>
    </row>
    <row r="31" spans="2:20" x14ac:dyDescent="0.25">
      <c r="M31" s="45"/>
      <c r="Q31" s="45"/>
      <c r="T31" s="45"/>
    </row>
    <row r="32" spans="2:20" x14ac:dyDescent="0.25">
      <c r="M32" s="45"/>
      <c r="Q32" s="45"/>
      <c r="T32" s="45"/>
    </row>
    <row r="33" spans="13:20" x14ac:dyDescent="0.25">
      <c r="M33" s="45"/>
      <c r="Q33" s="45"/>
      <c r="T33" s="45"/>
    </row>
    <row r="34" spans="13:20" x14ac:dyDescent="0.25">
      <c r="M34" s="45"/>
      <c r="Q34" s="45"/>
      <c r="T34" s="45"/>
    </row>
    <row r="35" spans="13:20" x14ac:dyDescent="0.25">
      <c r="M35" s="45"/>
      <c r="Q35" s="45"/>
      <c r="T35" s="45"/>
    </row>
    <row r="36" spans="13:20" x14ac:dyDescent="0.25">
      <c r="Q36" s="45"/>
      <c r="T36" s="45"/>
    </row>
    <row r="37" spans="13:20" x14ac:dyDescent="0.25">
      <c r="Q37" s="45"/>
      <c r="T37" s="45"/>
    </row>
    <row r="38" spans="13:20" x14ac:dyDescent="0.25">
      <c r="Q38" s="45"/>
      <c r="T38" s="45"/>
    </row>
    <row r="39" spans="13:20" x14ac:dyDescent="0.25">
      <c r="Q39" s="45"/>
      <c r="T39" s="45"/>
    </row>
    <row r="40" spans="13:20" x14ac:dyDescent="0.25">
      <c r="T40" s="45"/>
    </row>
    <row r="41" spans="13:20" x14ac:dyDescent="0.25">
      <c r="T41" s="45"/>
    </row>
    <row r="42" spans="13:20" x14ac:dyDescent="0.25">
      <c r="T42" s="45"/>
    </row>
  </sheetData>
  <mergeCells count="5">
    <mergeCell ref="H2:J2"/>
    <mergeCell ref="L2:N2"/>
    <mergeCell ref="B3:B4"/>
    <mergeCell ref="C2:F2"/>
    <mergeCell ref="C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 Shirazi</cp:lastModifiedBy>
  <dcterms:created xsi:type="dcterms:W3CDTF">2020-12-29T16:16:45Z</dcterms:created>
  <dcterms:modified xsi:type="dcterms:W3CDTF">2020-12-30T06:56:36Z</dcterms:modified>
</cp:coreProperties>
</file>