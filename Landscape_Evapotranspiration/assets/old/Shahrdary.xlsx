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13_ncr:1_{97488191-6ACF-41A0-9058-084C55F84B0E}" xr6:coauthVersionLast="45" xr6:coauthVersionMax="45" xr10:uidLastSave="{00000000-0000-0000-0000-000000000000}"/>
  <bookViews>
    <workbookView xWindow="-120" yWindow="-120" windowWidth="29040" windowHeight="15840" activeTab="2" xr2:uid="{219C7FA2-49D3-427B-87CF-D5B9256F5224}"/>
  </bookViews>
  <sheets>
    <sheet name="Sheet1" sheetId="1" r:id="rId1"/>
    <sheet name="Sheet2" sheetId="3" r:id="rId2"/>
    <sheet name="Shahrdary" sheetId="4" r:id="rId3"/>
  </sheets>
  <externalReferences>
    <externalReference r:id="rId4"/>
    <externalReference r:id="rId5"/>
  </externalReferences>
  <definedNames>
    <definedName name="_Key1" localSheetId="2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4" l="1"/>
  <c r="U30" i="4"/>
  <c r="R24" i="4"/>
  <c r="R29" i="4"/>
  <c r="V29" i="4" s="1"/>
  <c r="R28" i="4"/>
  <c r="V28" i="4" s="1"/>
  <c r="V30" i="4" s="1"/>
  <c r="O30" i="4"/>
  <c r="N30" i="4"/>
  <c r="M30" i="4"/>
  <c r="K30" i="4"/>
  <c r="K28" i="4"/>
  <c r="K29" i="4"/>
  <c r="L30" i="4"/>
  <c r="L31" i="4" s="1"/>
  <c r="J31" i="4"/>
  <c r="J30" i="4" s="1"/>
  <c r="I31" i="4"/>
  <c r="H30" i="4"/>
  <c r="G30" i="4"/>
  <c r="F30" i="4"/>
  <c r="E30" i="4"/>
  <c r="R30" i="4" l="1"/>
  <c r="R31" i="4" s="1"/>
  <c r="I30" i="4"/>
  <c r="J28" i="4" l="1"/>
  <c r="J29" i="4" s="1"/>
  <c r="I28" i="4"/>
  <c r="I29" i="4" s="1"/>
  <c r="P29" i="4" l="1"/>
  <c r="P28" i="4"/>
  <c r="P30" i="4" s="1"/>
  <c r="Q30" i="4" s="1"/>
  <c r="U7" i="4" l="1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N22" i="3"/>
  <c r="M22" i="3"/>
  <c r="L22" i="3"/>
  <c r="K22" i="3"/>
  <c r="J22" i="3"/>
  <c r="I22" i="3"/>
  <c r="H22" i="3"/>
  <c r="G22" i="3"/>
  <c r="F22" i="3"/>
  <c r="E22" i="3"/>
  <c r="D22" i="3"/>
  <c r="C22" i="3"/>
  <c r="U6" i="4"/>
  <c r="R19" i="4" l="1"/>
  <c r="S19" i="4" s="1"/>
  <c r="T19" i="4" s="1"/>
  <c r="P20" i="4"/>
  <c r="P19" i="4"/>
  <c r="P22" i="4"/>
  <c r="P21" i="4"/>
  <c r="N6" i="4"/>
  <c r="M6" i="4"/>
  <c r="L6" i="4"/>
  <c r="G23" i="4"/>
  <c r="F23" i="4"/>
  <c r="E23" i="4"/>
  <c r="K22" i="4"/>
  <c r="K21" i="4"/>
  <c r="Q20" i="4"/>
  <c r="R20" i="4" s="1"/>
  <c r="S20" i="4" s="1"/>
  <c r="T20" i="4" s="1"/>
  <c r="K20" i="4"/>
  <c r="K19" i="4"/>
  <c r="Q7" i="4"/>
  <c r="Q8" i="4" s="1"/>
  <c r="J7" i="4"/>
  <c r="I7" i="4"/>
  <c r="O6" i="4"/>
  <c r="V19" i="4" l="1"/>
  <c r="Q9" i="4"/>
  <c r="Q10" i="4" s="1"/>
  <c r="Q11" i="4" s="1"/>
  <c r="Q12" i="4" s="1"/>
  <c r="Q13" i="4" s="1"/>
  <c r="Q14" i="4" s="1"/>
  <c r="Q15" i="4" s="1"/>
  <c r="Q16" i="4" s="1"/>
  <c r="Q17" i="4" s="1"/>
  <c r="Q18" i="4" s="1"/>
  <c r="Q28" i="4"/>
  <c r="W19" i="4"/>
  <c r="R7" i="4"/>
  <c r="S7" i="4" s="1"/>
  <c r="T7" i="4" s="1"/>
  <c r="V20" i="4"/>
  <c r="P7" i="4"/>
  <c r="W20" i="4"/>
  <c r="K6" i="4"/>
  <c r="O23" i="4"/>
  <c r="N23" i="4"/>
  <c r="H23" i="4"/>
  <c r="P6" i="4"/>
  <c r="I8" i="4"/>
  <c r="R6" i="4"/>
  <c r="K7" i="4"/>
  <c r="Q21" i="4"/>
  <c r="R21" i="4" s="1"/>
  <c r="S21" i="4" s="1"/>
  <c r="T21" i="4" s="1"/>
  <c r="W21" i="4" s="1"/>
  <c r="L23" i="4"/>
  <c r="M23" i="4"/>
  <c r="J8" i="4"/>
  <c r="Q29" i="4" l="1"/>
  <c r="V7" i="4"/>
  <c r="V21" i="4"/>
  <c r="W7" i="4"/>
  <c r="R8" i="4"/>
  <c r="P8" i="4"/>
  <c r="J9" i="4"/>
  <c r="Q22" i="4"/>
  <c r="R22" i="4" s="1"/>
  <c r="V6" i="4"/>
  <c r="S6" i="4"/>
  <c r="T6" i="4" s="1"/>
  <c r="K8" i="4"/>
  <c r="I9" i="4"/>
  <c r="S28" i="4" l="1"/>
  <c r="S29" i="4"/>
  <c r="T29" i="4" s="1"/>
  <c r="S22" i="4"/>
  <c r="T22" i="4" s="1"/>
  <c r="W22" i="4" s="1"/>
  <c r="V22" i="4"/>
  <c r="R9" i="4"/>
  <c r="P9" i="4"/>
  <c r="V8" i="4"/>
  <c r="S8" i="4"/>
  <c r="T8" i="4" s="1"/>
  <c r="W8" i="4" s="1"/>
  <c r="Q24" i="4"/>
  <c r="I10" i="4"/>
  <c r="K9" i="4"/>
  <c r="J10" i="4"/>
  <c r="W29" i="4" l="1"/>
  <c r="T28" i="4"/>
  <c r="W28" i="4" s="1"/>
  <c r="S30" i="4"/>
  <c r="R10" i="4"/>
  <c r="P10" i="4"/>
  <c r="V9" i="4"/>
  <c r="S9" i="4"/>
  <c r="T9" i="4" s="1"/>
  <c r="W9" i="4" s="1"/>
  <c r="K10" i="4"/>
  <c r="I11" i="4"/>
  <c r="J11" i="4"/>
  <c r="W6" i="4"/>
  <c r="W30" i="4" l="1"/>
  <c r="W31" i="4" s="1"/>
  <c r="T30" i="4"/>
  <c r="T31" i="4" s="1"/>
  <c r="P11" i="4"/>
  <c r="R11" i="4"/>
  <c r="S10" i="4"/>
  <c r="T10" i="4" s="1"/>
  <c r="W10" i="4" s="1"/>
  <c r="V10" i="4"/>
  <c r="J12" i="4"/>
  <c r="K11" i="4"/>
  <c r="I12" i="4"/>
  <c r="V11" i="4" l="1"/>
  <c r="S11" i="4"/>
  <c r="T11" i="4" s="1"/>
  <c r="W11" i="4" s="1"/>
  <c r="R12" i="4"/>
  <c r="P12" i="4"/>
  <c r="I13" i="4"/>
  <c r="K12" i="4"/>
  <c r="J13" i="4"/>
  <c r="V12" i="4" l="1"/>
  <c r="S12" i="4"/>
  <c r="T12" i="4" s="1"/>
  <c r="W12" i="4" s="1"/>
  <c r="R13" i="4"/>
  <c r="P13" i="4"/>
  <c r="J14" i="4"/>
  <c r="K13" i="4"/>
  <c r="I14" i="4"/>
  <c r="V13" i="4" l="1"/>
  <c r="S13" i="4"/>
  <c r="R14" i="4"/>
  <c r="P14" i="4"/>
  <c r="I15" i="4"/>
  <c r="K14" i="4"/>
  <c r="J15" i="4"/>
  <c r="T13" i="4" l="1"/>
  <c r="P15" i="4"/>
  <c r="R15" i="4"/>
  <c r="V14" i="4"/>
  <c r="S14" i="4"/>
  <c r="T14" i="4" s="1"/>
  <c r="W14" i="4" s="1"/>
  <c r="J16" i="4"/>
  <c r="I16" i="4"/>
  <c r="K15" i="4"/>
  <c r="W13" i="4" l="1"/>
  <c r="V15" i="4"/>
  <c r="S15" i="4"/>
  <c r="T15" i="4" s="1"/>
  <c r="W15" i="4" s="1"/>
  <c r="R16" i="4"/>
  <c r="P16" i="4"/>
  <c r="J17" i="4"/>
  <c r="I17" i="4"/>
  <c r="K16" i="4"/>
  <c r="V16" i="4" l="1"/>
  <c r="S16" i="4"/>
  <c r="T16" i="4" s="1"/>
  <c r="W16" i="4" s="1"/>
  <c r="R17" i="4"/>
  <c r="P17" i="4"/>
  <c r="I18" i="4"/>
  <c r="K17" i="4"/>
  <c r="J18" i="4"/>
  <c r="V17" i="4" l="1"/>
  <c r="S17" i="4"/>
  <c r="T17" i="4" s="1"/>
  <c r="W17" i="4" s="1"/>
  <c r="R18" i="4"/>
  <c r="P18" i="4"/>
  <c r="P23" i="4" s="1"/>
  <c r="Q23" i="4" s="1"/>
  <c r="K18" i="4"/>
  <c r="I24" i="4"/>
  <c r="J24" i="4"/>
  <c r="V18" i="4" l="1"/>
  <c r="S18" i="4"/>
  <c r="T18" i="4" s="1"/>
  <c r="W18" i="4" s="1"/>
  <c r="R23" i="4"/>
  <c r="I23" i="4"/>
  <c r="J23" i="4" s="1"/>
  <c r="K23" i="4"/>
  <c r="U23" i="4" l="1"/>
  <c r="V23" i="4"/>
  <c r="S23" i="4"/>
  <c r="L24" i="4" l="1"/>
  <c r="W23" i="4"/>
  <c r="W24" i="4" s="1"/>
  <c r="T23" i="4"/>
  <c r="T24" i="4" s="1"/>
  <c r="F19" i="3" l="1"/>
  <c r="F20" i="3"/>
  <c r="F21" i="3"/>
  <c r="F18" i="3"/>
  <c r="I6" i="3"/>
  <c r="H6" i="3" s="1"/>
  <c r="I7" i="3"/>
  <c r="H7" i="3" s="1"/>
  <c r="I8" i="3"/>
  <c r="H8" i="3" s="1"/>
  <c r="I9" i="3"/>
  <c r="H9" i="3" s="1"/>
  <c r="I10" i="3"/>
  <c r="H10" i="3" s="1"/>
  <c r="I11" i="3"/>
  <c r="H11" i="3" s="1"/>
  <c r="I12" i="3"/>
  <c r="H12" i="3" s="1"/>
  <c r="I13" i="3"/>
  <c r="H13" i="3" s="1"/>
  <c r="I14" i="3"/>
  <c r="H14" i="3" s="1"/>
  <c r="I15" i="3"/>
  <c r="H15" i="3" s="1"/>
  <c r="I16" i="3"/>
  <c r="H16" i="3" s="1"/>
  <c r="I17" i="3"/>
  <c r="H17" i="3" s="1"/>
  <c r="I5" i="3"/>
  <c r="H5" i="3" s="1"/>
  <c r="M6" i="3"/>
  <c r="L6" i="3" s="1"/>
  <c r="M7" i="3"/>
  <c r="L7" i="3" s="1"/>
  <c r="M8" i="3"/>
  <c r="L8" i="3" s="1"/>
  <c r="M9" i="3"/>
  <c r="L9" i="3" s="1"/>
  <c r="M10" i="3"/>
  <c r="L10" i="3" s="1"/>
  <c r="M11" i="3"/>
  <c r="L11" i="3" s="1"/>
  <c r="M12" i="3"/>
  <c r="L12" i="3" s="1"/>
  <c r="M13" i="3"/>
  <c r="L13" i="3" s="1"/>
  <c r="M14" i="3"/>
  <c r="L14" i="3" s="1"/>
  <c r="M15" i="3"/>
  <c r="L15" i="3" s="1"/>
  <c r="M16" i="3"/>
  <c r="L16" i="3" s="1"/>
  <c r="M17" i="3"/>
  <c r="L17" i="3" s="1"/>
  <c r="M5" i="3"/>
  <c r="L5" i="3" s="1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I1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5" i="1"/>
  <c r="K19" i="1"/>
  <c r="J19" i="1"/>
  <c r="H19" i="1"/>
  <c r="G19" i="1"/>
  <c r="D19" i="1"/>
  <c r="E19" i="1"/>
  <c r="C19" i="1"/>
  <c r="L19" i="1" l="1"/>
</calcChain>
</file>

<file path=xl/sharedStrings.xml><?xml version="1.0" encoding="utf-8"?>
<sst xmlns="http://schemas.openxmlformats.org/spreadsheetml/2006/main" count="90" uniqueCount="45">
  <si>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</si>
  <si>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</si>
  <si>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</si>
  <si>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</si>
  <si>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</si>
  <si>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</si>
  <si>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</si>
  <si>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هیدرومودول
ماه اوج</t>
  </si>
  <si>
    <t>لیتر در ثانیه در هکتار</t>
  </si>
  <si>
    <t>روش دفتر محیط زیست</t>
  </si>
  <si>
    <t>روش سه ضریبی</t>
  </si>
  <si>
    <t>لکه‏های موجود</t>
  </si>
  <si>
    <t>لکه‏های طرح تفصیلی</t>
  </si>
  <si>
    <t>لکه‏های طرح توسعه</t>
  </si>
  <si>
    <t>روش دفتر محیط زیست - تغییر Kd درخت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</si>
  <si>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</si>
  <si>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</si>
  <si>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</si>
  <si>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</si>
  <si>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</si>
  <si>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</si>
  <si>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</si>
  <si>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</si>
  <si>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</si>
  <si>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</si>
  <si>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</si>
  <si>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</si>
  <si>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</si>
  <si>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</si>
  <si>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</si>
  <si>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</si>
  <si>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</si>
  <si>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</si>
  <si>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</si>
  <si>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</si>
  <si>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</si>
  <si>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</si>
  <si>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</si>
  <si>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بر اساس ارقام خروجی از نرم‌افزار</t>
  </si>
  <si>
    <t>-</t>
  </si>
  <si>
    <t>حجم نیاز سالانه</t>
  </si>
  <si>
    <t>میلیون مترمکعب</t>
  </si>
  <si>
    <t>سازمان پارک‏ها</t>
  </si>
  <si>
    <t>مساحت محاسبه نیاز آبیاری</t>
  </si>
  <si>
    <t>کمربند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</si>
</sst>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/>
      <right style="dotted">
        <color auto="1"/>
      </right>
      <top style="thin">
        <color indexed="64"/>
      </top>
      <bottom style="dotted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2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center"/>
    </xf>
    <xf numFmtId="165" fontId="4" fillId="4" borderId="10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5" fontId="5" fillId="3" borderId="11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165" fontId="4" fillId="4" borderId="10" xfId="1" applyNumberFormat="1" applyFont="1" applyFill="1" applyBorder="1" applyAlignment="1">
      <alignment horizontal="right" vertical="center" indent="1"/>
    </xf>
    <xf numFmtId="165" fontId="4" fillId="4" borderId="9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1" fillId="0" borderId="0" xfId="2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8" borderId="21" xfId="3" applyFont="1" applyFill="1" applyBorder="1" applyAlignment="1">
      <alignment horizontal="center" vertical="center" wrapText="1" readingOrder="2"/>
    </xf>
    <xf numFmtId="0" fontId="17" fillId="8" borderId="21" xfId="3" applyFont="1" applyFill="1" applyBorder="1" applyAlignment="1">
      <alignment horizontal="center" vertical="center" wrapText="1" readingOrder="2"/>
    </xf>
    <xf numFmtId="0" fontId="11" fillId="8" borderId="1" xfId="3" applyFont="1" applyFill="1" applyBorder="1" applyAlignment="1">
      <alignment horizontal="center" vertical="center" wrapText="1" readingOrder="2"/>
    </xf>
    <xf numFmtId="0" fontId="17" fillId="8" borderId="1" xfId="3" applyFont="1" applyFill="1" applyBorder="1" applyAlignment="1">
      <alignment horizontal="center" vertical="center" wrapText="1" readingOrder="2"/>
    </xf>
    <xf numFmtId="0" fontId="17" fillId="8" borderId="25" xfId="3" applyFont="1" applyFill="1" applyBorder="1" applyAlignment="1">
      <alignment horizontal="center" vertical="center" wrapText="1" readingOrder="2"/>
    </xf>
    <xf numFmtId="3" fontId="12" fillId="6" borderId="26" xfId="3" applyNumberFormat="1" applyFont="1" applyFill="1" applyBorder="1" applyAlignment="1">
      <alignment horizontal="center" vertical="center" wrapText="1"/>
    </xf>
    <xf numFmtId="0" fontId="13" fillId="9" borderId="24" xfId="3" applyFont="1" applyFill="1" applyBorder="1" applyAlignment="1">
      <alignment horizontal="center" vertical="center" wrapText="1" readingOrder="2"/>
    </xf>
    <xf numFmtId="0" fontId="17" fillId="8" borderId="27" xfId="3" applyFont="1" applyFill="1" applyBorder="1" applyAlignment="1">
      <alignment horizontal="center" vertical="center" wrapText="1" readingOrder="2"/>
    </xf>
    <xf numFmtId="0" fontId="16" fillId="8" borderId="28" xfId="4" applyFont="1" applyFill="1" applyBorder="1" applyAlignment="1">
      <alignment horizontal="center" vertical="top" wrapText="1"/>
    </xf>
    <xf numFmtId="0" fontId="16" fillId="8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10" borderId="32" xfId="5" applyFont="1" applyFill="1" applyBorder="1" applyAlignment="1">
      <alignment horizontal="center" vertical="center" readingOrder="1"/>
    </xf>
    <xf numFmtId="9" fontId="21" fillId="10" borderId="31" xfId="5" applyFont="1" applyFill="1" applyBorder="1" applyAlignment="1">
      <alignment horizontal="center" vertical="center" readingOrder="1"/>
    </xf>
    <xf numFmtId="3" fontId="22" fillId="11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10" borderId="34" xfId="5" applyFont="1" applyFill="1" applyBorder="1" applyAlignment="1">
      <alignment horizontal="center" vertical="center" readingOrder="1"/>
    </xf>
    <xf numFmtId="3" fontId="22" fillId="9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1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9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1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9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5" fillId="0" borderId="0" xfId="4"/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1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9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166" fontId="22" fillId="11" borderId="37" xfId="3" applyNumberFormat="1" applyFont="1" applyFill="1" applyBorder="1" applyAlignment="1">
      <alignment horizontal="right" vertical="center" indent="2" readingOrder="2"/>
    </xf>
    <xf numFmtId="166" fontId="22" fillId="9" borderId="37" xfId="3" applyNumberFormat="1" applyFont="1" applyFill="1" applyBorder="1" applyAlignment="1">
      <alignment horizontal="right" vertical="center" indent="1" readingOrder="2"/>
    </xf>
    <xf numFmtId="166" fontId="24" fillId="4" borderId="10" xfId="3" applyNumberFormat="1" applyFont="1" applyFill="1" applyBorder="1" applyAlignment="1">
      <alignment horizontal="right" vertical="center" indent="1" readingOrder="2"/>
    </xf>
    <xf numFmtId="166" fontId="24" fillId="4" borderId="0" xfId="3" applyNumberFormat="1" applyFont="1" applyFill="1" applyAlignment="1">
      <alignment horizontal="right" vertical="center" indent="1" readingOrder="2"/>
    </xf>
    <xf numFmtId="0" fontId="19" fillId="12" borderId="4" xfId="3" applyFont="1" applyFill="1" applyBorder="1" applyAlignment="1">
      <alignment horizontal="center" vertical="center" readingOrder="2"/>
    </xf>
    <xf numFmtId="3" fontId="31" fillId="12" borderId="2" xfId="3" applyNumberFormat="1" applyFont="1" applyFill="1" applyBorder="1" applyAlignment="1">
      <alignment horizontal="center" vertical="center" shrinkToFit="1" readingOrder="2"/>
    </xf>
    <xf numFmtId="3" fontId="30" fillId="12" borderId="2" xfId="3" applyNumberFormat="1" applyFont="1" applyFill="1" applyBorder="1" applyAlignment="1">
      <alignment horizontal="center" vertical="center" shrinkToFit="1" readingOrder="2"/>
    </xf>
    <xf numFmtId="3" fontId="30" fillId="12" borderId="51" xfId="3" applyNumberFormat="1" applyFont="1" applyFill="1" applyBorder="1" applyAlignment="1">
      <alignment horizontal="center" vertical="center" shrinkToFit="1" readingOrder="2"/>
    </xf>
    <xf numFmtId="3" fontId="32" fillId="11" borderId="52" xfId="3" applyNumberFormat="1" applyFont="1" applyFill="1" applyBorder="1" applyAlignment="1">
      <alignment horizontal="center" vertical="center" readingOrder="2"/>
    </xf>
    <xf numFmtId="3" fontId="23" fillId="12" borderId="51" xfId="3" applyNumberFormat="1" applyFont="1" applyFill="1" applyBorder="1" applyAlignment="1">
      <alignment horizontal="center" vertical="center" shrinkToFit="1" readingOrder="2"/>
    </xf>
    <xf numFmtId="3" fontId="30" fillId="12" borderId="53" xfId="3" applyNumberFormat="1" applyFont="1" applyFill="1" applyBorder="1" applyAlignment="1">
      <alignment horizontal="center" vertical="center" shrinkToFit="1" readingOrder="2"/>
    </xf>
    <xf numFmtId="3" fontId="32" fillId="9" borderId="52" xfId="3" applyNumberFormat="1" applyFont="1" applyFill="1" applyBorder="1" applyAlignment="1">
      <alignment horizontal="center" vertical="center" readingOrder="2"/>
    </xf>
    <xf numFmtId="3" fontId="33" fillId="12" borderId="11" xfId="3" applyNumberFormat="1" applyFont="1" applyFill="1" applyBorder="1" applyAlignment="1">
      <alignment horizontal="right" vertical="center" indent="1" readingOrder="2"/>
    </xf>
    <xf numFmtId="3" fontId="33" fillId="12" borderId="2" xfId="3" applyNumberFormat="1" applyFont="1" applyFill="1" applyBorder="1" applyAlignment="1">
      <alignment horizontal="right" vertical="center" indent="1" readingOrder="2"/>
    </xf>
    <xf numFmtId="9" fontId="26" fillId="12" borderId="52" xfId="6" applyFont="1" applyFill="1" applyBorder="1" applyAlignment="1">
      <alignment horizontal="center" vertical="center"/>
    </xf>
    <xf numFmtId="4" fontId="27" fillId="12" borderId="2" xfId="3" applyNumberFormat="1" applyFont="1" applyFill="1" applyBorder="1" applyAlignment="1">
      <alignment horizontal="center" vertical="center" shrinkToFit="1"/>
    </xf>
    <xf numFmtId="3" fontId="29" fillId="12" borderId="2" xfId="3" applyNumberFormat="1" applyFont="1" applyFill="1" applyBorder="1" applyAlignment="1">
      <alignment horizontal="center" vertical="center" shrinkToFit="1"/>
    </xf>
    <xf numFmtId="0" fontId="1" fillId="0" borderId="0" xfId="2" applyAlignment="1">
      <alignment shrinkToFit="1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inden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right" vertical="center" indent="1"/>
    </xf>
    <xf numFmtId="0" fontId="6" fillId="5" borderId="0" xfId="0" applyFont="1" applyFill="1" applyBorder="1" applyAlignment="1">
      <alignment horizontal="center" vertical="center"/>
    </xf>
    <xf numFmtId="0" fontId="11" fillId="8" borderId="19" xfId="4" applyFont="1" applyFill="1" applyBorder="1" applyAlignment="1">
      <alignment horizontal="center" vertical="center"/>
    </xf>
    <xf numFmtId="0" fontId="11" fillId="8" borderId="15" xfId="4" applyFont="1" applyFill="1" applyBorder="1" applyAlignment="1">
      <alignment horizontal="center" vertical="center"/>
    </xf>
    <xf numFmtId="0" fontId="11" fillId="8" borderId="20" xfId="4" applyFont="1" applyFill="1" applyBorder="1" applyAlignment="1">
      <alignment horizontal="center" vertical="center"/>
    </xf>
    <xf numFmtId="0" fontId="37" fillId="0" borderId="0" xfId="2" applyFont="1" applyAlignment="1">
      <alignment horizontal="center" vertical="center" textRotation="180"/>
    </xf>
    <xf numFmtId="3" fontId="10" fillId="6" borderId="5" xfId="3" applyNumberFormat="1" applyFont="1" applyFill="1" applyBorder="1" applyAlignment="1">
      <alignment horizontal="center" vertical="center" wrapText="1"/>
    </xf>
    <xf numFmtId="3" fontId="10" fillId="6" borderId="7" xfId="3" applyNumberFormat="1" applyFont="1" applyFill="1" applyBorder="1" applyAlignment="1">
      <alignment horizontal="center" vertical="center" wrapText="1"/>
    </xf>
    <xf numFmtId="3" fontId="11" fillId="6" borderId="15" xfId="3" applyNumberFormat="1" applyFont="1" applyFill="1" applyBorder="1" applyAlignment="1">
      <alignment horizontal="center" vertical="center" wrapText="1"/>
    </xf>
    <xf numFmtId="3" fontId="12" fillId="6" borderId="16" xfId="3" applyNumberFormat="1" applyFont="1" applyFill="1" applyBorder="1" applyAlignment="1">
      <alignment horizontal="center" vertical="center" wrapText="1"/>
    </xf>
    <xf numFmtId="3" fontId="12" fillId="6" borderId="22" xfId="3" applyNumberFormat="1" applyFont="1" applyFill="1" applyBorder="1" applyAlignment="1">
      <alignment horizontal="center" vertical="center" wrapText="1"/>
    </xf>
    <xf numFmtId="3" fontId="12" fillId="6" borderId="17" xfId="3" applyNumberFormat="1" applyFont="1" applyFill="1" applyBorder="1" applyAlignment="1">
      <alignment horizontal="center" vertical="center" wrapText="1"/>
    </xf>
    <xf numFmtId="3" fontId="12" fillId="6" borderId="23" xfId="3" applyNumberFormat="1" applyFont="1" applyFill="1" applyBorder="1" applyAlignment="1">
      <alignment horizontal="center" vertical="center" wrapText="1"/>
    </xf>
    <xf numFmtId="3" fontId="13" fillId="7" borderId="18" xfId="3" applyNumberFormat="1" applyFont="1" applyFill="1" applyBorder="1" applyAlignment="1">
      <alignment horizontal="center" vertical="center" wrapText="1"/>
    </xf>
    <xf numFmtId="3" fontId="13" fillId="7" borderId="24" xfId="3" applyNumberFormat="1" applyFont="1" applyFill="1" applyBorder="1" applyAlignment="1">
      <alignment horizontal="center" vertical="center" wrapText="1"/>
    </xf>
    <xf numFmtId="0" fontId="11" fillId="8" borderId="19" xfId="4" applyFont="1" applyFill="1" applyBorder="1" applyAlignment="1">
      <alignment horizontal="center" vertical="center" wrapText="1"/>
    </xf>
    <xf numFmtId="0" fontId="11" fillId="8" borderId="15" xfId="4" applyFont="1" applyFill="1" applyBorder="1" applyAlignment="1">
      <alignment horizontal="center" vertical="center" wrapText="1"/>
    </xf>
    <xf numFmtId="0" fontId="11" fillId="8" borderId="20" xfId="4" applyFont="1" applyFill="1" applyBorder="1" applyAlignment="1">
      <alignment horizontal="center" vertical="center" wrapText="1"/>
    </xf>
    <xf numFmtId="0" fontId="19" fillId="4" borderId="7" xfId="3" applyFont="1" applyFill="1" applyBorder="1" applyAlignment="1">
      <alignment horizontal="center" vertical="center" readingOrder="2"/>
    </xf>
    <xf numFmtId="3" fontId="20" fillId="4" borderId="21" xfId="3" applyNumberFormat="1" applyFont="1" applyFill="1" applyBorder="1" applyAlignment="1">
      <alignment horizontal="right" vertical="center" indent="1" readingOrder="2"/>
    </xf>
    <xf numFmtId="166" fontId="30" fillId="4" borderId="21" xfId="3" applyNumberFormat="1" applyFont="1" applyFill="1" applyBorder="1" applyAlignment="1">
      <alignment horizontal="right" vertical="center" indent="1" readingOrder="2"/>
    </xf>
    <xf numFmtId="166" fontId="36" fillId="4" borderId="21" xfId="3" applyNumberFormat="1" applyFont="1" applyFill="1" applyBorder="1" applyAlignment="1">
      <alignment horizontal="right" vertical="center" indent="1" readingOrder="2"/>
    </xf>
    <xf numFmtId="9" fontId="21" fillId="4" borderId="25" xfId="5" applyFont="1" applyFill="1" applyBorder="1" applyAlignment="1">
      <alignment horizontal="center" vertical="center" readingOrder="1"/>
    </xf>
    <xf numFmtId="9" fontId="21" fillId="4" borderId="21" xfId="5" applyFont="1" applyFill="1" applyBorder="1" applyAlignment="1">
      <alignment horizontal="center" vertical="center" readingOrder="1"/>
    </xf>
    <xf numFmtId="3" fontId="22" fillId="11" borderId="54" xfId="3" applyNumberFormat="1" applyFont="1" applyFill="1" applyBorder="1" applyAlignment="1">
      <alignment horizontal="right" vertical="center" indent="2" readingOrder="2"/>
    </xf>
    <xf numFmtId="3" fontId="24" fillId="4" borderId="27" xfId="3" applyNumberFormat="1" applyFont="1" applyFill="1" applyBorder="1" applyAlignment="1">
      <alignment horizontal="right" vertical="center" indent="1" readingOrder="2"/>
    </xf>
    <xf numFmtId="3" fontId="24" fillId="4" borderId="21" xfId="3" applyNumberFormat="1" applyFont="1" applyFill="1" applyBorder="1" applyAlignment="1">
      <alignment horizontal="right" vertical="center" indent="1" readingOrder="2"/>
    </xf>
    <xf numFmtId="166" fontId="23" fillId="4" borderId="25" xfId="3" applyNumberFormat="1" applyFont="1" applyFill="1" applyBorder="1" applyAlignment="1">
      <alignment horizontal="center" vertical="center" readingOrder="2"/>
    </xf>
    <xf numFmtId="9" fontId="21" fillId="4" borderId="26" xfId="5" applyFont="1" applyFill="1" applyBorder="1" applyAlignment="1">
      <alignment horizontal="center" vertical="center" readingOrder="1"/>
    </xf>
    <xf numFmtId="3" fontId="22" fillId="9" borderId="54" xfId="3" applyNumberFormat="1" applyFont="1" applyFill="1" applyBorder="1" applyAlignment="1">
      <alignment horizontal="right" vertical="center" indent="1" readingOrder="2"/>
    </xf>
    <xf numFmtId="4" fontId="27" fillId="4" borderId="21" xfId="3" applyNumberFormat="1" applyFont="1" applyFill="1" applyBorder="1" applyAlignment="1">
      <alignment horizontal="center" vertical="center" shrinkToFit="1"/>
    </xf>
    <xf numFmtId="3" fontId="28" fillId="4" borderId="21" xfId="3" applyNumberFormat="1" applyFont="1" applyFill="1" applyBorder="1" applyAlignment="1">
      <alignment horizontal="right" vertical="center" indent="1" shrinkToFit="1"/>
    </xf>
    <xf numFmtId="0" fontId="19" fillId="4" borderId="5" xfId="3" applyFont="1" applyFill="1" applyBorder="1" applyAlignment="1">
      <alignment horizontal="center" vertical="center" readingOrder="2"/>
    </xf>
    <xf numFmtId="3" fontId="20" fillId="4" borderId="15" xfId="3" applyNumberFormat="1" applyFont="1" applyFill="1" applyBorder="1" applyAlignment="1">
      <alignment horizontal="right" vertical="center" indent="1" readingOrder="2"/>
    </xf>
    <xf numFmtId="166" fontId="30" fillId="4" borderId="15" xfId="3" applyNumberFormat="1" applyFont="1" applyFill="1" applyBorder="1" applyAlignment="1">
      <alignment horizontal="right" vertical="center" indent="1" readingOrder="2"/>
    </xf>
    <xf numFmtId="3" fontId="30" fillId="4" borderId="15" xfId="3" applyNumberFormat="1" applyFont="1" applyFill="1" applyBorder="1" applyAlignment="1">
      <alignment horizontal="right" vertical="center" indent="1" readingOrder="2"/>
    </xf>
    <xf numFmtId="166" fontId="36" fillId="4" borderId="15" xfId="3" applyNumberFormat="1" applyFont="1" applyFill="1" applyBorder="1" applyAlignment="1">
      <alignment horizontal="right" vertical="center" indent="1" readingOrder="2"/>
    </xf>
    <xf numFmtId="9" fontId="21" fillId="4" borderId="55" xfId="5" applyFont="1" applyFill="1" applyBorder="1" applyAlignment="1">
      <alignment horizontal="center" vertical="center" readingOrder="1"/>
    </xf>
    <xf numFmtId="9" fontId="21" fillId="4" borderId="15" xfId="5" applyFont="1" applyFill="1" applyBorder="1" applyAlignment="1">
      <alignment horizontal="center" vertical="center" readingOrder="1"/>
    </xf>
    <xf numFmtId="3" fontId="22" fillId="11" borderId="56" xfId="3" applyNumberFormat="1" applyFont="1" applyFill="1" applyBorder="1" applyAlignment="1">
      <alignment horizontal="right" vertical="center" indent="2" readingOrder="2"/>
    </xf>
    <xf numFmtId="3" fontId="24" fillId="4" borderId="19" xfId="3" applyNumberFormat="1" applyFont="1" applyFill="1" applyBorder="1" applyAlignment="1">
      <alignment horizontal="right" vertical="center" indent="1" readingOrder="2"/>
    </xf>
    <xf numFmtId="3" fontId="24" fillId="4" borderId="15" xfId="3" applyNumberFormat="1" applyFont="1" applyFill="1" applyBorder="1" applyAlignment="1">
      <alignment horizontal="right" vertical="center" indent="1" readingOrder="2"/>
    </xf>
    <xf numFmtId="166" fontId="23" fillId="4" borderId="55" xfId="3" applyNumberFormat="1" applyFont="1" applyFill="1" applyBorder="1" applyAlignment="1">
      <alignment horizontal="center" vertical="center" readingOrder="2"/>
    </xf>
    <xf numFmtId="9" fontId="21" fillId="4" borderId="57" xfId="5" applyFont="1" applyFill="1" applyBorder="1" applyAlignment="1">
      <alignment horizontal="center" vertical="center" readingOrder="1"/>
    </xf>
    <xf numFmtId="3" fontId="22" fillId="9" borderId="56" xfId="3" applyNumberFormat="1" applyFont="1" applyFill="1" applyBorder="1" applyAlignment="1">
      <alignment horizontal="right" vertical="center" indent="1" readingOrder="2"/>
    </xf>
    <xf numFmtId="9" fontId="26" fillId="4" borderId="56" xfId="6" applyFont="1" applyFill="1" applyBorder="1" applyAlignment="1">
      <alignment horizontal="center" vertical="center"/>
    </xf>
    <xf numFmtId="4" fontId="27" fillId="4" borderId="15" xfId="3" applyNumberFormat="1" applyFont="1" applyFill="1" applyBorder="1" applyAlignment="1">
      <alignment horizontal="center" vertical="center" shrinkToFit="1"/>
    </xf>
    <xf numFmtId="3" fontId="28" fillId="4" borderId="15" xfId="3" applyNumberFormat="1" applyFont="1" applyFill="1" applyBorder="1" applyAlignment="1">
      <alignment horizontal="right" vertical="center" indent="1" shrinkToFit="1"/>
    </xf>
    <xf numFmtId="0" fontId="19" fillId="12" borderId="2" xfId="3" applyFont="1" applyFill="1" applyBorder="1" applyAlignment="1">
      <alignment horizontal="center" vertical="center" readingOrder="2"/>
    </xf>
    <xf numFmtId="0" fontId="19" fillId="4" borderId="3" xfId="3" applyFont="1" applyFill="1" applyBorder="1" applyAlignment="1">
      <alignment horizontal="center" vertical="center" readingOrder="2"/>
    </xf>
    <xf numFmtId="0" fontId="19" fillId="4" borderId="1" xfId="3" applyFont="1" applyFill="1" applyBorder="1" applyAlignment="1">
      <alignment horizontal="center" vertical="center" readingOrder="2"/>
    </xf>
    <xf numFmtId="3" fontId="11" fillId="6" borderId="19" xfId="3" applyNumberFormat="1" applyFont="1" applyFill="1" applyBorder="1" applyAlignment="1">
      <alignment horizontal="center" vertical="center" wrapText="1"/>
    </xf>
    <xf numFmtId="3" fontId="11" fillId="6" borderId="57" xfId="3" applyNumberFormat="1" applyFont="1" applyFill="1" applyBorder="1" applyAlignment="1">
      <alignment horizontal="center" vertical="center" wrapText="1"/>
    </xf>
    <xf numFmtId="166" fontId="20" fillId="4" borderId="35" xfId="3" applyNumberFormat="1" applyFont="1" applyFill="1" applyBorder="1" applyAlignment="1">
      <alignment horizontal="right" vertical="center" indent="1" readingOrder="2"/>
    </xf>
    <xf numFmtId="166" fontId="20" fillId="4" borderId="10" xfId="3" applyNumberFormat="1" applyFont="1" applyFill="1" applyBorder="1" applyAlignment="1">
      <alignment horizontal="right" vertical="center" indent="1" readingOrder="2"/>
    </xf>
    <xf numFmtId="166" fontId="20" fillId="4" borderId="9" xfId="3" applyNumberFormat="1" applyFont="1" applyFill="1" applyBorder="1" applyAlignment="1">
      <alignment horizontal="right" vertical="center" indent="1" readingOrder="2"/>
    </xf>
    <xf numFmtId="0" fontId="1" fillId="4" borderId="2" xfId="2" applyFill="1" applyBorder="1" applyAlignment="1">
      <alignment shrinkToFit="1"/>
    </xf>
    <xf numFmtId="167" fontId="34" fillId="4" borderId="2" xfId="0" applyNumberFormat="1" applyFont="1" applyFill="1" applyBorder="1" applyAlignment="1">
      <alignment horizontal="right" vertical="center" indent="1"/>
    </xf>
    <xf numFmtId="9" fontId="18" fillId="4" borderId="51" xfId="5" applyFont="1" applyFill="1" applyBorder="1" applyAlignment="1">
      <alignment horizontal="center" vertical="center" readingOrder="1"/>
    </xf>
    <xf numFmtId="3" fontId="35" fillId="12" borderId="2" xfId="3" applyNumberFormat="1" applyFont="1" applyFill="1" applyBorder="1" applyAlignment="1">
      <alignment horizontal="right" vertical="center" shrinkToFit="1" readingOrder="2"/>
    </xf>
    <xf numFmtId="166" fontId="23" fillId="4" borderId="2" xfId="3" applyNumberFormat="1" applyFont="1" applyFill="1" applyBorder="1" applyAlignment="1">
      <alignment horizontal="center" vertical="center" shrinkToFit="1" readingOrder="2"/>
    </xf>
  </cellXfs>
  <cellStyles count="7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 2" xfId="6" xr:uid="{4966D635-4207-436F-9FB3-E3D2A26DDC6C}"/>
    <cellStyle name="Percent 5 2 2" xfId="5" xr:uid="{2FB2DC56-71FA-467A-963C-3A131623D3E2}"/>
  </cellStyles>
  <dxfs count="250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C869-3230-466E-B033-82F892704738}">
  <dimension ref="B2:L19"/>
  <sheetViews>
    <sheetView rightToLeft="1" zoomScale="110" zoomScaleNormal="110" workbookViewId="0">
      <selection activeCell="A11" sqref="A11:XFD11"/>
    </sheetView>
  </sheetViews>
  <sheetFormatPr defaultColWidth="9.140625" defaultRowHeight="17.25" x14ac:dyDescent="0.25"/>
  <cols>
    <col min="1" max="1" width="9.140625" style="3"/>
    <col min="2" max="2" width="8.7109375" style="3" bestFit="1" customWidth="1"/>
    <col min="3" max="5" width="11.42578125" style="3" customWidth="1"/>
    <col min="6" max="12" width="14.28515625" style="3" customWidth="1"/>
    <col min="13" max="16384" width="9.140625" style="3"/>
  </cols>
  <sheetData>
    <row r="2" spans="2:12" x14ac:dyDescent="0.25">
      <c r="D2" s="157" t="s">
        <v>9</v>
      </c>
      <c r="E2" s="157"/>
      <c r="F2" s="157"/>
      <c r="G2" s="157" t="s">
        <v>14</v>
      </c>
      <c r="H2" s="157"/>
      <c r="I2" s="157"/>
      <c r="J2" s="157" t="s">
        <v>10</v>
      </c>
      <c r="K2" s="157"/>
      <c r="L2" s="157"/>
    </row>
    <row r="3" spans="2:12" ht="34.5" customHeight="1" x14ac:dyDescent="0.25">
      <c r="B3" s="155" t="s">
        <v>0</v>
      </c>
      <c r="C3" s="9" t="s">
        <v>1</v>
      </c>
      <c r="D3" s="2" t="s">
        <v>4</v>
      </c>
      <c r="E3" s="2" t="s">
        <v>6</v>
      </c>
      <c r="F3" s="9" t="s">
        <v>7</v>
      </c>
      <c r="G3" s="14" t="s">
        <v>4</v>
      </c>
      <c r="H3" s="2" t="s">
        <v>6</v>
      </c>
      <c r="I3" s="9" t="s">
        <v>7</v>
      </c>
      <c r="J3" s="14" t="s">
        <v>4</v>
      </c>
      <c r="K3" s="2" t="s">
        <v>6</v>
      </c>
      <c r="L3" s="9" t="s">
        <v>7</v>
      </c>
    </row>
    <row r="4" spans="2:12" x14ac:dyDescent="0.25">
      <c r="B4" s="156"/>
      <c r="C4" s="22" t="s">
        <v>2</v>
      </c>
      <c r="D4" s="1" t="s">
        <v>3</v>
      </c>
      <c r="E4" s="1" t="s">
        <v>3</v>
      </c>
      <c r="F4" s="10" t="s">
        <v>8</v>
      </c>
      <c r="G4" s="15" t="s">
        <v>3</v>
      </c>
      <c r="H4" s="1" t="s">
        <v>3</v>
      </c>
      <c r="I4" s="10" t="s">
        <v>8</v>
      </c>
      <c r="J4" s="15" t="s">
        <v>3</v>
      </c>
      <c r="K4" s="1" t="s">
        <v>3</v>
      </c>
      <c r="L4" s="10" t="s">
        <v>8</v>
      </c>
    </row>
    <row r="5" spans="2:12" ht="18" customHeight="1" x14ac:dyDescent="0.25">
      <c r="B5" s="19">
        <v>1</v>
      </c>
      <c r="C5" s="6">
        <v>54.593800000000002</v>
      </c>
      <c r="D5" s="24">
        <v>727.03452127757976</v>
      </c>
      <c r="E5" s="11">
        <v>169.3973212709333</v>
      </c>
      <c r="F5" s="12">
        <f>E5*1000*1000/31/24/3600/C5</f>
        <v>1.1584779651449879</v>
      </c>
      <c r="G5" s="26">
        <v>731.06466714200292</v>
      </c>
      <c r="H5" s="11">
        <v>170.31078277623709</v>
      </c>
      <c r="I5" s="12">
        <f>H5*1000*1000/31/24/3600/C5</f>
        <v>1.1647249649084028</v>
      </c>
      <c r="J5" s="16">
        <v>740.45978969811961</v>
      </c>
      <c r="K5" s="11">
        <v>158.290046745815</v>
      </c>
      <c r="L5" s="12">
        <f>K5*1000*1000/31/24/3600/C5</f>
        <v>1.0825173024047221</v>
      </c>
    </row>
    <row r="6" spans="2:12" ht="18" customHeight="1" x14ac:dyDescent="0.25">
      <c r="B6" s="19">
        <v>2</v>
      </c>
      <c r="C6" s="7">
        <v>142.60640000000001</v>
      </c>
      <c r="D6" s="24">
        <v>1634.202846066748</v>
      </c>
      <c r="E6" s="11">
        <v>376.76495765771188</v>
      </c>
      <c r="F6" s="12">
        <f t="shared" ref="F6:F18" si="0">E6*1000*1000/31/24/3600/C6</f>
        <v>0.98640678309278684</v>
      </c>
      <c r="G6" s="26">
        <v>1653.22997362259</v>
      </c>
      <c r="H6" s="11">
        <v>381.07759277402181</v>
      </c>
      <c r="I6" s="12">
        <f t="shared" ref="I6:I18" si="1">H6*1000*1000/31/24/3600/C6</f>
        <v>0.9976976753195449</v>
      </c>
      <c r="J6" s="16">
        <v>1773.5423719973569</v>
      </c>
      <c r="K6" s="11">
        <v>380.50878734517607</v>
      </c>
      <c r="L6" s="12">
        <f t="shared" ref="L6:L18" si="2">K6*1000*1000/31/24/3600/C6</f>
        <v>0.9962084881701837</v>
      </c>
    </row>
    <row r="7" spans="2:12" ht="18" customHeight="1" x14ac:dyDescent="0.25">
      <c r="B7" s="19">
        <v>3</v>
      </c>
      <c r="C7" s="7">
        <v>110.65809999999999</v>
      </c>
      <c r="D7" s="24">
        <v>1319.1424882003701</v>
      </c>
      <c r="E7" s="11">
        <v>303.15359904680969</v>
      </c>
      <c r="F7" s="12">
        <f t="shared" si="0"/>
        <v>1.0228314733195274</v>
      </c>
      <c r="G7" s="26">
        <v>1329.5414536698099</v>
      </c>
      <c r="H7" s="11">
        <v>305.51059925743999</v>
      </c>
      <c r="I7" s="12">
        <f t="shared" si="1"/>
        <v>1.0307839238450485</v>
      </c>
      <c r="J7" s="16">
        <v>1057.72702230236</v>
      </c>
      <c r="K7" s="11">
        <v>227.82645297857181</v>
      </c>
      <c r="L7" s="12">
        <f t="shared" si="2"/>
        <v>0.76867986160788737</v>
      </c>
    </row>
    <row r="8" spans="2:12" ht="18" customHeight="1" x14ac:dyDescent="0.25">
      <c r="B8" s="19">
        <v>4</v>
      </c>
      <c r="C8" s="7">
        <v>67.195999999999998</v>
      </c>
      <c r="D8" s="24">
        <v>772.32117499832952</v>
      </c>
      <c r="E8" s="11">
        <v>175.99920655006389</v>
      </c>
      <c r="F8" s="12">
        <f t="shared" si="0"/>
        <v>0.97789415920912248</v>
      </c>
      <c r="G8" s="26">
        <v>778.47479338041398</v>
      </c>
      <c r="H8" s="11">
        <v>177.3939683526043</v>
      </c>
      <c r="I8" s="12">
        <f t="shared" si="1"/>
        <v>0.98564379312468386</v>
      </c>
      <c r="J8" s="16">
        <v>699.62421014254596</v>
      </c>
      <c r="K8" s="11">
        <v>149.06105393423539</v>
      </c>
      <c r="L8" s="12">
        <f t="shared" si="2"/>
        <v>0.82821926794528422</v>
      </c>
    </row>
    <row r="9" spans="2:12" ht="18" customHeight="1" x14ac:dyDescent="0.25">
      <c r="B9" s="19">
        <v>5</v>
      </c>
      <c r="C9" s="7">
        <v>73.179299999999998</v>
      </c>
      <c r="D9" s="24">
        <v>768.24287186193374</v>
      </c>
      <c r="E9" s="11">
        <v>176.82755430920619</v>
      </c>
      <c r="F9" s="12">
        <f t="shared" si="0"/>
        <v>0.90216557886659055</v>
      </c>
      <c r="G9" s="26">
        <v>776.74719216827998</v>
      </c>
      <c r="H9" s="11">
        <v>178.75511958598599</v>
      </c>
      <c r="I9" s="12">
        <f t="shared" si="1"/>
        <v>0.91199992312658273</v>
      </c>
      <c r="J9" s="16">
        <v>837.49634036270595</v>
      </c>
      <c r="K9" s="11">
        <v>180.97723939681589</v>
      </c>
      <c r="L9" s="12">
        <f t="shared" si="2"/>
        <v>0.92333707028829004</v>
      </c>
    </row>
    <row r="10" spans="2:12" ht="18" customHeight="1" x14ac:dyDescent="0.25">
      <c r="B10" s="19">
        <v>6</v>
      </c>
      <c r="C10" s="7">
        <v>89.3827</v>
      </c>
      <c r="D10" s="24">
        <v>1124.8322480046279</v>
      </c>
      <c r="E10" s="11">
        <v>257.27223765904421</v>
      </c>
      <c r="F10" s="12">
        <f t="shared" si="0"/>
        <v>1.07464251520873</v>
      </c>
      <c r="G10" s="26">
        <v>1134.9298245184741</v>
      </c>
      <c r="H10" s="11">
        <v>259.5609258982667</v>
      </c>
      <c r="I10" s="12">
        <f t="shared" si="1"/>
        <v>1.0842025116868039</v>
      </c>
      <c r="J10" s="16">
        <v>902.3762978602723</v>
      </c>
      <c r="K10" s="11">
        <v>191.53170536113831</v>
      </c>
      <c r="L10" s="12">
        <f t="shared" si="2"/>
        <v>0.80004012661595203</v>
      </c>
    </row>
    <row r="11" spans="2:12" ht="18" customHeight="1" x14ac:dyDescent="0.25">
      <c r="B11" s="19">
        <v>7</v>
      </c>
      <c r="C11" s="7">
        <v>527.73968000000002</v>
      </c>
      <c r="D11" s="24">
        <v>3598.9087338812101</v>
      </c>
      <c r="E11" s="11">
        <v>859.21665394478373</v>
      </c>
      <c r="F11" s="12">
        <f t="shared" si="0"/>
        <v>0.60786550735887968</v>
      </c>
      <c r="G11" s="26">
        <v>4122.1605690377919</v>
      </c>
      <c r="H11" s="11">
        <v>977.81544045879798</v>
      </c>
      <c r="I11" s="12">
        <f t="shared" si="1"/>
        <v>0.69176996987773753</v>
      </c>
      <c r="J11" s="16">
        <v>6419.1371952955533</v>
      </c>
      <c r="K11" s="11">
        <v>1472.194808930416</v>
      </c>
      <c r="L11" s="12">
        <f t="shared" si="2"/>
        <v>1.0415259531493035</v>
      </c>
    </row>
    <row r="12" spans="2:12" ht="18" customHeight="1" x14ac:dyDescent="0.25">
      <c r="B12" s="19">
        <v>8</v>
      </c>
      <c r="C12" s="7">
        <v>105.15429999999999</v>
      </c>
      <c r="D12" s="24">
        <v>934.02395261922436</v>
      </c>
      <c r="E12" s="11">
        <v>218.35233856934599</v>
      </c>
      <c r="F12" s="12">
        <f t="shared" si="0"/>
        <v>0.77527427692782913</v>
      </c>
      <c r="G12" s="26">
        <v>948.58555088551952</v>
      </c>
      <c r="H12" s="11">
        <v>221.65282940005741</v>
      </c>
      <c r="I12" s="12">
        <f t="shared" si="1"/>
        <v>0.78699288575543302</v>
      </c>
      <c r="J12" s="16">
        <v>1002.054464582636</v>
      </c>
      <c r="K12" s="11">
        <v>222.25402516462569</v>
      </c>
      <c r="L12" s="12">
        <f t="shared" si="2"/>
        <v>0.78912747068693223</v>
      </c>
    </row>
    <row r="13" spans="2:12" ht="18" customHeight="1" x14ac:dyDescent="0.25">
      <c r="B13" s="19">
        <v>9</v>
      </c>
      <c r="C13" s="7">
        <v>324.26010000000002</v>
      </c>
      <c r="D13" s="24">
        <v>2735.1443673656222</v>
      </c>
      <c r="E13" s="11">
        <v>638.50031045349863</v>
      </c>
      <c r="F13" s="12">
        <f t="shared" si="0"/>
        <v>0.73517742735897529</v>
      </c>
      <c r="G13" s="26">
        <v>2842.456149670893</v>
      </c>
      <c r="H13" s="11">
        <v>662.82329664283975</v>
      </c>
      <c r="I13" s="12">
        <f t="shared" si="1"/>
        <v>0.76318322488108947</v>
      </c>
      <c r="J13" s="16">
        <v>3264.7562667241868</v>
      </c>
      <c r="K13" s="11">
        <v>730.25004107683571</v>
      </c>
      <c r="L13" s="12">
        <f t="shared" si="2"/>
        <v>0.84081924117835372</v>
      </c>
    </row>
    <row r="14" spans="2:12" ht="18" customHeight="1" x14ac:dyDescent="0.25">
      <c r="B14" s="19">
        <v>10</v>
      </c>
      <c r="C14" s="7">
        <v>189.87299999999999</v>
      </c>
      <c r="D14" s="24">
        <v>1949.9005024037169</v>
      </c>
      <c r="E14" s="11">
        <v>448.82585958594109</v>
      </c>
      <c r="F14" s="12">
        <f t="shared" si="0"/>
        <v>0.88254980369860991</v>
      </c>
      <c r="G14" s="26">
        <v>1974.5434373260821</v>
      </c>
      <c r="H14" s="11">
        <v>454.41135777547328</v>
      </c>
      <c r="I14" s="12">
        <f t="shared" si="1"/>
        <v>0.8935328614379261</v>
      </c>
      <c r="J14" s="16">
        <v>2238.201077199757</v>
      </c>
      <c r="K14" s="11">
        <v>488.61358743500239</v>
      </c>
      <c r="L14" s="12">
        <f t="shared" si="2"/>
        <v>0.96078649762528667</v>
      </c>
    </row>
    <row r="15" spans="2:12" ht="18" customHeight="1" x14ac:dyDescent="0.25">
      <c r="B15" s="19">
        <v>11</v>
      </c>
      <c r="C15" s="7">
        <v>121.60599999999999</v>
      </c>
      <c r="D15" s="24">
        <v>1601.0551359752089</v>
      </c>
      <c r="E15" s="11">
        <v>364.2089548791277</v>
      </c>
      <c r="F15" s="12">
        <f t="shared" si="0"/>
        <v>1.1182017818019712</v>
      </c>
      <c r="G15" s="26">
        <v>1609.7845049728101</v>
      </c>
      <c r="H15" s="11">
        <v>366.18752905811488</v>
      </c>
      <c r="I15" s="12">
        <f t="shared" si="1"/>
        <v>1.1242764407106332</v>
      </c>
      <c r="J15" s="16">
        <v>1350.810268087529</v>
      </c>
      <c r="K15" s="11">
        <v>283.44532871264278</v>
      </c>
      <c r="L15" s="12">
        <f t="shared" si="2"/>
        <v>0.87023964502770246</v>
      </c>
    </row>
    <row r="16" spans="2:12" ht="18" customHeight="1" x14ac:dyDescent="0.25">
      <c r="B16" s="19">
        <v>12</v>
      </c>
      <c r="C16" s="7">
        <v>123.75879999999999</v>
      </c>
      <c r="D16" s="24">
        <v>1005.163691228035</v>
      </c>
      <c r="E16" s="11">
        <v>237.15974286545409</v>
      </c>
      <c r="F16" s="12">
        <f t="shared" si="0"/>
        <v>0.71546673235282909</v>
      </c>
      <c r="G16" s="26">
        <v>1041.537928938734</v>
      </c>
      <c r="H16" s="11">
        <v>245.40422508799659</v>
      </c>
      <c r="I16" s="12">
        <f t="shared" si="1"/>
        <v>0.74033879826264026</v>
      </c>
      <c r="J16" s="16">
        <v>1295.079072188842</v>
      </c>
      <c r="K16" s="11">
        <v>294.33443420944087</v>
      </c>
      <c r="L16" s="12">
        <f t="shared" si="2"/>
        <v>0.88795211749836378</v>
      </c>
    </row>
    <row r="17" spans="2:12" ht="18" customHeight="1" x14ac:dyDescent="0.25">
      <c r="B17" s="19">
        <v>13</v>
      </c>
      <c r="C17" s="7">
        <v>9.1692999999999998</v>
      </c>
      <c r="D17" s="24">
        <v>127.2056318552735</v>
      </c>
      <c r="E17" s="11">
        <v>29.754771989121501</v>
      </c>
      <c r="F17" s="12">
        <f t="shared" si="0"/>
        <v>1.2115602276575679</v>
      </c>
      <c r="G17" s="26">
        <v>127.6684186876679</v>
      </c>
      <c r="H17" s="11">
        <v>29.859665948490449</v>
      </c>
      <c r="I17" s="12">
        <f t="shared" si="1"/>
        <v>1.2158313190085421</v>
      </c>
      <c r="J17" s="16">
        <v>111.4872164173663</v>
      </c>
      <c r="K17" s="11">
        <v>23.942188993663461</v>
      </c>
      <c r="L17" s="12">
        <f t="shared" si="2"/>
        <v>0.97488241410112886</v>
      </c>
    </row>
    <row r="18" spans="2:12" ht="18" customHeight="1" x14ac:dyDescent="0.25">
      <c r="B18" s="20">
        <v>16</v>
      </c>
      <c r="C18" s="8">
        <v>45.527900000000002</v>
      </c>
      <c r="D18" s="25">
        <v>421.73667928470832</v>
      </c>
      <c r="E18" s="4">
        <v>97.316457737346141</v>
      </c>
      <c r="F18" s="12">
        <f t="shared" si="0"/>
        <v>0.79805576182215054</v>
      </c>
      <c r="G18" s="27">
        <v>459.76580565310252</v>
      </c>
      <c r="H18" s="4">
        <v>105.93603235982199</v>
      </c>
      <c r="I18" s="12">
        <f t="shared" si="1"/>
        <v>0.86874165968424466</v>
      </c>
      <c r="J18" s="17">
        <v>329.82544640091078</v>
      </c>
      <c r="K18" s="4">
        <v>74.605931358822588</v>
      </c>
      <c r="L18" s="12">
        <f t="shared" si="2"/>
        <v>0.61181525480214127</v>
      </c>
    </row>
    <row r="19" spans="2:12" ht="18" customHeight="1" x14ac:dyDescent="0.25">
      <c r="B19" s="21" t="s">
        <v>5</v>
      </c>
      <c r="C19" s="23">
        <f>SUM(C5:C18)</f>
        <v>1984.7053800000001</v>
      </c>
      <c r="D19" s="5">
        <f t="shared" ref="D19:E19" si="3">SUM(D5:D18)</f>
        <v>18718.914845022591</v>
      </c>
      <c r="E19" s="5">
        <f t="shared" si="3"/>
        <v>4352.7499665183886</v>
      </c>
      <c r="F19" s="13">
        <f>SUMPRODUCT(F5:F18,C5:C18)/C19</f>
        <v>0.81882715636578085</v>
      </c>
      <c r="G19" s="18">
        <f t="shared" ref="G19" si="4">SUM(G5:G18)</f>
        <v>19530.490269674174</v>
      </c>
      <c r="H19" s="5">
        <f t="shared" ref="H19" si="5">SUM(H5:H18)</f>
        <v>4536.6993653761474</v>
      </c>
      <c r="I19" s="13">
        <f>SUMPRODUCT(I5:I18,C5:C18)/C19</f>
        <v>0.85343120308118925</v>
      </c>
      <c r="J19" s="18">
        <f t="shared" ref="J19" si="6">SUM(J5:J18)</f>
        <v>22022.577039260137</v>
      </c>
      <c r="K19" s="5">
        <f t="shared" ref="K19" si="7">SUM(K5:K18)</f>
        <v>4877.8356316432019</v>
      </c>
      <c r="L19" s="13">
        <f>SUMPRODUCT(L5:L18,C5:C18)/C19</f>
        <v>0.91760480390580068</v>
      </c>
    </row>
  </sheetData>
  <mergeCells count="4">
    <mergeCell ref="B3:B4"/>
    <mergeCell ref="D2:F2"/>
    <mergeCell ref="G2:I2"/>
    <mergeCell ref="J2:L2"/>
  </mergeCells>
  <pageMargins left="0.7" right="0.7" top="0.75" bottom="0.75" header="0.3" footer="0.3"/>
  <ignoredErrors>
    <ignoredError sqref="F19 I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T41"/>
  <sheetViews>
    <sheetView rightToLeft="1" topLeftCell="B1" zoomScale="110" zoomScaleNormal="110" workbookViewId="0">
      <selection activeCell="G5" sqref="G5"/>
    </sheetView>
  </sheetViews>
  <sheetFormatPr defaultColWidth="9.140625" defaultRowHeight="17.25" x14ac:dyDescent="0.25"/>
  <cols>
    <col min="1" max="1" width="9.140625" style="3"/>
    <col min="2" max="2" width="8.7109375" style="3" bestFit="1" customWidth="1"/>
    <col min="3" max="5" width="11.42578125" style="3" customWidth="1"/>
    <col min="6" max="6" width="14.28515625" style="3" customWidth="1"/>
    <col min="7" max="7" width="11.42578125" style="3" customWidth="1"/>
    <col min="8" max="10" width="14.28515625" style="3" customWidth="1"/>
    <col min="11" max="11" width="11.42578125" style="3" customWidth="1"/>
    <col min="12" max="14" width="14.28515625" style="3" customWidth="1"/>
    <col min="15" max="16384" width="9.140625" style="3"/>
  </cols>
  <sheetData>
    <row r="1" spans="2:14" x14ac:dyDescent="0.25">
      <c r="C1" s="161" t="s">
        <v>9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2:14" x14ac:dyDescent="0.25">
      <c r="C2" s="160" t="s">
        <v>11</v>
      </c>
      <c r="D2" s="160"/>
      <c r="E2" s="160"/>
      <c r="F2" s="160"/>
      <c r="G2" s="157" t="s">
        <v>12</v>
      </c>
      <c r="H2" s="157"/>
      <c r="I2" s="157"/>
      <c r="J2" s="157"/>
      <c r="K2" s="157" t="s">
        <v>13</v>
      </c>
      <c r="L2" s="157"/>
      <c r="M2" s="157"/>
      <c r="N2" s="157"/>
    </row>
    <row r="3" spans="2:14" ht="34.5" customHeight="1" x14ac:dyDescent="0.25">
      <c r="B3" s="158" t="s">
        <v>0</v>
      </c>
      <c r="C3" s="2" t="s">
        <v>1</v>
      </c>
      <c r="D3" s="2" t="s">
        <v>4</v>
      </c>
      <c r="E3" s="2" t="s">
        <v>6</v>
      </c>
      <c r="F3" s="9" t="s">
        <v>15</v>
      </c>
      <c r="G3" s="14" t="s">
        <v>1</v>
      </c>
      <c r="H3" s="2" t="s">
        <v>4</v>
      </c>
      <c r="I3" s="2" t="s">
        <v>6</v>
      </c>
      <c r="J3" s="9" t="s">
        <v>15</v>
      </c>
      <c r="K3" s="14" t="s">
        <v>1</v>
      </c>
      <c r="L3" s="2" t="s">
        <v>4</v>
      </c>
      <c r="M3" s="2" t="s">
        <v>6</v>
      </c>
      <c r="N3" s="9" t="s">
        <v>15</v>
      </c>
    </row>
    <row r="4" spans="2:14" x14ac:dyDescent="0.25">
      <c r="B4" s="159"/>
      <c r="C4" s="28" t="s">
        <v>2</v>
      </c>
      <c r="D4" s="1" t="s">
        <v>3</v>
      </c>
      <c r="E4" s="1" t="s">
        <v>3</v>
      </c>
      <c r="F4" s="10" t="s">
        <v>8</v>
      </c>
      <c r="G4" s="33" t="s">
        <v>2</v>
      </c>
      <c r="H4" s="1" t="s">
        <v>3</v>
      </c>
      <c r="I4" s="1" t="s">
        <v>3</v>
      </c>
      <c r="J4" s="10" t="s">
        <v>8</v>
      </c>
      <c r="K4" s="33" t="s">
        <v>2</v>
      </c>
      <c r="L4" s="1" t="s">
        <v>3</v>
      </c>
      <c r="M4" s="1" t="s">
        <v>3</v>
      </c>
      <c r="N4" s="10" t="s">
        <v>8</v>
      </c>
    </row>
    <row r="5" spans="2:14" ht="18" customHeight="1" x14ac:dyDescent="0.25">
      <c r="B5" s="38">
        <v>1</v>
      </c>
      <c r="C5" s="29">
        <v>54.593800000000002</v>
      </c>
      <c r="D5" s="39">
        <v>727.03452127757976</v>
      </c>
      <c r="E5" s="40">
        <v>169.3973212709333</v>
      </c>
      <c r="F5" s="41">
        <f>E5*1000*1000/31/24/3600/C5</f>
        <v>1.1584779651449879</v>
      </c>
      <c r="G5" s="34">
        <v>10.386438</v>
      </c>
      <c r="H5" s="39">
        <f>I5/(E5/D5)</f>
        <v>146.8573458641435</v>
      </c>
      <c r="I5" s="40">
        <f>J5*G5*31*24*3600/1000/1000</f>
        <v>34.217413713215997</v>
      </c>
      <c r="J5" s="41">
        <v>1.23</v>
      </c>
      <c r="K5" s="34">
        <v>1.15334</v>
      </c>
      <c r="L5" s="40">
        <f>M5/(E5/D5)</f>
        <v>16.307462797058172</v>
      </c>
      <c r="M5" s="40">
        <f>N5*K5*31*24*3600/1000/1000</f>
        <v>3.7996002028800002</v>
      </c>
      <c r="N5" s="41">
        <v>1.23</v>
      </c>
    </row>
    <row r="6" spans="2:14" ht="18" customHeight="1" x14ac:dyDescent="0.25">
      <c r="B6" s="31">
        <v>2</v>
      </c>
      <c r="C6" s="30">
        <v>142.60640000000001</v>
      </c>
      <c r="D6" s="24">
        <v>1634.202846066748</v>
      </c>
      <c r="E6" s="11">
        <v>376.76495765771188</v>
      </c>
      <c r="F6" s="12">
        <f t="shared" ref="F6:F21" si="0">E6*1000*1000/31/24/3600/C6</f>
        <v>0.98640678309278684</v>
      </c>
      <c r="G6" s="35">
        <v>112.97669599999999</v>
      </c>
      <c r="H6" s="24">
        <f t="shared" ref="H6:H17" si="1">I6/(E6/D6)</f>
        <v>1575.0016445953192</v>
      </c>
      <c r="I6" s="11">
        <f t="shared" ref="I6:I17" si="2">J6*G6*31*24*3600/1000/1000</f>
        <v>363.11613907967995</v>
      </c>
      <c r="J6" s="12">
        <v>1.2</v>
      </c>
      <c r="K6" s="35">
        <v>23.272729999999999</v>
      </c>
      <c r="L6" s="11">
        <f t="shared" ref="L6:L17" si="3">M6/(E6/D6)</f>
        <v>324.44379524271829</v>
      </c>
      <c r="M6" s="11">
        <f t="shared" ref="M6:M17" si="4">N6*K6*31*24*3600/1000/1000</f>
        <v>74.800416038400002</v>
      </c>
      <c r="N6" s="12">
        <v>1.2</v>
      </c>
    </row>
    <row r="7" spans="2:14" ht="18" customHeight="1" x14ac:dyDescent="0.25">
      <c r="B7" s="31">
        <v>3</v>
      </c>
      <c r="C7" s="30">
        <v>110.65809999999999</v>
      </c>
      <c r="D7" s="24">
        <v>1319.1424882003701</v>
      </c>
      <c r="E7" s="11">
        <v>303.15359904680969</v>
      </c>
      <c r="F7" s="12">
        <f t="shared" si="0"/>
        <v>1.0228314733195274</v>
      </c>
      <c r="G7" s="35">
        <v>147.784863</v>
      </c>
      <c r="H7" s="24">
        <f t="shared" si="1"/>
        <v>1739.6254140047984</v>
      </c>
      <c r="I7" s="11">
        <f t="shared" si="2"/>
        <v>399.78524682979202</v>
      </c>
      <c r="J7" s="12">
        <v>1.01</v>
      </c>
      <c r="K7" s="35">
        <v>0</v>
      </c>
      <c r="L7" s="11">
        <f t="shared" si="3"/>
        <v>0</v>
      </c>
      <c r="M7" s="11">
        <f t="shared" si="4"/>
        <v>0</v>
      </c>
      <c r="N7" s="12">
        <v>1.01</v>
      </c>
    </row>
    <row r="8" spans="2:14" ht="18" customHeight="1" x14ac:dyDescent="0.25">
      <c r="B8" s="31">
        <v>4</v>
      </c>
      <c r="C8" s="30">
        <v>67.195999999999998</v>
      </c>
      <c r="D8" s="24">
        <v>772.32117499832952</v>
      </c>
      <c r="E8" s="11">
        <v>175.99920655006389</v>
      </c>
      <c r="F8" s="12">
        <f t="shared" si="0"/>
        <v>0.97789415920912248</v>
      </c>
      <c r="G8" s="35">
        <v>67.013599999999997</v>
      </c>
      <c r="H8" s="24">
        <f t="shared" si="1"/>
        <v>795.51246937288624</v>
      </c>
      <c r="I8" s="11">
        <f t="shared" si="2"/>
        <v>181.28411850239999</v>
      </c>
      <c r="J8" s="12">
        <v>1.01</v>
      </c>
      <c r="K8" s="35">
        <v>12.292321000000001</v>
      </c>
      <c r="L8" s="11">
        <f t="shared" si="3"/>
        <v>145.92104637020225</v>
      </c>
      <c r="M8" s="11">
        <f t="shared" si="4"/>
        <v>33.252990092063996</v>
      </c>
      <c r="N8" s="12">
        <v>1.01</v>
      </c>
    </row>
    <row r="9" spans="2:14" ht="18" customHeight="1" x14ac:dyDescent="0.25">
      <c r="B9" s="31">
        <v>5</v>
      </c>
      <c r="C9" s="30">
        <v>73.179299999999998</v>
      </c>
      <c r="D9" s="24">
        <v>768.24287186193374</v>
      </c>
      <c r="E9" s="11">
        <v>176.82755430920619</v>
      </c>
      <c r="F9" s="12">
        <f t="shared" si="0"/>
        <v>0.90216557886659055</v>
      </c>
      <c r="G9" s="35">
        <v>46.409067999999998</v>
      </c>
      <c r="H9" s="24">
        <f t="shared" si="1"/>
        <v>594.04530448002129</v>
      </c>
      <c r="I9" s="11">
        <f t="shared" si="2"/>
        <v>136.73225250432003</v>
      </c>
      <c r="J9" s="12">
        <v>1.1000000000000001</v>
      </c>
      <c r="K9" s="35">
        <v>65.252418999999989</v>
      </c>
      <c r="L9" s="11">
        <f t="shared" si="3"/>
        <v>835.24394656908248</v>
      </c>
      <c r="M9" s="11">
        <f t="shared" si="4"/>
        <v>192.24928695455998</v>
      </c>
      <c r="N9" s="12">
        <v>1.1000000000000001</v>
      </c>
    </row>
    <row r="10" spans="2:14" ht="18" customHeight="1" x14ac:dyDescent="0.25">
      <c r="B10" s="31">
        <v>6</v>
      </c>
      <c r="C10" s="30">
        <v>89.3827</v>
      </c>
      <c r="D10" s="24">
        <v>1124.8322480046279</v>
      </c>
      <c r="E10" s="11">
        <v>257.27223765904421</v>
      </c>
      <c r="F10" s="12">
        <f t="shared" si="0"/>
        <v>1.07464251520873</v>
      </c>
      <c r="G10" s="35">
        <v>150.22808899999998</v>
      </c>
      <c r="H10" s="24">
        <f t="shared" si="1"/>
        <v>1970.3321173468548</v>
      </c>
      <c r="I10" s="11">
        <f t="shared" si="2"/>
        <v>450.65542320691202</v>
      </c>
      <c r="J10" s="12">
        <v>1.1200000000000001</v>
      </c>
      <c r="K10" s="35">
        <v>5.1571319999999998</v>
      </c>
      <c r="L10" s="11">
        <f t="shared" si="3"/>
        <v>67.638900824979672</v>
      </c>
      <c r="M10" s="11">
        <f t="shared" si="4"/>
        <v>15.470405830656</v>
      </c>
      <c r="N10" s="12">
        <v>1.1200000000000001</v>
      </c>
    </row>
    <row r="11" spans="2:14" ht="18" customHeight="1" x14ac:dyDescent="0.25">
      <c r="B11" s="31">
        <v>7</v>
      </c>
      <c r="C11" s="30">
        <v>527.73968000000002</v>
      </c>
      <c r="D11" s="24">
        <v>3598.9087338812101</v>
      </c>
      <c r="E11" s="11">
        <v>859.21665394478373</v>
      </c>
      <c r="F11" s="12">
        <f t="shared" si="0"/>
        <v>0.60786550735887968</v>
      </c>
      <c r="G11" s="35">
        <v>285.43950599999999</v>
      </c>
      <c r="H11" s="24">
        <f t="shared" si="1"/>
        <v>2081.4741472610986</v>
      </c>
      <c r="I11" s="11">
        <f t="shared" si="2"/>
        <v>496.93876236576006</v>
      </c>
      <c r="J11" s="12">
        <v>0.65</v>
      </c>
      <c r="K11" s="35">
        <v>0</v>
      </c>
      <c r="L11" s="11">
        <f t="shared" si="3"/>
        <v>0</v>
      </c>
      <c r="M11" s="11">
        <f t="shared" si="4"/>
        <v>0</v>
      </c>
      <c r="N11" s="12">
        <v>0.65</v>
      </c>
    </row>
    <row r="12" spans="2:14" ht="18" customHeight="1" x14ac:dyDescent="0.25">
      <c r="B12" s="31">
        <v>8</v>
      </c>
      <c r="C12" s="30">
        <v>105.15429999999999</v>
      </c>
      <c r="D12" s="24">
        <v>934.02395261922436</v>
      </c>
      <c r="E12" s="11">
        <v>218.35233856934599</v>
      </c>
      <c r="F12" s="12">
        <f t="shared" si="0"/>
        <v>0.77527427692782913</v>
      </c>
      <c r="G12" s="35">
        <v>162.43614700000001</v>
      </c>
      <c r="H12" s="24">
        <f t="shared" si="1"/>
        <v>1544.6723554500124</v>
      </c>
      <c r="I12" s="11">
        <f t="shared" si="2"/>
        <v>361.10725018358403</v>
      </c>
      <c r="J12" s="12">
        <v>0.83</v>
      </c>
      <c r="K12" s="35">
        <v>0</v>
      </c>
      <c r="L12" s="11">
        <f t="shared" si="3"/>
        <v>0</v>
      </c>
      <c r="M12" s="11">
        <f t="shared" si="4"/>
        <v>0</v>
      </c>
      <c r="N12" s="12">
        <v>0.83</v>
      </c>
    </row>
    <row r="13" spans="2:14" ht="18" customHeight="1" x14ac:dyDescent="0.25">
      <c r="B13" s="31">
        <v>9</v>
      </c>
      <c r="C13" s="30">
        <v>324.26010000000002</v>
      </c>
      <c r="D13" s="24">
        <v>2735.1443673656222</v>
      </c>
      <c r="E13" s="11">
        <v>638.50031045349863</v>
      </c>
      <c r="F13" s="12">
        <f t="shared" si="0"/>
        <v>0.73517742735897529</v>
      </c>
      <c r="G13" s="35">
        <v>357.86856899999998</v>
      </c>
      <c r="H13" s="24">
        <f t="shared" si="1"/>
        <v>3366.913717129592</v>
      </c>
      <c r="I13" s="11">
        <f t="shared" si="2"/>
        <v>785.98244367187181</v>
      </c>
      <c r="J13" s="12">
        <v>0.82</v>
      </c>
      <c r="K13" s="35">
        <v>0</v>
      </c>
      <c r="L13" s="11">
        <f t="shared" si="3"/>
        <v>0</v>
      </c>
      <c r="M13" s="11">
        <f t="shared" si="4"/>
        <v>0</v>
      </c>
      <c r="N13" s="12">
        <v>0.82</v>
      </c>
    </row>
    <row r="14" spans="2:14" ht="18" customHeight="1" x14ac:dyDescent="0.25">
      <c r="B14" s="31">
        <v>10</v>
      </c>
      <c r="C14" s="30">
        <v>189.87299999999999</v>
      </c>
      <c r="D14" s="24">
        <v>1949.9005024037169</v>
      </c>
      <c r="E14" s="11">
        <v>448.82585958594109</v>
      </c>
      <c r="F14" s="12">
        <f t="shared" si="0"/>
        <v>0.88254980369860991</v>
      </c>
      <c r="G14" s="35">
        <v>39.023783999999999</v>
      </c>
      <c r="H14" s="24">
        <f t="shared" si="1"/>
        <v>513.11869585389206</v>
      </c>
      <c r="I14" s="11">
        <f t="shared" si="2"/>
        <v>118.10907246412798</v>
      </c>
      <c r="J14" s="12">
        <v>1.1299999999999999</v>
      </c>
      <c r="K14" s="35">
        <v>0</v>
      </c>
      <c r="L14" s="11">
        <f t="shared" si="3"/>
        <v>0</v>
      </c>
      <c r="M14" s="11">
        <f t="shared" si="4"/>
        <v>0</v>
      </c>
      <c r="N14" s="12">
        <v>1.1299999999999999</v>
      </c>
    </row>
    <row r="15" spans="2:14" ht="18" customHeight="1" x14ac:dyDescent="0.25">
      <c r="B15" s="31">
        <v>11</v>
      </c>
      <c r="C15" s="30">
        <v>121.60599999999999</v>
      </c>
      <c r="D15" s="24">
        <v>1601.0551359752089</v>
      </c>
      <c r="E15" s="11">
        <v>364.2089548791277</v>
      </c>
      <c r="F15" s="12">
        <f t="shared" si="0"/>
        <v>1.1182017818019712</v>
      </c>
      <c r="G15" s="35">
        <v>152.21250000000001</v>
      </c>
      <c r="H15" s="24">
        <f t="shared" si="1"/>
        <v>1971.397079936075</v>
      </c>
      <c r="I15" s="11">
        <f t="shared" si="2"/>
        <v>448.45455600000003</v>
      </c>
      <c r="J15" s="12">
        <v>1.1000000000000001</v>
      </c>
      <c r="K15" s="35">
        <v>0</v>
      </c>
      <c r="L15" s="11">
        <f t="shared" si="3"/>
        <v>0</v>
      </c>
      <c r="M15" s="11">
        <f t="shared" si="4"/>
        <v>0</v>
      </c>
      <c r="N15" s="12">
        <v>1.1000000000000001</v>
      </c>
    </row>
    <row r="16" spans="2:14" ht="18" customHeight="1" x14ac:dyDescent="0.25">
      <c r="B16" s="31">
        <v>12</v>
      </c>
      <c r="C16" s="30">
        <v>123.75879999999999</v>
      </c>
      <c r="D16" s="24">
        <v>1005.163691228035</v>
      </c>
      <c r="E16" s="11">
        <v>237.15974286545409</v>
      </c>
      <c r="F16" s="12">
        <f t="shared" si="0"/>
        <v>0.71546673235282909</v>
      </c>
      <c r="G16" s="35">
        <v>344.33337699999998</v>
      </c>
      <c r="H16" s="24">
        <f t="shared" si="1"/>
        <v>4260.6599890906009</v>
      </c>
      <c r="I16" s="11">
        <f t="shared" si="2"/>
        <v>1005.266143482912</v>
      </c>
      <c r="J16" s="12">
        <v>1.0900000000000001</v>
      </c>
      <c r="K16" s="35">
        <v>56.337606999999991</v>
      </c>
      <c r="L16" s="11">
        <f t="shared" si="3"/>
        <v>697.10171612556303</v>
      </c>
      <c r="M16" s="11">
        <f t="shared" si="4"/>
        <v>164.47516478179196</v>
      </c>
      <c r="N16" s="12">
        <v>1.0900000000000001</v>
      </c>
    </row>
    <row r="17" spans="2:20" ht="18" customHeight="1" x14ac:dyDescent="0.25">
      <c r="B17" s="31">
        <v>13</v>
      </c>
      <c r="C17" s="30">
        <v>9.1692999999999998</v>
      </c>
      <c r="D17" s="24">
        <v>127.2056318552735</v>
      </c>
      <c r="E17" s="11">
        <v>29.754771989121501</v>
      </c>
      <c r="F17" s="42">
        <f t="shared" si="0"/>
        <v>1.2115602276575679</v>
      </c>
      <c r="G17" s="35">
        <v>0</v>
      </c>
      <c r="H17" s="24">
        <f t="shared" si="1"/>
        <v>0</v>
      </c>
      <c r="I17" s="11">
        <f t="shared" si="2"/>
        <v>0</v>
      </c>
      <c r="J17" s="12">
        <v>1.1599999999999999</v>
      </c>
      <c r="K17" s="35">
        <v>1.2316750000000001</v>
      </c>
      <c r="L17" s="11">
        <f t="shared" si="3"/>
        <v>16.359848020547226</v>
      </c>
      <c r="M17" s="11">
        <f t="shared" si="4"/>
        <v>3.8267452512000011</v>
      </c>
      <c r="N17" s="12">
        <v>1.1599999999999999</v>
      </c>
    </row>
    <row r="18" spans="2:20" ht="18" customHeight="1" x14ac:dyDescent="0.25">
      <c r="B18" s="38">
        <v>7</v>
      </c>
      <c r="C18" s="34">
        <v>37.451700000000002</v>
      </c>
      <c r="D18" s="39">
        <v>297.98852439490838</v>
      </c>
      <c r="E18" s="40">
        <v>69.815794890889237</v>
      </c>
      <c r="F18" s="12">
        <f t="shared" si="0"/>
        <v>0.69599595384878465</v>
      </c>
      <c r="G18" s="34"/>
      <c r="H18" s="39"/>
      <c r="I18" s="40"/>
      <c r="J18" s="41"/>
      <c r="K18" s="34"/>
      <c r="L18" s="40"/>
      <c r="M18" s="40"/>
      <c r="N18" s="41"/>
    </row>
    <row r="19" spans="2:20" ht="18" customHeight="1" x14ac:dyDescent="0.25">
      <c r="B19" s="31">
        <v>10</v>
      </c>
      <c r="C19" s="35">
        <v>1.3428</v>
      </c>
      <c r="D19" s="24">
        <v>18.725313915703381</v>
      </c>
      <c r="E19" s="11">
        <v>4.1792022436193328</v>
      </c>
      <c r="F19" s="12">
        <f t="shared" si="0"/>
        <v>1.1620013149746491</v>
      </c>
      <c r="G19" s="35"/>
      <c r="H19" s="24"/>
      <c r="I19" s="11"/>
      <c r="J19" s="12"/>
      <c r="K19" s="35"/>
      <c r="L19" s="11"/>
      <c r="M19" s="11"/>
      <c r="N19" s="12"/>
    </row>
    <row r="20" spans="2:20" ht="18" customHeight="1" x14ac:dyDescent="0.25">
      <c r="B20" s="31">
        <v>11</v>
      </c>
      <c r="C20" s="35">
        <v>1.3333999999999999</v>
      </c>
      <c r="D20" s="24">
        <v>20.565599356689169</v>
      </c>
      <c r="E20" s="11">
        <v>4.6758370819804282</v>
      </c>
      <c r="F20" s="12">
        <f t="shared" si="0"/>
        <v>1.3092527166821624</v>
      </c>
      <c r="G20" s="35"/>
      <c r="H20" s="24"/>
      <c r="I20" s="11"/>
      <c r="J20" s="12"/>
      <c r="K20" s="35"/>
      <c r="L20" s="11"/>
      <c r="M20" s="11"/>
      <c r="N20" s="12"/>
    </row>
    <row r="21" spans="2:20" ht="18" customHeight="1" x14ac:dyDescent="0.25">
      <c r="B21" s="32">
        <v>12</v>
      </c>
      <c r="C21" s="36">
        <v>5.4</v>
      </c>
      <c r="D21" s="25">
        <v>84.457241617407462</v>
      </c>
      <c r="E21" s="4">
        <v>18.64562352085715</v>
      </c>
      <c r="F21" s="42">
        <f t="shared" si="0"/>
        <v>1.2891626510615202</v>
      </c>
      <c r="G21" s="36"/>
      <c r="H21" s="25"/>
      <c r="I21" s="4"/>
      <c r="J21" s="42"/>
      <c r="K21" s="36"/>
      <c r="L21" s="4"/>
      <c r="M21" s="4"/>
      <c r="N21" s="42"/>
    </row>
    <row r="22" spans="2:20" ht="18" customHeight="1" x14ac:dyDescent="0.25">
      <c r="B22" s="43" t="s">
        <v>5</v>
      </c>
      <c r="C22" s="44">
        <f>SUM(C5:C21)</f>
        <v>1984.7053800000001</v>
      </c>
      <c r="D22" s="45">
        <f>SUM(D5:D21)</f>
        <v>18718.914845022595</v>
      </c>
      <c r="E22" s="45">
        <f>SUM(E5:E21)</f>
        <v>4352.7499665183886</v>
      </c>
      <c r="F22" s="46">
        <f>SUMPRODUCT(F5:F21,C5:C21)/C22</f>
        <v>0.81882715636578085</v>
      </c>
      <c r="G22" s="47">
        <f>SUM(G5:G21)</f>
        <v>1876.1126369999997</v>
      </c>
      <c r="H22" s="45">
        <f>SUM(H5:H21)</f>
        <v>20559.610280385295</v>
      </c>
      <c r="I22" s="45">
        <f>SUM(I5:I21)</f>
        <v>4781.6488220045758</v>
      </c>
      <c r="J22" s="154">
        <f>SUMPRODUCT(J5:J21,C5:C21)/C22</f>
        <v>0.90117922792147598</v>
      </c>
      <c r="K22" s="47">
        <f>SUM(K5:K21)</f>
        <v>164.69722399999998</v>
      </c>
      <c r="L22" s="45">
        <f>SUM(L5:L21)</f>
        <v>2103.0167159501511</v>
      </c>
      <c r="M22" s="45">
        <f>SUM(M5:M21)</f>
        <v>487.87460915155191</v>
      </c>
      <c r="N22" s="46">
        <f>SUMPRODUCT(N5:N21,C5:C21)/C22</f>
        <v>0.90117922792147598</v>
      </c>
    </row>
    <row r="27" spans="2:20" x14ac:dyDescent="0.25">
      <c r="Q27" s="37"/>
    </row>
    <row r="28" spans="2:20" x14ac:dyDescent="0.25">
      <c r="M28" s="37"/>
      <c r="Q28" s="37"/>
      <c r="T28" s="37"/>
    </row>
    <row r="29" spans="2:20" x14ac:dyDescent="0.25">
      <c r="M29" s="37"/>
      <c r="Q29" s="37"/>
      <c r="T29" s="37"/>
    </row>
    <row r="30" spans="2:20" x14ac:dyDescent="0.25">
      <c r="M30" s="37"/>
      <c r="Q30" s="37"/>
      <c r="T30" s="37"/>
    </row>
    <row r="31" spans="2:20" x14ac:dyDescent="0.25">
      <c r="M31" s="37"/>
      <c r="Q31" s="37"/>
      <c r="T31" s="37"/>
    </row>
    <row r="32" spans="2:20" x14ac:dyDescent="0.25">
      <c r="M32" s="37"/>
      <c r="Q32" s="37"/>
      <c r="T32" s="37"/>
    </row>
    <row r="33" spans="13:20" x14ac:dyDescent="0.25">
      <c r="M33" s="37"/>
      <c r="Q33" s="37"/>
      <c r="T33" s="37"/>
    </row>
    <row r="34" spans="13:20" x14ac:dyDescent="0.25">
      <c r="M34" s="37"/>
      <c r="Q34" s="37"/>
      <c r="T34" s="37"/>
    </row>
    <row r="35" spans="13:20" x14ac:dyDescent="0.25">
      <c r="Q35" s="37"/>
      <c r="T35" s="37"/>
    </row>
    <row r="36" spans="13:20" x14ac:dyDescent="0.25">
      <c r="Q36" s="37"/>
      <c r="T36" s="37"/>
    </row>
    <row r="37" spans="13:20" x14ac:dyDescent="0.25">
      <c r="Q37" s="37"/>
      <c r="T37" s="37"/>
    </row>
    <row r="38" spans="13:20" x14ac:dyDescent="0.25">
      <c r="Q38" s="37"/>
      <c r="T38" s="37"/>
    </row>
    <row r="39" spans="13:20" x14ac:dyDescent="0.25">
      <c r="T39" s="37"/>
    </row>
    <row r="40" spans="13:20" x14ac:dyDescent="0.25">
      <c r="T40" s="37"/>
    </row>
    <row r="41" spans="13:20" x14ac:dyDescent="0.25">
      <c r="T41" s="37"/>
    </row>
  </sheetData>
  <mergeCells count="5">
    <mergeCell ref="B3:B4"/>
    <mergeCell ref="C2:F2"/>
    <mergeCell ref="C1:N1"/>
    <mergeCell ref="G2:J2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</sheetPr>
  <dimension ref="B1:W31"/>
  <sheetViews>
    <sheetView rightToLeft="1" tabSelected="1" zoomScale="85" zoomScaleNormal="85" workbookViewId="0">
      <pane ySplit="4" topLeftCell="A10" activePane="bottomLeft" state="frozen"/>
      <selection activeCell="C1" sqref="C1"/>
      <selection pane="bottomLeft" activeCell="Q26" sqref="Q26"/>
    </sheetView>
  </sheetViews>
  <sheetFormatPr defaultColWidth="9.140625" defaultRowHeight="15" x14ac:dyDescent="0.25"/>
  <cols>
    <col min="1" max="1" width="9.140625" style="49"/>
    <col min="2" max="2" width="3" style="49" customWidth="1"/>
    <col min="3" max="3" width="8.140625" style="49" customWidth="1"/>
    <col min="4" max="5" width="13.5703125" style="49" customWidth="1"/>
    <col min="6" max="7" width="9.85546875" style="49" customWidth="1"/>
    <col min="8" max="8" width="10.5703125" style="49" customWidth="1"/>
    <col min="9" max="9" width="8.5703125" style="49" customWidth="1"/>
    <col min="10" max="10" width="10" style="49" customWidth="1"/>
    <col min="11" max="11" width="14.42578125" style="49" customWidth="1"/>
    <col min="12" max="12" width="10.28515625" style="49" customWidth="1"/>
    <col min="13" max="14" width="8.42578125" style="49" customWidth="1"/>
    <col min="15" max="15" width="9.7109375" style="49" customWidth="1"/>
    <col min="16" max="16" width="11.85546875" style="49" customWidth="1"/>
    <col min="17" max="17" width="9.42578125" style="49" bestFit="1" customWidth="1"/>
    <col min="18" max="18" width="11.28515625" style="49" customWidth="1"/>
    <col min="19" max="19" width="10.5703125" style="49" customWidth="1"/>
    <col min="20" max="20" width="11.5703125" style="49" customWidth="1"/>
    <col min="21" max="22" width="10.5703125" style="49" customWidth="1"/>
    <col min="23" max="23" width="12.7109375" style="49" customWidth="1"/>
    <col min="24" max="16384" width="9.140625" style="49"/>
  </cols>
  <sheetData>
    <row r="1" spans="3:23" ht="10.5" customHeight="1" x14ac:dyDescent="0.25"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pans="3:23" ht="24.75" customHeight="1" x14ac:dyDescent="0.6">
      <c r="C2" s="50"/>
      <c r="D2" s="50"/>
      <c r="E2" s="51" t="s">
        <v>16</v>
      </c>
      <c r="F2" s="48"/>
      <c r="G2" s="48"/>
      <c r="H2" s="48"/>
      <c r="I2" s="50"/>
      <c r="J2" s="50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3:23" ht="24" customHeight="1" x14ac:dyDescent="0.25">
      <c r="C3" s="166" t="s">
        <v>17</v>
      </c>
      <c r="D3" s="211" t="s">
        <v>18</v>
      </c>
      <c r="E3" s="168"/>
      <c r="F3" s="168"/>
      <c r="G3" s="168"/>
      <c r="H3" s="212"/>
      <c r="I3" s="169" t="s">
        <v>19</v>
      </c>
      <c r="J3" s="171" t="s">
        <v>20</v>
      </c>
      <c r="K3" s="173" t="s">
        <v>21</v>
      </c>
      <c r="L3" s="162" t="s">
        <v>22</v>
      </c>
      <c r="M3" s="163"/>
      <c r="N3" s="163"/>
      <c r="O3" s="163"/>
      <c r="P3" s="163"/>
      <c r="Q3" s="163"/>
      <c r="R3" s="164"/>
      <c r="S3" s="175" t="s">
        <v>23</v>
      </c>
      <c r="T3" s="176"/>
      <c r="U3" s="177"/>
      <c r="V3" s="168" t="s">
        <v>24</v>
      </c>
      <c r="W3" s="168"/>
    </row>
    <row r="4" spans="3:23" ht="41.25" customHeight="1" x14ac:dyDescent="0.25">
      <c r="C4" s="167"/>
      <c r="D4" s="52" t="s">
        <v>25</v>
      </c>
      <c r="E4" s="52" t="s">
        <v>43</v>
      </c>
      <c r="F4" s="53" t="s">
        <v>26</v>
      </c>
      <c r="G4" s="53" t="s">
        <v>27</v>
      </c>
      <c r="H4" s="53" t="s">
        <v>28</v>
      </c>
      <c r="I4" s="170"/>
      <c r="J4" s="172"/>
      <c r="K4" s="174"/>
      <c r="L4" s="54" t="s">
        <v>29</v>
      </c>
      <c r="M4" s="55" t="s">
        <v>26</v>
      </c>
      <c r="N4" s="55" t="s">
        <v>27</v>
      </c>
      <c r="O4" s="55" t="s">
        <v>28</v>
      </c>
      <c r="P4" s="56" t="s">
        <v>30</v>
      </c>
      <c r="Q4" s="57" t="s">
        <v>31</v>
      </c>
      <c r="R4" s="58" t="s">
        <v>32</v>
      </c>
      <c r="S4" s="59" t="s">
        <v>33</v>
      </c>
      <c r="T4" s="53" t="s">
        <v>34</v>
      </c>
      <c r="U4" s="60" t="s">
        <v>35</v>
      </c>
      <c r="V4" s="61" t="s">
        <v>36</v>
      </c>
      <c r="W4" s="61" t="s">
        <v>37</v>
      </c>
    </row>
    <row r="5" spans="3:23" ht="19.5" customHeight="1" x14ac:dyDescent="0.6">
      <c r="C5" s="50"/>
      <c r="D5" s="50"/>
      <c r="E5" s="51" t="s">
        <v>38</v>
      </c>
      <c r="F5" s="48"/>
      <c r="G5" s="48"/>
      <c r="H5" s="48"/>
      <c r="I5" s="50"/>
      <c r="J5" s="50"/>
      <c r="K5" s="48"/>
      <c r="L5" s="48"/>
      <c r="M5" s="48"/>
      <c r="N5" s="48"/>
      <c r="O5" s="48"/>
      <c r="P5" s="48"/>
      <c r="Q5" s="48"/>
      <c r="R5" s="48"/>
      <c r="S5" s="48"/>
      <c r="T5" s="62"/>
      <c r="U5" s="48"/>
      <c r="V5" s="48"/>
      <c r="W5" s="48"/>
    </row>
    <row r="6" spans="3:23" ht="19.5" customHeight="1" x14ac:dyDescent="0.25">
      <c r="C6" s="63">
        <v>1</v>
      </c>
      <c r="D6" s="64">
        <v>42.587899999999998</v>
      </c>
      <c r="E6" s="64">
        <v>54.593800000000002</v>
      </c>
      <c r="F6" s="109">
        <v>1.15334</v>
      </c>
      <c r="G6" s="110">
        <v>10.386438</v>
      </c>
      <c r="H6" s="150">
        <v>0</v>
      </c>
      <c r="I6" s="65">
        <v>0.1</v>
      </c>
      <c r="J6" s="66">
        <v>0.05</v>
      </c>
      <c r="K6" s="67">
        <f>SUM(E6:H6)*(1+I6)*(1+J6)</f>
        <v>76.384282590000012</v>
      </c>
      <c r="L6" s="68">
        <f>Sheet2!E5*1000/31/24/3600*1000</f>
        <v>63.245714333532447</v>
      </c>
      <c r="M6" s="72">
        <f>F6*Sheet2!N5</f>
        <v>1.4186082</v>
      </c>
      <c r="N6" s="73">
        <f>G6*Sheet2!J5</f>
        <v>12.775318739999999</v>
      </c>
      <c r="O6" s="73">
        <f>H6*Sheet2!N5</f>
        <v>0</v>
      </c>
      <c r="P6" s="69">
        <f t="shared" ref="P6:P22" si="0">SUM(L6:O6)*(J6+I6)</f>
        <v>11.615946191029868</v>
      </c>
      <c r="Q6" s="70">
        <v>0.05</v>
      </c>
      <c r="R6" s="71">
        <f t="shared" ref="R6:R22" si="1">SUM(L6:O6)*(1+J6)*(1+Q6)*(1+I6)</f>
        <v>93.91492495447649</v>
      </c>
      <c r="S6" s="72">
        <f>R6*3600*24*31/1000/1000</f>
        <v>251.54173499806984</v>
      </c>
      <c r="T6" s="73">
        <f>S6/U6</f>
        <v>1079.5892373832573</v>
      </c>
      <c r="U6" s="74">
        <f>(Sheet2!E5/Sheet2!D5)</f>
        <v>0.23299763121737363</v>
      </c>
      <c r="V6" s="75">
        <f t="shared" ref="V6:V22" si="2">R6/K6</f>
        <v>1.2295058848503413</v>
      </c>
      <c r="W6" s="76">
        <f t="shared" ref="W6:W22" si="3">T6*1000/K6</f>
        <v>14133.656830660524</v>
      </c>
    </row>
    <row r="7" spans="3:23" ht="19.5" customHeight="1" x14ac:dyDescent="0.25">
      <c r="C7" s="78">
        <v>2</v>
      </c>
      <c r="D7" s="79">
        <v>124.5886</v>
      </c>
      <c r="E7" s="79">
        <v>142.60640000000001</v>
      </c>
      <c r="F7" s="80">
        <v>23.272729999999999</v>
      </c>
      <c r="G7" s="81">
        <v>112.97669599999999</v>
      </c>
      <c r="H7" s="151">
        <v>0</v>
      </c>
      <c r="I7" s="82">
        <f t="shared" ref="I7:J18" si="4">I6</f>
        <v>0.1</v>
      </c>
      <c r="J7" s="83">
        <f>J6</f>
        <v>0.05</v>
      </c>
      <c r="K7" s="84">
        <f t="shared" ref="K7:K22" si="5">SUM(E7:H7)*(1+I7)*(1+J7)</f>
        <v>322.07847903000004</v>
      </c>
      <c r="L7" s="85">
        <f>Sheet2!E6*1000/31/24/3600*1000</f>
        <v>140.66792027244321</v>
      </c>
      <c r="M7" s="89">
        <f>F7*Sheet2!N6</f>
        <v>27.927275999999999</v>
      </c>
      <c r="N7" s="90">
        <f>G7*Sheet2!J6</f>
        <v>135.57203519999999</v>
      </c>
      <c r="O7" s="90">
        <f>H7*Sheet2!N6</f>
        <v>0</v>
      </c>
      <c r="P7" s="86">
        <f t="shared" si="0"/>
        <v>45.625084720866482</v>
      </c>
      <c r="Q7" s="87">
        <f t="shared" ref="Q7:Q18" si="6">Q6</f>
        <v>0.05</v>
      </c>
      <c r="R7" s="88">
        <f t="shared" si="1"/>
        <v>368.87880996820553</v>
      </c>
      <c r="S7" s="89">
        <f t="shared" ref="S7:S22" si="7">R7*3600*24*31/1000/1000</f>
        <v>988.00500461884178</v>
      </c>
      <c r="T7" s="90">
        <f t="shared" ref="T7:T22" si="8">S7/U7</f>
        <v>4285.4319587310292</v>
      </c>
      <c r="U7" s="91">
        <f>(Sheet2!E6/Sheet2!D6)</f>
        <v>0.23054968883729576</v>
      </c>
      <c r="V7" s="77">
        <f t="shared" si="2"/>
        <v>1.1453072278506577</v>
      </c>
      <c r="W7" s="92">
        <f t="shared" si="3"/>
        <v>13305.55202457927</v>
      </c>
    </row>
    <row r="8" spans="3:23" ht="19.5" customHeight="1" x14ac:dyDescent="0.25">
      <c r="C8" s="78">
        <v>3</v>
      </c>
      <c r="D8" s="79">
        <v>103.5865</v>
      </c>
      <c r="E8" s="79">
        <v>110.65809999999999</v>
      </c>
      <c r="F8" s="80">
        <v>0</v>
      </c>
      <c r="G8" s="81">
        <v>147.784863</v>
      </c>
      <c r="H8" s="151">
        <v>10</v>
      </c>
      <c r="I8" s="82">
        <f t="shared" si="4"/>
        <v>0.1</v>
      </c>
      <c r="J8" s="83">
        <f t="shared" si="4"/>
        <v>0.05</v>
      </c>
      <c r="K8" s="84">
        <f t="shared" si="5"/>
        <v>310.05162226499999</v>
      </c>
      <c r="L8" s="85">
        <f>Sheet2!E7*1000/31/24/3600*1000</f>
        <v>113.18458745773958</v>
      </c>
      <c r="M8" s="89">
        <f>F8*Sheet2!N7</f>
        <v>0</v>
      </c>
      <c r="N8" s="90">
        <f>G8*Sheet2!J7</f>
        <v>149.26271163000001</v>
      </c>
      <c r="O8" s="90">
        <f>H8*Sheet2!N7</f>
        <v>10.1</v>
      </c>
      <c r="P8" s="86">
        <f t="shared" si="0"/>
        <v>40.882094863160944</v>
      </c>
      <c r="Q8" s="87">
        <f t="shared" si="6"/>
        <v>0.05</v>
      </c>
      <c r="R8" s="88">
        <f t="shared" si="1"/>
        <v>330.53173696865628</v>
      </c>
      <c r="S8" s="89">
        <f t="shared" si="7"/>
        <v>885.29620429684883</v>
      </c>
      <c r="T8" s="90">
        <f t="shared" si="8"/>
        <v>3852.2776618929879</v>
      </c>
      <c r="U8" s="91">
        <f>(Sheet2!E7/Sheet2!D7)</f>
        <v>0.22981110968564483</v>
      </c>
      <c r="V8" s="77">
        <f t="shared" si="2"/>
        <v>1.0660538866206997</v>
      </c>
      <c r="W8" s="92">
        <f t="shared" si="3"/>
        <v>12424.633142543147</v>
      </c>
    </row>
    <row r="9" spans="3:23" ht="19.5" customHeight="1" x14ac:dyDescent="0.25">
      <c r="C9" s="93">
        <v>4</v>
      </c>
      <c r="D9" s="94">
        <v>51.905000000000001</v>
      </c>
      <c r="E9" s="94">
        <v>67.195999999999998</v>
      </c>
      <c r="F9" s="95">
        <v>12.292321000000001</v>
      </c>
      <c r="G9" s="96">
        <v>67.013599999999997</v>
      </c>
      <c r="H9" s="152">
        <v>0</v>
      </c>
      <c r="I9" s="97">
        <f t="shared" si="4"/>
        <v>0.1</v>
      </c>
      <c r="J9" s="98">
        <f t="shared" si="4"/>
        <v>0.05</v>
      </c>
      <c r="K9" s="99">
        <f t="shared" si="5"/>
        <v>169.20971875499998</v>
      </c>
      <c r="L9" s="100">
        <f>Sheet2!E8*1000/31/24/3600*1000</f>
        <v>65.710575922216208</v>
      </c>
      <c r="M9" s="104">
        <f>F9*Sheet2!N8</f>
        <v>12.415244210000001</v>
      </c>
      <c r="N9" s="105">
        <f>G9*Sheet2!J8</f>
        <v>67.683735999999996</v>
      </c>
      <c r="O9" s="105">
        <f>H9*Sheet2!N8</f>
        <v>0</v>
      </c>
      <c r="P9" s="101">
        <f t="shared" si="0"/>
        <v>21.871433419832432</v>
      </c>
      <c r="Q9" s="102">
        <f t="shared" si="6"/>
        <v>0.05</v>
      </c>
      <c r="R9" s="103">
        <f t="shared" si="1"/>
        <v>176.83053919934522</v>
      </c>
      <c r="S9" s="104">
        <f t="shared" si="7"/>
        <v>473.6229161915262</v>
      </c>
      <c r="T9" s="105">
        <f t="shared" si="8"/>
        <v>2078.3560011966547</v>
      </c>
      <c r="U9" s="106">
        <f>(Sheet2!E8/Sheet2!D8)</f>
        <v>0.22788344052646822</v>
      </c>
      <c r="V9" s="107">
        <f t="shared" si="2"/>
        <v>1.0450377230127041</v>
      </c>
      <c r="W9" s="108">
        <f t="shared" si="3"/>
        <v>12282.722390230563</v>
      </c>
    </row>
    <row r="10" spans="3:23" ht="19.5" customHeight="1" x14ac:dyDescent="0.25">
      <c r="C10" s="63">
        <v>5</v>
      </c>
      <c r="D10" s="64">
        <v>44.6798</v>
      </c>
      <c r="E10" s="64">
        <v>73.179299999999998</v>
      </c>
      <c r="F10" s="109">
        <v>65.252418999999989</v>
      </c>
      <c r="G10" s="110">
        <v>46.409067999999998</v>
      </c>
      <c r="H10" s="150">
        <v>23.8</v>
      </c>
      <c r="I10" s="111">
        <f t="shared" si="4"/>
        <v>0.1</v>
      </c>
      <c r="J10" s="112">
        <f t="shared" si="4"/>
        <v>0.05</v>
      </c>
      <c r="K10" s="67">
        <f t="shared" si="5"/>
        <v>240.98010898500002</v>
      </c>
      <c r="L10" s="68">
        <f>Sheet2!E9*1000/31/24/3600*1000</f>
        <v>66.019845545551902</v>
      </c>
      <c r="M10" s="72">
        <f>F10*Sheet2!N9</f>
        <v>71.777660900000001</v>
      </c>
      <c r="N10" s="73">
        <f>G10*Sheet2!J9</f>
        <v>51.049974800000001</v>
      </c>
      <c r="O10" s="73">
        <f>H10*Sheet2!N9</f>
        <v>26.180000000000003</v>
      </c>
      <c r="P10" s="113">
        <f t="shared" si="0"/>
        <v>32.254122186832788</v>
      </c>
      <c r="Q10" s="114">
        <f t="shared" si="6"/>
        <v>0.05</v>
      </c>
      <c r="R10" s="71">
        <f t="shared" si="1"/>
        <v>260.77457788054312</v>
      </c>
      <c r="S10" s="72">
        <f t="shared" si="7"/>
        <v>698.45862939524659</v>
      </c>
      <c r="T10" s="73">
        <f t="shared" si="8"/>
        <v>3034.5149850631506</v>
      </c>
      <c r="U10" s="74">
        <f>(Sheet2!E9/Sheet2!D9)</f>
        <v>0.23017142206688135</v>
      </c>
      <c r="V10" s="75">
        <f t="shared" si="2"/>
        <v>1.0821415052840533</v>
      </c>
      <c r="W10" s="76">
        <f t="shared" si="3"/>
        <v>12592.38780264655</v>
      </c>
    </row>
    <row r="11" spans="3:23" ht="19.5" customHeight="1" x14ac:dyDescent="0.25">
      <c r="C11" s="78">
        <v>6</v>
      </c>
      <c r="D11" s="79">
        <v>78.962400000000002</v>
      </c>
      <c r="E11" s="79">
        <v>89.3827</v>
      </c>
      <c r="F11" s="80">
        <v>5.1571319999999998</v>
      </c>
      <c r="G11" s="81">
        <v>150.22808899999998</v>
      </c>
      <c r="H11" s="151">
        <v>0</v>
      </c>
      <c r="I11" s="82">
        <f t="shared" si="4"/>
        <v>0.1</v>
      </c>
      <c r="J11" s="83">
        <f t="shared" si="4"/>
        <v>0.05</v>
      </c>
      <c r="K11" s="84">
        <f t="shared" si="5"/>
        <v>282.70694875500004</v>
      </c>
      <c r="L11" s="85">
        <f>Sheet2!E10*1000/31/24/3600*1000</f>
        <v>96.054449544147332</v>
      </c>
      <c r="M11" s="89">
        <f>F11*Sheet2!N10</f>
        <v>5.77598784</v>
      </c>
      <c r="N11" s="90">
        <f>G11*Sheet2!J10</f>
        <v>168.25545968</v>
      </c>
      <c r="O11" s="90">
        <f>H11*Sheet2!N10</f>
        <v>0</v>
      </c>
      <c r="P11" s="86">
        <f t="shared" si="0"/>
        <v>40.512884559622108</v>
      </c>
      <c r="Q11" s="87">
        <f t="shared" si="6"/>
        <v>0.05</v>
      </c>
      <c r="R11" s="88">
        <f t="shared" si="1"/>
        <v>327.5466716645447</v>
      </c>
      <c r="S11" s="89">
        <f t="shared" si="7"/>
        <v>877.30100538631655</v>
      </c>
      <c r="T11" s="90">
        <f t="shared" si="8"/>
        <v>3835.689661055505</v>
      </c>
      <c r="U11" s="91">
        <f>(Sheet2!E10/Sheet2!D10)</f>
        <v>0.228720538654032</v>
      </c>
      <c r="V11" s="77">
        <f t="shared" si="2"/>
        <v>1.1586084923169107</v>
      </c>
      <c r="W11" s="92">
        <f t="shared" si="3"/>
        <v>13567.723318960923</v>
      </c>
    </row>
    <row r="12" spans="3:23" ht="19.5" customHeight="1" x14ac:dyDescent="0.25">
      <c r="C12" s="78">
        <v>7</v>
      </c>
      <c r="D12" s="79">
        <v>452.69810000000001</v>
      </c>
      <c r="E12" s="79">
        <v>527.73968000000002</v>
      </c>
      <c r="F12" s="80">
        <v>0</v>
      </c>
      <c r="G12" s="81">
        <v>285.43950599999999</v>
      </c>
      <c r="H12" s="151">
        <v>0</v>
      </c>
      <c r="I12" s="82">
        <f t="shared" si="4"/>
        <v>0.1</v>
      </c>
      <c r="J12" s="83">
        <f t="shared" si="4"/>
        <v>0.05</v>
      </c>
      <c r="K12" s="84">
        <f t="shared" si="5"/>
        <v>939.22195983000017</v>
      </c>
      <c r="L12" s="85">
        <f>Sheet2!E11*1000/31/24/3600*1000</f>
        <v>320.79474833661277</v>
      </c>
      <c r="M12" s="89">
        <f>F12*Sheet2!N11</f>
        <v>0</v>
      </c>
      <c r="N12" s="90">
        <f>G12*Sheet2!J11</f>
        <v>185.53567889999999</v>
      </c>
      <c r="O12" s="90">
        <f>H12*Sheet2!N11</f>
        <v>0</v>
      </c>
      <c r="P12" s="86">
        <f t="shared" si="0"/>
        <v>75.949564085491929</v>
      </c>
      <c r="Q12" s="87">
        <f t="shared" si="6"/>
        <v>0.05</v>
      </c>
      <c r="R12" s="88">
        <f t="shared" si="1"/>
        <v>614.05222563120208</v>
      </c>
      <c r="S12" s="89">
        <f t="shared" si="7"/>
        <v>1644.6774811306116</v>
      </c>
      <c r="T12" s="90">
        <f t="shared" si="8"/>
        <v>6888.8843391053333</v>
      </c>
      <c r="U12" s="91">
        <f>(Sheet2!E11/Sheet2!D11)</f>
        <v>0.2387436630042489</v>
      </c>
      <c r="V12" s="77">
        <f t="shared" si="2"/>
        <v>0.65378819053841752</v>
      </c>
      <c r="W12" s="92">
        <f t="shared" si="3"/>
        <v>7334.6712851052016</v>
      </c>
    </row>
    <row r="13" spans="3:23" s="115" customFormat="1" ht="19.5" customHeight="1" x14ac:dyDescent="0.25">
      <c r="C13" s="93">
        <v>8</v>
      </c>
      <c r="D13" s="94">
        <v>111.2728</v>
      </c>
      <c r="E13" s="94">
        <v>105.15429999999999</v>
      </c>
      <c r="F13" s="95">
        <v>0</v>
      </c>
      <c r="G13" s="96">
        <v>162.43614700000001</v>
      </c>
      <c r="H13" s="152">
        <v>0</v>
      </c>
      <c r="I13" s="97">
        <f t="shared" si="4"/>
        <v>0.1</v>
      </c>
      <c r="J13" s="98">
        <f t="shared" si="4"/>
        <v>0.05</v>
      </c>
      <c r="K13" s="99">
        <f t="shared" si="5"/>
        <v>309.06696628499998</v>
      </c>
      <c r="L13" s="100">
        <f>Sheet2!E12*1000/31/24/3600*1000</f>
        <v>81.523423898352021</v>
      </c>
      <c r="M13" s="104">
        <f>F13*Sheet2!N12</f>
        <v>0</v>
      </c>
      <c r="N13" s="105">
        <f>G13*Sheet2!J12</f>
        <v>134.82200201000001</v>
      </c>
      <c r="O13" s="105">
        <f>H13*Sheet2!N12</f>
        <v>0</v>
      </c>
      <c r="P13" s="101">
        <f t="shared" si="0"/>
        <v>32.451813886252808</v>
      </c>
      <c r="Q13" s="102">
        <f t="shared" si="6"/>
        <v>0.05</v>
      </c>
      <c r="R13" s="103">
        <f t="shared" si="1"/>
        <v>262.37291527035399</v>
      </c>
      <c r="S13" s="104">
        <f t="shared" si="7"/>
        <v>702.73961626011612</v>
      </c>
      <c r="T13" s="105">
        <f t="shared" si="8"/>
        <v>3006.0389476109681</v>
      </c>
      <c r="U13" s="106">
        <f>(Sheet2!E12/Sheet2!D12)</f>
        <v>0.23377595184474051</v>
      </c>
      <c r="V13" s="107">
        <f t="shared" si="2"/>
        <v>0.84891930840778373</v>
      </c>
      <c r="W13" s="108">
        <f t="shared" si="3"/>
        <v>9726.1735336639285</v>
      </c>
    </row>
    <row r="14" spans="3:23" s="115" customFormat="1" ht="19.5" customHeight="1" x14ac:dyDescent="0.25">
      <c r="C14" s="63">
        <v>9</v>
      </c>
      <c r="D14" s="64">
        <v>386.35109999999997</v>
      </c>
      <c r="E14" s="64">
        <v>324.26010000000002</v>
      </c>
      <c r="F14" s="109">
        <v>0</v>
      </c>
      <c r="G14" s="110">
        <v>357.86856899999998</v>
      </c>
      <c r="H14" s="150">
        <v>0</v>
      </c>
      <c r="I14" s="111">
        <f t="shared" si="4"/>
        <v>0.1</v>
      </c>
      <c r="J14" s="112">
        <f t="shared" si="4"/>
        <v>0.05</v>
      </c>
      <c r="K14" s="67">
        <f t="shared" si="5"/>
        <v>787.85861269500003</v>
      </c>
      <c r="L14" s="68">
        <f>Sheet2!E13*1000/31/24/3600*1000</f>
        <v>238.38870611316403</v>
      </c>
      <c r="M14" s="72">
        <f>F14*Sheet2!N13</f>
        <v>0</v>
      </c>
      <c r="N14" s="73">
        <f>G14*Sheet2!J13</f>
        <v>293.45222657999994</v>
      </c>
      <c r="O14" s="73">
        <f>H14*Sheet2!N13</f>
        <v>0</v>
      </c>
      <c r="P14" s="113">
        <f t="shared" si="0"/>
        <v>79.77613990397461</v>
      </c>
      <c r="Q14" s="114">
        <f t="shared" si="6"/>
        <v>0.05</v>
      </c>
      <c r="R14" s="71">
        <f t="shared" si="1"/>
        <v>644.99009112363467</v>
      </c>
      <c r="S14" s="72">
        <f t="shared" si="7"/>
        <v>1727.5414600655429</v>
      </c>
      <c r="T14" s="73">
        <f t="shared" si="8"/>
        <v>7400.2709419715702</v>
      </c>
      <c r="U14" s="74">
        <f>(Sheet2!E13/Sheet2!D13)</f>
        <v>0.23344300142682256</v>
      </c>
      <c r="V14" s="75">
        <f t="shared" si="2"/>
        <v>0.81866223295743368</v>
      </c>
      <c r="W14" s="76">
        <f t="shared" si="3"/>
        <v>9392.8921036449992</v>
      </c>
    </row>
    <row r="15" spans="3:23" s="115" customFormat="1" ht="19.5" customHeight="1" x14ac:dyDescent="0.25">
      <c r="C15" s="78">
        <v>10</v>
      </c>
      <c r="D15" s="79">
        <v>152.72399999999999</v>
      </c>
      <c r="E15" s="79">
        <v>189.87299999999999</v>
      </c>
      <c r="F15" s="80">
        <v>0</v>
      </c>
      <c r="G15" s="81">
        <v>39.023783999999999</v>
      </c>
      <c r="H15" s="151">
        <v>0</v>
      </c>
      <c r="I15" s="82">
        <f t="shared" si="4"/>
        <v>0.1</v>
      </c>
      <c r="J15" s="83">
        <f t="shared" si="4"/>
        <v>0.05</v>
      </c>
      <c r="K15" s="84">
        <f t="shared" si="5"/>
        <v>264.37578552000002</v>
      </c>
      <c r="L15" s="85">
        <f>Sheet2!E14*1000/31/24/3600*1000</f>
        <v>167.57237887766618</v>
      </c>
      <c r="M15" s="89">
        <f>F15*Sheet2!N14</f>
        <v>0</v>
      </c>
      <c r="N15" s="90">
        <f>G15*Sheet2!J14</f>
        <v>44.096875919999995</v>
      </c>
      <c r="O15" s="90">
        <f>H15*Sheet2!N14</f>
        <v>0</v>
      </c>
      <c r="P15" s="86">
        <f t="shared" si="0"/>
        <v>31.750388219649931</v>
      </c>
      <c r="Q15" s="87">
        <f t="shared" si="6"/>
        <v>0.05</v>
      </c>
      <c r="R15" s="88">
        <f t="shared" si="1"/>
        <v>256.70188875586967</v>
      </c>
      <c r="S15" s="89">
        <f t="shared" si="7"/>
        <v>687.55033884372142</v>
      </c>
      <c r="T15" s="90">
        <f t="shared" si="8"/>
        <v>2987.0265326869162</v>
      </c>
      <c r="U15" s="91">
        <f>(Sheet2!E14/Sheet2!D14)</f>
        <v>0.23017885221971904</v>
      </c>
      <c r="V15" s="77">
        <f t="shared" si="2"/>
        <v>0.97097352638012369</v>
      </c>
      <c r="W15" s="92">
        <f t="shared" si="3"/>
        <v>11298.411943483181</v>
      </c>
    </row>
    <row r="16" spans="3:23" s="115" customFormat="1" ht="19.5" customHeight="1" x14ac:dyDescent="0.25">
      <c r="C16" s="78">
        <v>11</v>
      </c>
      <c r="D16" s="79">
        <v>106.37909999999999</v>
      </c>
      <c r="E16" s="79">
        <v>121.60599999999999</v>
      </c>
      <c r="F16" s="80">
        <v>0</v>
      </c>
      <c r="G16" s="81">
        <v>152.21250000000001</v>
      </c>
      <c r="H16" s="151">
        <v>0</v>
      </c>
      <c r="I16" s="82">
        <f t="shared" si="4"/>
        <v>0.1</v>
      </c>
      <c r="J16" s="83">
        <f t="shared" si="4"/>
        <v>0.05</v>
      </c>
      <c r="K16" s="84">
        <f t="shared" si="5"/>
        <v>316.26036750000003</v>
      </c>
      <c r="L16" s="85">
        <f>Sheet2!E15*1000/31/24/3600*1000</f>
        <v>135.98004587781051</v>
      </c>
      <c r="M16" s="89">
        <f>F16*Sheet2!N15</f>
        <v>0</v>
      </c>
      <c r="N16" s="90">
        <f>G16*Sheet2!J15</f>
        <v>167.43375000000003</v>
      </c>
      <c r="O16" s="90">
        <f>H16*Sheet2!N15</f>
        <v>0</v>
      </c>
      <c r="P16" s="86">
        <f t="shared" si="0"/>
        <v>45.512069381671594</v>
      </c>
      <c r="Q16" s="87">
        <f t="shared" si="6"/>
        <v>0.05</v>
      </c>
      <c r="R16" s="88">
        <f t="shared" si="1"/>
        <v>367.96508095081481</v>
      </c>
      <c r="S16" s="89">
        <f t="shared" si="7"/>
        <v>985.55767281866235</v>
      </c>
      <c r="T16" s="90">
        <f t="shared" si="8"/>
        <v>4332.4914248464102</v>
      </c>
      <c r="U16" s="91">
        <f>(Sheet2!E15/Sheet2!D15)</f>
        <v>0.22748058245807168</v>
      </c>
      <c r="V16" s="77">
        <f t="shared" si="2"/>
        <v>1.1634878055051106</v>
      </c>
      <c r="W16" s="92">
        <f t="shared" si="3"/>
        <v>13699.128534802609</v>
      </c>
    </row>
    <row r="17" spans="2:23" ht="19.5" customHeight="1" x14ac:dyDescent="0.25">
      <c r="C17" s="93">
        <v>12</v>
      </c>
      <c r="D17" s="94">
        <v>85.039299999999997</v>
      </c>
      <c r="E17" s="94">
        <v>123.75879999999999</v>
      </c>
      <c r="F17" s="95">
        <v>56.337606999999991</v>
      </c>
      <c r="G17" s="96">
        <v>344.33337699999998</v>
      </c>
      <c r="H17" s="152">
        <v>40</v>
      </c>
      <c r="I17" s="97">
        <f t="shared" si="4"/>
        <v>0.1</v>
      </c>
      <c r="J17" s="98">
        <f t="shared" si="4"/>
        <v>0.05</v>
      </c>
      <c r="K17" s="99">
        <f>SUM(E17:H17)*(1+I17)*(1+J17)</f>
        <v>651.91640051999991</v>
      </c>
      <c r="L17" s="100">
        <f>Sheet2!E16*1000/31/24/3600*1000</f>
        <v>88.545304235907295</v>
      </c>
      <c r="M17" s="104">
        <f>F17*Sheet2!N16</f>
        <v>61.407991629999998</v>
      </c>
      <c r="N17" s="105">
        <f>G17*Sheet2!J16</f>
        <v>375.32338092999998</v>
      </c>
      <c r="O17" s="105">
        <f>H17*Sheet2!N16</f>
        <v>43.6</v>
      </c>
      <c r="P17" s="101">
        <f t="shared" si="0"/>
        <v>85.331501519386109</v>
      </c>
      <c r="Q17" s="102">
        <f t="shared" si="6"/>
        <v>0.05</v>
      </c>
      <c r="R17" s="103">
        <f t="shared" si="1"/>
        <v>689.90518978423665</v>
      </c>
      <c r="S17" s="104">
        <f t="shared" si="7"/>
        <v>1847.8420603180998</v>
      </c>
      <c r="T17" s="105">
        <f t="shared" si="8"/>
        <v>7831.783437248424</v>
      </c>
      <c r="U17" s="106">
        <f>(Sheet2!E16/Sheet2!D16)</f>
        <v>0.23594141425433879</v>
      </c>
      <c r="V17" s="107">
        <f t="shared" si="2"/>
        <v>1.0582724859106705</v>
      </c>
      <c r="W17" s="108">
        <f t="shared" si="3"/>
        <v>12013.478156097033</v>
      </c>
    </row>
    <row r="18" spans="2:23" ht="19.5" customHeight="1" x14ac:dyDescent="0.25">
      <c r="C18" s="116">
        <v>13</v>
      </c>
      <c r="D18" s="117">
        <v>7.2237</v>
      </c>
      <c r="E18" s="117">
        <v>9.1692999999999998</v>
      </c>
      <c r="F18" s="118">
        <v>1.2316750000000001</v>
      </c>
      <c r="G18" s="119">
        <v>0</v>
      </c>
      <c r="H18" s="153">
        <v>0</v>
      </c>
      <c r="I18" s="120">
        <f t="shared" si="4"/>
        <v>0.1</v>
      </c>
      <c r="J18" s="121">
        <f t="shared" si="4"/>
        <v>0.05</v>
      </c>
      <c r="K18" s="122">
        <f t="shared" si="5"/>
        <v>12.013126125000001</v>
      </c>
      <c r="L18" s="123">
        <f>Sheet2!E17*1000/31/24/3600*1000</f>
        <v>11.109159195460537</v>
      </c>
      <c r="M18" s="127">
        <f>F18*Sheet2!N17</f>
        <v>1.4287430000000001</v>
      </c>
      <c r="N18" s="128">
        <f>G18*Sheet2!J17</f>
        <v>0</v>
      </c>
      <c r="O18" s="128">
        <f>H18*Sheet2!N17</f>
        <v>0</v>
      </c>
      <c r="P18" s="124">
        <f t="shared" si="0"/>
        <v>1.8806853293190808</v>
      </c>
      <c r="Q18" s="125">
        <f t="shared" si="6"/>
        <v>0.05</v>
      </c>
      <c r="R18" s="126">
        <f t="shared" si="1"/>
        <v>15.20534088754477</v>
      </c>
      <c r="S18" s="127">
        <f t="shared" si="7"/>
        <v>40.725985033199912</v>
      </c>
      <c r="T18" s="128">
        <f t="shared" si="8"/>
        <v>174.10903571940162</v>
      </c>
      <c r="U18" s="129">
        <f>(Sheet2!E17/Sheet2!D17)</f>
        <v>0.23391080689709237</v>
      </c>
      <c r="V18" s="130">
        <f t="shared" si="2"/>
        <v>1.265727232805921</v>
      </c>
      <c r="W18" s="131">
        <f t="shared" si="3"/>
        <v>14493.232977640248</v>
      </c>
    </row>
    <row r="19" spans="2:23" ht="19.5" customHeight="1" x14ac:dyDescent="0.25">
      <c r="B19" s="165" t="s">
        <v>42</v>
      </c>
      <c r="C19" s="78">
        <v>7</v>
      </c>
      <c r="D19" s="213">
        <v>33.664000000000001</v>
      </c>
      <c r="E19" s="79">
        <v>37.451700000000002</v>
      </c>
      <c r="F19" s="80">
        <v>0</v>
      </c>
      <c r="G19" s="81">
        <v>0</v>
      </c>
      <c r="H19" s="151">
        <v>0</v>
      </c>
      <c r="I19" s="82">
        <v>0</v>
      </c>
      <c r="J19" s="83">
        <v>0</v>
      </c>
      <c r="K19" s="132">
        <f t="shared" si="5"/>
        <v>37.451700000000002</v>
      </c>
      <c r="L19" s="79">
        <f>Sheet2!E18*1000/31/24/3600*1000</f>
        <v>26.066231664758529</v>
      </c>
      <c r="M19" s="89">
        <f>F19*Sheet2!N18</f>
        <v>0</v>
      </c>
      <c r="N19" s="90">
        <f>G19*Sheet2!J18</f>
        <v>0</v>
      </c>
      <c r="O19" s="90">
        <f>H19*Sheet2!N18</f>
        <v>0</v>
      </c>
      <c r="P19" s="86">
        <f t="shared" si="0"/>
        <v>0</v>
      </c>
      <c r="Q19" s="87">
        <v>0.05</v>
      </c>
      <c r="R19" s="133">
        <f t="shared" si="1"/>
        <v>27.369543247996457</v>
      </c>
      <c r="S19" s="134">
        <f t="shared" si="7"/>
        <v>73.306584635433708</v>
      </c>
      <c r="T19" s="135">
        <f t="shared" si="8"/>
        <v>312.88795061465385</v>
      </c>
      <c r="U19" s="91">
        <f>(Sheet2!E18/Sheet2!D18)</f>
        <v>0.23429021313037568</v>
      </c>
      <c r="V19" s="77">
        <f t="shared" si="2"/>
        <v>0.73079575154122389</v>
      </c>
      <c r="W19" s="92">
        <f t="shared" si="3"/>
        <v>8354.4392007479983</v>
      </c>
    </row>
    <row r="20" spans="2:23" ht="19.5" customHeight="1" x14ac:dyDescent="0.25">
      <c r="B20" s="165"/>
      <c r="C20" s="78">
        <v>10</v>
      </c>
      <c r="D20" s="214"/>
      <c r="E20" s="79">
        <v>1.3428</v>
      </c>
      <c r="F20" s="80">
        <v>0</v>
      </c>
      <c r="G20" s="81">
        <v>0</v>
      </c>
      <c r="H20" s="151">
        <v>0</v>
      </c>
      <c r="I20" s="82">
        <v>0</v>
      </c>
      <c r="J20" s="83">
        <v>0</v>
      </c>
      <c r="K20" s="132">
        <f t="shared" si="5"/>
        <v>1.3428</v>
      </c>
      <c r="L20" s="79">
        <f>Sheet2!E19*1000/31/24/3600*1000</f>
        <v>1.5603353657479591</v>
      </c>
      <c r="M20" s="89">
        <f>F20*Sheet2!N19</f>
        <v>0</v>
      </c>
      <c r="N20" s="90">
        <f>G20*Sheet2!J19</f>
        <v>0</v>
      </c>
      <c r="O20" s="90">
        <f>H20*Sheet2!N19</f>
        <v>0</v>
      </c>
      <c r="P20" s="86">
        <f t="shared" si="0"/>
        <v>0</v>
      </c>
      <c r="Q20" s="87">
        <f t="shared" ref="Q20:Q22" si="9">Q19</f>
        <v>0.05</v>
      </c>
      <c r="R20" s="133">
        <f t="shared" si="1"/>
        <v>1.6383521340353571</v>
      </c>
      <c r="S20" s="134">
        <f t="shared" si="7"/>
        <v>4.3881623558003016</v>
      </c>
      <c r="T20" s="135">
        <f t="shared" si="8"/>
        <v>19.661579611488559</v>
      </c>
      <c r="U20" s="91">
        <f>(Sheet2!E19/Sheet2!D19)</f>
        <v>0.22318462923682039</v>
      </c>
      <c r="V20" s="77">
        <f t="shared" si="2"/>
        <v>1.2201013807233818</v>
      </c>
      <c r="W20" s="92">
        <f t="shared" si="3"/>
        <v>14642.224911743044</v>
      </c>
    </row>
    <row r="21" spans="2:23" ht="19.5" customHeight="1" x14ac:dyDescent="0.25">
      <c r="B21" s="165"/>
      <c r="C21" s="78">
        <v>11</v>
      </c>
      <c r="D21" s="214"/>
      <c r="E21" s="79">
        <v>1.3333999999999999</v>
      </c>
      <c r="F21" s="80">
        <v>0</v>
      </c>
      <c r="G21" s="81">
        <v>0</v>
      </c>
      <c r="H21" s="151">
        <v>0</v>
      </c>
      <c r="I21" s="82">
        <v>0</v>
      </c>
      <c r="J21" s="83">
        <v>0</v>
      </c>
      <c r="K21" s="132">
        <f t="shared" si="5"/>
        <v>1.3333999999999999</v>
      </c>
      <c r="L21" s="79">
        <f>Sheet2!E20*1000/31/24/3600*1000</f>
        <v>1.7457575724239951</v>
      </c>
      <c r="M21" s="89">
        <f>F21*Sheet2!N20</f>
        <v>0</v>
      </c>
      <c r="N21" s="90">
        <f>G21*Sheet2!J20</f>
        <v>0</v>
      </c>
      <c r="O21" s="90">
        <f>H21*Sheet2!N20</f>
        <v>0</v>
      </c>
      <c r="P21" s="86">
        <f t="shared" si="0"/>
        <v>0</v>
      </c>
      <c r="Q21" s="87">
        <f>Q20</f>
        <v>0.05</v>
      </c>
      <c r="R21" s="133">
        <f t="shared" si="1"/>
        <v>1.833045451045195</v>
      </c>
      <c r="S21" s="134">
        <f t="shared" si="7"/>
        <v>4.9096289360794501</v>
      </c>
      <c r="T21" s="135">
        <f t="shared" si="8"/>
        <v>21.59387932452363</v>
      </c>
      <c r="U21" s="91">
        <f>(Sheet2!E20/Sheet2!D20)</f>
        <v>0.22736206229066525</v>
      </c>
      <c r="V21" s="77">
        <f t="shared" si="2"/>
        <v>1.3747153525162705</v>
      </c>
      <c r="W21" s="92">
        <f t="shared" si="3"/>
        <v>16194.599763404553</v>
      </c>
    </row>
    <row r="22" spans="2:23" ht="19.5" customHeight="1" x14ac:dyDescent="0.25">
      <c r="B22" s="165"/>
      <c r="C22" s="78">
        <v>12</v>
      </c>
      <c r="D22" s="215"/>
      <c r="E22" s="79">
        <v>5.4</v>
      </c>
      <c r="F22" s="80">
        <v>0</v>
      </c>
      <c r="G22" s="81">
        <v>0</v>
      </c>
      <c r="H22" s="151">
        <v>0</v>
      </c>
      <c r="I22" s="82">
        <v>0</v>
      </c>
      <c r="J22" s="83">
        <v>0</v>
      </c>
      <c r="K22" s="132">
        <f t="shared" si="5"/>
        <v>5.4</v>
      </c>
      <c r="L22" s="79">
        <f>Sheet2!E21*1000/31/24/3600*1000</f>
        <v>6.9614783157322089</v>
      </c>
      <c r="M22" s="89">
        <f>F22*Sheet2!N21</f>
        <v>0</v>
      </c>
      <c r="N22" s="90">
        <f>G22*Sheet2!J21</f>
        <v>0</v>
      </c>
      <c r="O22" s="90">
        <f>H22*Sheet2!N21</f>
        <v>0</v>
      </c>
      <c r="P22" s="86">
        <f t="shared" si="0"/>
        <v>0</v>
      </c>
      <c r="Q22" s="87">
        <f t="shared" si="9"/>
        <v>0.05</v>
      </c>
      <c r="R22" s="133">
        <f t="shared" si="1"/>
        <v>7.3095522315188193</v>
      </c>
      <c r="S22" s="134">
        <f t="shared" si="7"/>
        <v>19.577904696899999</v>
      </c>
      <c r="T22" s="135">
        <f t="shared" si="8"/>
        <v>88.68010369827779</v>
      </c>
      <c r="U22" s="91">
        <f>(Sheet2!E21/Sheet2!D21)</f>
        <v>0.22076997974101614</v>
      </c>
      <c r="V22" s="77">
        <f t="shared" si="2"/>
        <v>1.3536207836145961</v>
      </c>
      <c r="W22" s="92">
        <f t="shared" si="3"/>
        <v>16422.241425606997</v>
      </c>
    </row>
    <row r="23" spans="2:23" ht="29.25" customHeight="1" x14ac:dyDescent="0.25">
      <c r="C23" s="136" t="s">
        <v>39</v>
      </c>
      <c r="D23" s="208"/>
      <c r="E23" s="137">
        <f>SUM(E6:E22)</f>
        <v>1984.7053800000001</v>
      </c>
      <c r="F23" s="138">
        <f>SUM(F6:F22)</f>
        <v>164.69722399999998</v>
      </c>
      <c r="G23" s="138">
        <f>SUM(G6:G22)</f>
        <v>1876.1126369999997</v>
      </c>
      <c r="H23" s="138">
        <f>SUM(H6:H22)</f>
        <v>73.8</v>
      </c>
      <c r="I23" s="139">
        <f>SUM($E23:$H23)*(I24)</f>
        <v>400.52795134600643</v>
      </c>
      <c r="J23" s="138">
        <f>SUM($E23:$I23)*(J24)</f>
        <v>219.83098020645974</v>
      </c>
      <c r="K23" s="140">
        <f t="shared" ref="K23:P23" si="10">SUM(K6:K22)</f>
        <v>4727.6522788550001</v>
      </c>
      <c r="L23" s="138">
        <f t="shared" si="10"/>
        <v>1625.1306625292664</v>
      </c>
      <c r="M23" s="138">
        <f t="shared" si="10"/>
        <v>182.15151177999999</v>
      </c>
      <c r="N23" s="138">
        <f t="shared" si="10"/>
        <v>1785.2631503899997</v>
      </c>
      <c r="O23" s="138">
        <f t="shared" si="10"/>
        <v>79.88</v>
      </c>
      <c r="P23" s="141">
        <f t="shared" si="10"/>
        <v>545.41372826709073</v>
      </c>
      <c r="Q23" s="142">
        <f>SUM($L23:$P23)*(Q24)</f>
        <v>210.89195264831781</v>
      </c>
      <c r="R23" s="143">
        <f>SUM(R6:R22)</f>
        <v>4447.8204861040231</v>
      </c>
      <c r="S23" s="144">
        <f>SUM(S6:S22)</f>
        <v>11913.042389981016</v>
      </c>
      <c r="T23" s="145">
        <f>SUM(T6:T22)</f>
        <v>51229.287677760556</v>
      </c>
      <c r="U23" s="146">
        <f>SUMPRODUCT(U6:U22,K6:K22)/K23</f>
        <v>0.23317910589507318</v>
      </c>
      <c r="V23" s="147">
        <f>SUMPRODUCT(V6:V22,K6:K22)/K23</f>
        <v>0.94080956545756156</v>
      </c>
      <c r="W23" s="148">
        <f>ROUND(SUMPRODUCT(W6:W22,K6:K22)/K23,-1)</f>
        <v>10840</v>
      </c>
    </row>
    <row r="24" spans="2:23" s="149" customFormat="1" ht="29.25" customHeight="1" x14ac:dyDescent="0.25">
      <c r="C24" s="216"/>
      <c r="D24" s="216"/>
      <c r="E24" s="217" t="s">
        <v>40</v>
      </c>
      <c r="F24" s="217"/>
      <c r="G24" s="217" t="s">
        <v>41</v>
      </c>
      <c r="H24" s="217"/>
      <c r="I24" s="218">
        <f>SUMPRODUCT(I6:I22,$E6:$E22)/$E23</f>
        <v>9.7706062549193076E-2</v>
      </c>
      <c r="J24" s="218">
        <f>SUMPRODUCT(J6:J22,$E6:$E22)/$E23</f>
        <v>4.8853031274596538E-2</v>
      </c>
      <c r="K24" s="216"/>
      <c r="L24" s="219">
        <f>L23/1000*3600*24*31/U23/1000/1000</f>
        <v>18.666981116554478</v>
      </c>
      <c r="M24" s="216"/>
      <c r="N24" s="216"/>
      <c r="O24" s="216"/>
      <c r="P24" s="216"/>
      <c r="Q24" s="218">
        <f>SUMPRODUCT(Q6:Q22,$E6:$E22)/$E23</f>
        <v>4.9999999999999996E-2</v>
      </c>
      <c r="R24" s="220">
        <f>R23/L23</f>
        <v>2.7369002312599733</v>
      </c>
      <c r="S24" s="216"/>
      <c r="T24" s="219">
        <f>T23/1000</f>
        <v>51.229287677760553</v>
      </c>
      <c r="U24" s="216"/>
      <c r="V24" s="216"/>
      <c r="W24" s="219">
        <f>W23*K23/1000/1000</f>
        <v>51.247750702788203</v>
      </c>
    </row>
    <row r="28" spans="2:23" ht="21.75" customHeight="1" x14ac:dyDescent="0.25">
      <c r="B28" s="165" t="s">
        <v>44</v>
      </c>
      <c r="C28" s="192">
        <v>14</v>
      </c>
      <c r="D28" s="209"/>
      <c r="E28" s="193">
        <v>3620.8160086580092</v>
      </c>
      <c r="F28" s="194">
        <v>0</v>
      </c>
      <c r="G28" s="195">
        <v>7000</v>
      </c>
      <c r="H28" s="196">
        <v>0</v>
      </c>
      <c r="I28" s="197">
        <f>I27</f>
        <v>0</v>
      </c>
      <c r="J28" s="198">
        <f>J27</f>
        <v>0</v>
      </c>
      <c r="K28" s="199">
        <f>SUM(E28:H28)*(1+I28)*(1+J28)</f>
        <v>10620.81600865801</v>
      </c>
      <c r="L28" s="193">
        <v>359.43083755425181</v>
      </c>
      <c r="M28" s="200">
        <v>0</v>
      </c>
      <c r="N28" s="201">
        <v>970.70663516944205</v>
      </c>
      <c r="O28" s="201">
        <v>0</v>
      </c>
      <c r="P28" s="202">
        <f t="shared" ref="P28:P29" si="11">SUM(L28:O28)*(J28+I28)</f>
        <v>0</v>
      </c>
      <c r="Q28" s="203">
        <f>Q8</f>
        <v>0.05</v>
      </c>
      <c r="R28" s="204">
        <f>SUM(L28:O28)*(1+J28)*(1+Q28)*(1+I28)</f>
        <v>1396.6443463598787</v>
      </c>
      <c r="S28" s="200">
        <f t="shared" ref="S28" si="12">R28*3600*24*31/1000/1000</f>
        <v>3740.7722172902991</v>
      </c>
      <c r="T28" s="201">
        <f t="shared" ref="T28" si="13">S28/U28</f>
        <v>16264.227031696952</v>
      </c>
      <c r="U28" s="205">
        <v>0.23</v>
      </c>
      <c r="V28" s="206">
        <f>R28/K28</f>
        <v>0.13150066296425289</v>
      </c>
      <c r="W28" s="207">
        <f>T28*1000/K28</f>
        <v>1531.3538073193693</v>
      </c>
    </row>
    <row r="29" spans="2:23" ht="21.75" customHeight="1" x14ac:dyDescent="0.25">
      <c r="B29" s="165"/>
      <c r="C29" s="178">
        <v>15</v>
      </c>
      <c r="D29" s="210"/>
      <c r="E29" s="179">
        <v>181</v>
      </c>
      <c r="F29" s="180">
        <v>0</v>
      </c>
      <c r="G29" s="180">
        <v>0</v>
      </c>
      <c r="H29" s="181">
        <v>0</v>
      </c>
      <c r="I29" s="182">
        <f t="shared" ref="I29:J29" si="14">I28</f>
        <v>0</v>
      </c>
      <c r="J29" s="183">
        <f t="shared" si="14"/>
        <v>0</v>
      </c>
      <c r="K29" s="184">
        <f>SUM(E29:H29)*(1+I29)*(1+J29)</f>
        <v>181</v>
      </c>
      <c r="L29" s="179">
        <v>17.967491704012819</v>
      </c>
      <c r="M29" s="185">
        <v>0</v>
      </c>
      <c r="N29" s="186">
        <v>0</v>
      </c>
      <c r="O29" s="186">
        <v>0</v>
      </c>
      <c r="P29" s="187">
        <f t="shared" si="11"/>
        <v>0</v>
      </c>
      <c r="Q29" s="188">
        <f>Q28</f>
        <v>0.05</v>
      </c>
      <c r="R29" s="189">
        <f>SUM(L29:O29)*(1+J29)*(1+Q29)*(1+I29)</f>
        <v>18.865866289213461</v>
      </c>
      <c r="S29" s="185">
        <f t="shared" ref="S29" si="15">R29*3600*24*31/1000/1000</f>
        <v>50.530336269029334</v>
      </c>
      <c r="T29" s="186">
        <f t="shared" ref="T29" si="16">S29/U29</f>
        <v>219.69711421317101</v>
      </c>
      <c r="U29" s="205">
        <v>0.23</v>
      </c>
      <c r="V29" s="190">
        <f>R29/K29</f>
        <v>0.10423130546526774</v>
      </c>
      <c r="W29" s="191">
        <f>T29*1000/K29</f>
        <v>1213.7962111224917</v>
      </c>
    </row>
    <row r="30" spans="2:23" ht="29.25" customHeight="1" x14ac:dyDescent="0.25">
      <c r="C30" s="136" t="s">
        <v>39</v>
      </c>
      <c r="D30" s="208"/>
      <c r="E30" s="137">
        <f>SUM(E28:E29)</f>
        <v>3801.8160086580092</v>
      </c>
      <c r="F30" s="138">
        <f>SUM(F28:F29)</f>
        <v>0</v>
      </c>
      <c r="G30" s="138">
        <f>SUM(G28:G29)</f>
        <v>7000</v>
      </c>
      <c r="H30" s="138">
        <f>SUM(H28:H29)</f>
        <v>0</v>
      </c>
      <c r="I30" s="139">
        <f>SUM($E30:$H30)*(I31)</f>
        <v>0</v>
      </c>
      <c r="J30" s="138">
        <f>SUM($E30:$I30)*(J31)</f>
        <v>0</v>
      </c>
      <c r="K30" s="140">
        <f>SUM(K28:K29)</f>
        <v>10801.81600865801</v>
      </c>
      <c r="L30" s="138">
        <f>SUM(L28:L29)</f>
        <v>377.39832925826465</v>
      </c>
      <c r="M30" s="138">
        <f>SUM(M28:M29)</f>
        <v>0</v>
      </c>
      <c r="N30" s="138">
        <f>SUM(N28:N29)</f>
        <v>970.70663516944205</v>
      </c>
      <c r="O30" s="138">
        <f>SUM(O28:O29)</f>
        <v>0</v>
      </c>
      <c r="P30" s="141">
        <f>SUM(P28:P29)</f>
        <v>0</v>
      </c>
      <c r="Q30" s="142">
        <f>SUM($L30:$P30)*(Q31)</f>
        <v>67.405248221385349</v>
      </c>
      <c r="R30" s="143">
        <f>SUM(R28:R29)</f>
        <v>1415.5102126490922</v>
      </c>
      <c r="S30" s="144">
        <f>SUM(S28:S29)</f>
        <v>3791.3025535593283</v>
      </c>
      <c r="T30" s="145">
        <f>SUM(T28:T29)</f>
        <v>16483.924145910121</v>
      </c>
      <c r="U30" s="146">
        <f>SUMPRODUCT(U28:U29,K28:K29)/K30</f>
        <v>0.23000000000000004</v>
      </c>
      <c r="V30" s="147">
        <f>SUMPRODUCT(V28:V29,K28:K29)/K30</f>
        <v>0.1310437255656377</v>
      </c>
      <c r="W30" s="148">
        <f>ROUND(SUMPRODUCT(W28:W29,K28:K29)/K30,-1)</f>
        <v>1530</v>
      </c>
    </row>
    <row r="31" spans="2:23" s="149" customFormat="1" ht="29.25" customHeight="1" x14ac:dyDescent="0.25">
      <c r="C31" s="216"/>
      <c r="D31" s="216"/>
      <c r="E31" s="217" t="s">
        <v>40</v>
      </c>
      <c r="F31" s="217"/>
      <c r="G31" s="217" t="s">
        <v>41</v>
      </c>
      <c r="H31" s="217"/>
      <c r="I31" s="218">
        <f>SUMPRODUCT(I28:I29,$E28:$E29)/$E30</f>
        <v>0</v>
      </c>
      <c r="J31" s="218">
        <f>SUMPRODUCT(J28:J29,$E28:$E29)/$E30</f>
        <v>0</v>
      </c>
      <c r="K31" s="216"/>
      <c r="L31" s="219">
        <f>L30/1000*3600*24*31/U30/1000/1000</f>
        <v>4.394885587327547</v>
      </c>
      <c r="M31" s="216"/>
      <c r="N31" s="216"/>
      <c r="O31" s="216"/>
      <c r="P31" s="216"/>
      <c r="Q31" s="218">
        <f>SUMPRODUCT(Q28:Q29,$E28:$E29)/$E30</f>
        <v>5.000000000000001E-2</v>
      </c>
      <c r="R31" s="220">
        <f>R30/L30</f>
        <v>3.7507060919721704</v>
      </c>
      <c r="S31" s="216"/>
      <c r="T31" s="219">
        <f>T30/1000</f>
        <v>16.48392414591012</v>
      </c>
      <c r="U31" s="216"/>
      <c r="V31" s="216"/>
      <c r="W31" s="219">
        <f>W30*K30/1000/1000</f>
        <v>16.526778493246756</v>
      </c>
    </row>
  </sheetData>
  <mergeCells count="11">
    <mergeCell ref="S3:U3"/>
    <mergeCell ref="V3:W3"/>
    <mergeCell ref="D3:H3"/>
    <mergeCell ref="D19:D22"/>
    <mergeCell ref="B28:B29"/>
    <mergeCell ref="L3:R3"/>
    <mergeCell ref="B19:B22"/>
    <mergeCell ref="C3:C4"/>
    <mergeCell ref="I3:I4"/>
    <mergeCell ref="J3:J4"/>
    <mergeCell ref="K3:K4"/>
  </mergeCells>
  <conditionalFormatting sqref="U3:W24 Q3:Q24 E4:J24 I3:J3 D3">
    <cfRule type="expression" dxfId="249" priority="758">
      <formula>IF(#REF!&lt;&gt;#REF!,1,0)</formula>
    </cfRule>
  </conditionalFormatting>
  <conditionalFormatting sqref="U3:W24">
    <cfRule type="expression" dxfId="248" priority="756">
      <formula>IF(#REF!&lt;&gt;#REF!,1,0)</formula>
    </cfRule>
  </conditionalFormatting>
  <conditionalFormatting sqref="F19:K22 C23:D24 T18:W23 L3:S5 L23:S24 L6:L22 P6:S22 E4:E24 D3 C18:C22">
    <cfRule type="expression" dxfId="247" priority="759">
      <formula>IF(#REF!&lt;&gt;#REF!,1,0)</formula>
    </cfRule>
  </conditionalFormatting>
  <conditionalFormatting sqref="E4:J4 E17:G17 I17:L17 S14:V17 U4:W4 U6:V13 W6:W17 E7:L13 F6:K6 P7:Q13 P17:Q17">
    <cfRule type="expression" dxfId="246" priority="348">
      <formula>IF(#REF!&lt;&gt;#REF!,1,0)</formula>
    </cfRule>
  </conditionalFormatting>
  <conditionalFormatting sqref="S6:W17 S7:S22 U7:W22">
    <cfRule type="expression" dxfId="245" priority="347">
      <formula>IF(#REF!&lt;&gt;#REF!,1,0)</formula>
    </cfRule>
  </conditionalFormatting>
  <conditionalFormatting sqref="S14:V17 U4:W4 U6:W22">
    <cfRule type="expression" dxfId="244" priority="346">
      <formula>IF(#REF!&lt;&gt;#REF!,1,0)</formula>
    </cfRule>
  </conditionalFormatting>
  <conditionalFormatting sqref="P10:Q10">
    <cfRule type="expression" dxfId="243" priority="322">
      <formula>IF(#REF!&lt;&gt;#REF!,1,0)</formula>
    </cfRule>
  </conditionalFormatting>
  <conditionalFormatting sqref="P11:Q11">
    <cfRule type="expression" dxfId="242" priority="320">
      <formula>IF(#REF!&lt;&gt;#REF!,1,0)</formula>
    </cfRule>
  </conditionalFormatting>
  <conditionalFormatting sqref="R12">
    <cfRule type="expression" dxfId="241" priority="298">
      <formula>IF(#REF!&lt;&gt;#REF!,1,0)</formula>
    </cfRule>
  </conditionalFormatting>
  <conditionalFormatting sqref="L11 P11:Q11">
    <cfRule type="expression" dxfId="240" priority="321">
      <formula>IF(#REF!&lt;&gt;#REF!,1,0)</formula>
    </cfRule>
  </conditionalFormatting>
  <conditionalFormatting sqref="R13">
    <cfRule type="expression" dxfId="239" priority="297">
      <formula>IF(#REF!&lt;&gt;#REF!,1,0)</formula>
    </cfRule>
  </conditionalFormatting>
  <conditionalFormatting sqref="R13">
    <cfRule type="expression" dxfId="238" priority="296">
      <formula>IF(#REF!&lt;&gt;#REF!,1,0)</formula>
    </cfRule>
  </conditionalFormatting>
  <conditionalFormatting sqref="S6:U13 E6:K6 Q6 S7:S22 U7:U22">
    <cfRule type="expression" dxfId="237" priority="330">
      <formula>IF(#REF!&lt;&gt;#REF!,1,0)</formula>
    </cfRule>
  </conditionalFormatting>
  <conditionalFormatting sqref="E6:L6 L7:L22 P7:P22 P6:Q6">
    <cfRule type="expression" dxfId="236" priority="329">
      <formula>IF(#REF!&lt;&gt;#REF!,1,0)</formula>
    </cfRule>
  </conditionalFormatting>
  <conditionalFormatting sqref="S4 S6:U13 S7:S22 U7:U22">
    <cfRule type="expression" dxfId="235" priority="328">
      <formula>IF(#REF!&lt;&gt;#REF!,1,0)</formula>
    </cfRule>
  </conditionalFormatting>
  <conditionalFormatting sqref="L6:L22 P7:P22 P6:Q6">
    <cfRule type="expression" dxfId="234" priority="327">
      <formula>IF(#REF!&lt;&gt;#REF!,1,0)</formula>
    </cfRule>
  </conditionalFormatting>
  <conditionalFormatting sqref="P6:Q6 P7:P22">
    <cfRule type="expression" dxfId="233" priority="326">
      <formula>IF(#REF!&lt;&gt;#REF!,1,0)</formula>
    </cfRule>
  </conditionalFormatting>
  <conditionalFormatting sqref="S4 L4:Q4">
    <cfRule type="expression" dxfId="232" priority="325">
      <formula>IF(#REF!&lt;&gt;#REF!,1,0)</formula>
    </cfRule>
  </conditionalFormatting>
  <conditionalFormatting sqref="M4:Q4">
    <cfRule type="expression" dxfId="231" priority="324">
      <formula>IF(#REF!&lt;&gt;#REF!,1,0)</formula>
    </cfRule>
  </conditionalFormatting>
  <conditionalFormatting sqref="E4 L4">
    <cfRule type="expression" dxfId="230" priority="331">
      <formula>IF(#REF!&lt;&gt;#REF!,1,0)</formula>
    </cfRule>
  </conditionalFormatting>
  <conditionalFormatting sqref="L10 P10:Q10">
    <cfRule type="expression" dxfId="229" priority="323">
      <formula>IF(#REF!&lt;&gt;#REF!,1,0)</formula>
    </cfRule>
  </conditionalFormatting>
  <conditionalFormatting sqref="L12 P12:Q12">
    <cfRule type="expression" dxfId="228" priority="317">
      <formula>IF(#REF!&lt;&gt;#REF!,1,0)</formula>
    </cfRule>
  </conditionalFormatting>
  <conditionalFormatting sqref="P12:Q12">
    <cfRule type="expression" dxfId="227" priority="316">
      <formula>IF(#REF!&lt;&gt;#REF!,1,0)</formula>
    </cfRule>
  </conditionalFormatting>
  <conditionalFormatting sqref="L9 P9:Q9">
    <cfRule type="expression" dxfId="226" priority="319">
      <formula>IF(#REF!&lt;&gt;#REF!,1,0)</formula>
    </cfRule>
  </conditionalFormatting>
  <conditionalFormatting sqref="P9:Q9">
    <cfRule type="expression" dxfId="225" priority="318">
      <formula>IF(#REF!&lt;&gt;#REF!,1,0)</formula>
    </cfRule>
  </conditionalFormatting>
  <conditionalFormatting sqref="L13 P13:Q13">
    <cfRule type="expression" dxfId="224" priority="315">
      <formula>IF(#REF!&lt;&gt;#REF!,1,0)</formula>
    </cfRule>
  </conditionalFormatting>
  <conditionalFormatting sqref="P13:Q13">
    <cfRule type="expression" dxfId="223" priority="314">
      <formula>IF(#REF!&lt;&gt;#REF!,1,0)</formula>
    </cfRule>
  </conditionalFormatting>
  <conditionalFormatting sqref="L17 P17:Q17">
    <cfRule type="expression" dxfId="222" priority="313">
      <formula>IF(#REF!&lt;&gt;#REF!,1,0)</formula>
    </cfRule>
  </conditionalFormatting>
  <conditionalFormatting sqref="P17:Q17">
    <cfRule type="expression" dxfId="221" priority="312">
      <formula>IF(#REF!&lt;&gt;#REF!,1,0)</formula>
    </cfRule>
  </conditionalFormatting>
  <conditionalFormatting sqref="C17">
    <cfRule type="expression" dxfId="220" priority="332">
      <formula>IF(#REF!&lt;&gt;#REF!,1,0)</formula>
    </cfRule>
  </conditionalFormatting>
  <conditionalFormatting sqref="R7:R8">
    <cfRule type="expression" dxfId="219" priority="287">
      <formula>IF(#REF!&lt;&gt;#REF!,1,0)</formula>
    </cfRule>
  </conditionalFormatting>
  <conditionalFormatting sqref="R4">
    <cfRule type="expression" dxfId="218" priority="311">
      <formula>IF(#REF!&lt;&gt;#REF!,1,0)</formula>
    </cfRule>
  </conditionalFormatting>
  <conditionalFormatting sqref="R4">
    <cfRule type="expression" dxfId="217" priority="310">
      <formula>IF(#REF!&lt;&gt;#REF!,1,0)</formula>
    </cfRule>
  </conditionalFormatting>
  <conditionalFormatting sqref="R10">
    <cfRule type="expression" dxfId="216" priority="309">
      <formula>IF(#REF!&lt;&gt;#REF!,1,0)</formula>
    </cfRule>
  </conditionalFormatting>
  <conditionalFormatting sqref="R10">
    <cfRule type="expression" dxfId="215" priority="308">
      <formula>IF(#REF!&lt;&gt;#REF!,1,0)</formula>
    </cfRule>
  </conditionalFormatting>
  <conditionalFormatting sqref="R10">
    <cfRule type="expression" dxfId="214" priority="307">
      <formula>IF(#REF!&lt;&gt;#REF!,1,0)</formula>
    </cfRule>
  </conditionalFormatting>
  <conditionalFormatting sqref="R12">
    <cfRule type="expression" dxfId="213" priority="300">
      <formula>IF(#REF!&lt;&gt;#REF!,1,0)</formula>
    </cfRule>
  </conditionalFormatting>
  <conditionalFormatting sqref="R12">
    <cfRule type="expression" dxfId="212" priority="299">
      <formula>IF(#REF!&lt;&gt;#REF!,1,0)</formula>
    </cfRule>
  </conditionalFormatting>
  <conditionalFormatting sqref="R11">
    <cfRule type="expression" dxfId="211" priority="306">
      <formula>IF(#REF!&lt;&gt;#REF!,1,0)</formula>
    </cfRule>
  </conditionalFormatting>
  <conditionalFormatting sqref="R11">
    <cfRule type="expression" dxfId="210" priority="305">
      <formula>IF(#REF!&lt;&gt;#REF!,1,0)</formula>
    </cfRule>
  </conditionalFormatting>
  <conditionalFormatting sqref="R11">
    <cfRule type="expression" dxfId="209" priority="304">
      <formula>IF(#REF!&lt;&gt;#REF!,1,0)</formula>
    </cfRule>
  </conditionalFormatting>
  <conditionalFormatting sqref="R9">
    <cfRule type="expression" dxfId="208" priority="303">
      <formula>IF(#REF!&lt;&gt;#REF!,1,0)</formula>
    </cfRule>
  </conditionalFormatting>
  <conditionalFormatting sqref="R9">
    <cfRule type="expression" dxfId="207" priority="302">
      <formula>IF(#REF!&lt;&gt;#REF!,1,0)</formula>
    </cfRule>
  </conditionalFormatting>
  <conditionalFormatting sqref="R9">
    <cfRule type="expression" dxfId="206" priority="301">
      <formula>IF(#REF!&lt;&gt;#REF!,1,0)</formula>
    </cfRule>
  </conditionalFormatting>
  <conditionalFormatting sqref="R13">
    <cfRule type="expression" dxfId="205" priority="295">
      <formula>IF(#REF!&lt;&gt;#REF!,1,0)</formula>
    </cfRule>
  </conditionalFormatting>
  <conditionalFormatting sqref="R17">
    <cfRule type="expression" dxfId="204" priority="294">
      <formula>IF(#REF!&lt;&gt;#REF!,1,0)</formula>
    </cfRule>
  </conditionalFormatting>
  <conditionalFormatting sqref="R17">
    <cfRule type="expression" dxfId="203" priority="293">
      <formula>IF(#REF!&lt;&gt;#REF!,1,0)</formula>
    </cfRule>
  </conditionalFormatting>
  <conditionalFormatting sqref="R17">
    <cfRule type="expression" dxfId="202" priority="292">
      <formula>IF(#REF!&lt;&gt;#REF!,1,0)</formula>
    </cfRule>
  </conditionalFormatting>
  <conditionalFormatting sqref="L7:L8 P7:Q8">
    <cfRule type="expression" dxfId="201" priority="291">
      <formula>IF(#REF!&lt;&gt;#REF!,1,0)</formula>
    </cfRule>
  </conditionalFormatting>
  <conditionalFormatting sqref="P7:Q8">
    <cfRule type="expression" dxfId="200" priority="290">
      <formula>IF(#REF!&lt;&gt;#REF!,1,0)</formula>
    </cfRule>
  </conditionalFormatting>
  <conditionalFormatting sqref="R7:R8">
    <cfRule type="expression" dxfId="199" priority="289">
      <formula>IF(#REF!&lt;&gt;#REF!,1,0)</formula>
    </cfRule>
  </conditionalFormatting>
  <conditionalFormatting sqref="R7:R8">
    <cfRule type="expression" dxfId="198" priority="288">
      <formula>IF(#REF!&lt;&gt;#REF!,1,0)</formula>
    </cfRule>
  </conditionalFormatting>
  <conditionalFormatting sqref="E14:K16 Q14:Q16">
    <cfRule type="expression" dxfId="197" priority="284">
      <formula>IF(#REF!&lt;&gt;#REF!,1,0)</formula>
    </cfRule>
  </conditionalFormatting>
  <conditionalFormatting sqref="E14:L16 P14:Q16">
    <cfRule type="expression" dxfId="196" priority="283">
      <formula>IF(#REF!&lt;&gt;#REF!,1,0)</formula>
    </cfRule>
  </conditionalFormatting>
  <conditionalFormatting sqref="F14:K16 Q14:Q16">
    <cfRule type="expression" dxfId="195" priority="282">
      <formula>IF(#REF!&lt;&gt;#REF!,1,0)</formula>
    </cfRule>
  </conditionalFormatting>
  <conditionalFormatting sqref="L14:L16 S23:W23 P14:Q16">
    <cfRule type="expression" dxfId="194" priority="281">
      <formula>IF(#REF!&lt;&gt;#REF!,1,0)</formula>
    </cfRule>
  </conditionalFormatting>
  <conditionalFormatting sqref="P14:Q16">
    <cfRule type="expression" dxfId="193" priority="280">
      <formula>IF(#REF!&lt;&gt;#REF!,1,0)</formula>
    </cfRule>
  </conditionalFormatting>
  <conditionalFormatting sqref="R14:R16">
    <cfRule type="expression" dxfId="192" priority="279">
      <formula>IF(#REF!&lt;&gt;#REF!,1,0)</formula>
    </cfRule>
  </conditionalFormatting>
  <conditionalFormatting sqref="R14:R16">
    <cfRule type="expression" dxfId="191" priority="278">
      <formula>IF(#REF!&lt;&gt;#REF!,1,0)</formula>
    </cfRule>
  </conditionalFormatting>
  <conditionalFormatting sqref="R14:R16">
    <cfRule type="expression" dxfId="190" priority="277">
      <formula>IF(#REF!&lt;&gt;#REF!,1,0)</formula>
    </cfRule>
  </conditionalFormatting>
  <conditionalFormatting sqref="O4:Q4">
    <cfRule type="expression" dxfId="189" priority="276">
      <formula>IF(#REF!&lt;&gt;#REF!,1,0)</formula>
    </cfRule>
  </conditionalFormatting>
  <conditionalFormatting sqref="O4:Q4">
    <cfRule type="expression" dxfId="188" priority="275">
      <formula>IF(#REF!&lt;&gt;#REF!,1,0)</formula>
    </cfRule>
  </conditionalFormatting>
  <conditionalFormatting sqref="R18">
    <cfRule type="expression" dxfId="187" priority="252">
      <formula>IF(#REF!&lt;&gt;#REF!,1,0)</formula>
    </cfRule>
  </conditionalFormatting>
  <conditionalFormatting sqref="W23 E23:J23 L23:Q23">
    <cfRule type="expression" dxfId="186" priority="249">
      <formula>IF(#REF!&lt;&gt;#REF!,1,0)</formula>
    </cfRule>
  </conditionalFormatting>
  <conditionalFormatting sqref="W23:W24">
    <cfRule type="expression" dxfId="185" priority="248">
      <formula>IF(#REF!&lt;&gt;#REF!,1,0)</formula>
    </cfRule>
  </conditionalFormatting>
  <conditionalFormatting sqref="R6:R22">
    <cfRule type="expression" dxfId="184" priority="260">
      <formula>IF(#REF!&lt;&gt;#REF!,1,0)</formula>
    </cfRule>
  </conditionalFormatting>
  <conditionalFormatting sqref="R6:R22">
    <cfRule type="expression" dxfId="183" priority="259">
      <formula>IF(#REF!&lt;&gt;#REF!,1,0)</formula>
    </cfRule>
  </conditionalFormatting>
  <conditionalFormatting sqref="R6:R22">
    <cfRule type="expression" dxfId="182" priority="258">
      <formula>IF(#REF!&lt;&gt;#REF!,1,0)</formula>
    </cfRule>
  </conditionalFormatting>
  <conditionalFormatting sqref="R23:R24">
    <cfRule type="expression" dxfId="181" priority="239">
      <formula>IF(#REF!&lt;&gt;#REF!,1,0)</formula>
    </cfRule>
  </conditionalFormatting>
  <conditionalFormatting sqref="H18">
    <cfRule type="expression" dxfId="180" priority="217">
      <formula>IF(#REF!&lt;&gt;#REF!,1,0)</formula>
    </cfRule>
  </conditionalFormatting>
  <conditionalFormatting sqref="H18">
    <cfRule type="expression" dxfId="179" priority="216">
      <formula>IF(#REF!&lt;&gt;#REF!,1,0)</formula>
    </cfRule>
  </conditionalFormatting>
  <conditionalFormatting sqref="K23:K24">
    <cfRule type="expression" dxfId="178" priority="230">
      <formula>IF(#REF!&lt;&gt;#REF!,1,0)</formula>
    </cfRule>
  </conditionalFormatting>
  <conditionalFormatting sqref="K23:K24">
    <cfRule type="expression" dxfId="177" priority="232">
      <formula>IF(#REF!&lt;&gt;#REF!,1,0)</formula>
    </cfRule>
  </conditionalFormatting>
  <conditionalFormatting sqref="K23:K24">
    <cfRule type="expression" dxfId="176" priority="231">
      <formula>IF(#REF!&lt;&gt;#REF!,1,0)</formula>
    </cfRule>
  </conditionalFormatting>
  <conditionalFormatting sqref="E18:G18 I18:L18 Q22 L19:L22 P18:Q18">
    <cfRule type="expression" dxfId="175" priority="257">
      <formula>IF(#REF!&lt;&gt;#REF!,1,0)</formula>
    </cfRule>
  </conditionalFormatting>
  <conditionalFormatting sqref="R18">
    <cfRule type="expression" dxfId="174" priority="254">
      <formula>IF(#REF!&lt;&gt;#REF!,1,0)</formula>
    </cfRule>
  </conditionalFormatting>
  <conditionalFormatting sqref="R18">
    <cfRule type="expression" dxfId="173" priority="253">
      <formula>IF(#REF!&lt;&gt;#REF!,1,0)</formula>
    </cfRule>
  </conditionalFormatting>
  <conditionalFormatting sqref="W23">
    <cfRule type="expression" dxfId="172" priority="247">
      <formula>IF(#REF!&lt;&gt;#REF!,1,0)</formula>
    </cfRule>
  </conditionalFormatting>
  <conditionalFormatting sqref="L23:Q23">
    <cfRule type="expression" dxfId="171" priority="243">
      <formula>IF(#REF!&lt;&gt;#REF!,1,0)</formula>
    </cfRule>
  </conditionalFormatting>
  <conditionalFormatting sqref="M23:Q23">
    <cfRule type="expression" dxfId="170" priority="242">
      <formula>IF(#REF!&lt;&gt;#REF!,1,0)</formula>
    </cfRule>
  </conditionalFormatting>
  <conditionalFormatting sqref="C23:D23">
    <cfRule type="expression" dxfId="169" priority="244">
      <formula>IF(#REF!&lt;&gt;#REF!,1,0)</formula>
    </cfRule>
  </conditionalFormatting>
  <conditionalFormatting sqref="R23">
    <cfRule type="expression" dxfId="168" priority="241">
      <formula>IF(#REF!&lt;&gt;#REF!,1,0)</formula>
    </cfRule>
  </conditionalFormatting>
  <conditionalFormatting sqref="R23">
    <cfRule type="expression" dxfId="167" priority="240">
      <formula>IF(#REF!&lt;&gt;#REF!,1,0)</formula>
    </cfRule>
  </conditionalFormatting>
  <conditionalFormatting sqref="E6">
    <cfRule type="expression" dxfId="166" priority="220">
      <formula>IF(#REF!&lt;&gt;#REF!,1,0)</formula>
    </cfRule>
  </conditionalFormatting>
  <conditionalFormatting sqref="H17">
    <cfRule type="expression" dxfId="165" priority="219">
      <formula>IF(#REF!&lt;&gt;#REF!,1,0)</formula>
    </cfRule>
  </conditionalFormatting>
  <conditionalFormatting sqref="H18">
    <cfRule type="expression" dxfId="164" priority="218">
      <formula>IF(#REF!&lt;&gt;#REF!,1,0)</formula>
    </cfRule>
  </conditionalFormatting>
  <conditionalFormatting sqref="S16">
    <cfRule type="expression" dxfId="163" priority="225">
      <formula>IF(#REF!&lt;&gt;#REF!,1,0)</formula>
    </cfRule>
  </conditionalFormatting>
  <conditionalFormatting sqref="S16">
    <cfRule type="expression" dxfId="162" priority="224">
      <formula>IF(#REF!&lt;&gt;#REF!,1,0)</formula>
    </cfRule>
  </conditionalFormatting>
  <conditionalFormatting sqref="T16">
    <cfRule type="expression" dxfId="161" priority="223">
      <formula>IF(#REF!&lt;&gt;#REF!,1,0)</formula>
    </cfRule>
  </conditionalFormatting>
  <conditionalFormatting sqref="T16">
    <cfRule type="expression" dxfId="160" priority="222">
      <formula>IF(#REF!&lt;&gt;#REF!,1,0)</formula>
    </cfRule>
  </conditionalFormatting>
  <conditionalFormatting sqref="E6">
    <cfRule type="expression" dxfId="159" priority="221">
      <formula>IF(#REF!&lt;&gt;#REF!,1,0)</formula>
    </cfRule>
  </conditionalFormatting>
  <conditionalFormatting sqref="B16">
    <cfRule type="expression" dxfId="158" priority="350">
      <formula>IF(#REF!&lt;&gt;#REF!,1,0)</formula>
    </cfRule>
  </conditionalFormatting>
  <conditionalFormatting sqref="C16">
    <cfRule type="expression" dxfId="157" priority="351">
      <formula>IF(#REF!&lt;&gt;#REF!,1,0)</formula>
    </cfRule>
  </conditionalFormatting>
  <conditionalFormatting sqref="C17">
    <cfRule type="expression" dxfId="156" priority="352">
      <formula>IF(#REF!&lt;&gt;#REF!,1,0)</formula>
    </cfRule>
  </conditionalFormatting>
  <conditionalFormatting sqref="T24">
    <cfRule type="expression" dxfId="155" priority="214">
      <formula>IF(#REF!&lt;&gt;#REF!,1,0)</formula>
    </cfRule>
  </conditionalFormatting>
  <conditionalFormatting sqref="T24">
    <cfRule type="expression" dxfId="154" priority="213">
      <formula>IF(#REF!&lt;&gt;#REF!,1,0)</formula>
    </cfRule>
  </conditionalFormatting>
  <conditionalFormatting sqref="T24">
    <cfRule type="expression" dxfId="153" priority="212">
      <formula>IF(#REF!&lt;&gt;#REF!,1,0)</formula>
    </cfRule>
  </conditionalFormatting>
  <conditionalFormatting sqref="W24">
    <cfRule type="expression" dxfId="152" priority="211">
      <formula>IF(#REF!&lt;&gt;#REF!,1,0)</formula>
    </cfRule>
  </conditionalFormatting>
  <conditionalFormatting sqref="W24">
    <cfRule type="expression" dxfId="151" priority="210">
      <formula>IF(#REF!&lt;&gt;#REF!,1,0)</formula>
    </cfRule>
  </conditionalFormatting>
  <conditionalFormatting sqref="W24">
    <cfRule type="expression" dxfId="150" priority="209">
      <formula>IF(#REF!&lt;&gt;#REF!,1,0)</formula>
    </cfRule>
  </conditionalFormatting>
  <conditionalFormatting sqref="L24">
    <cfRule type="expression" dxfId="149" priority="205">
      <formula>IF(#REF!&lt;&gt;#REF!,1,0)</formula>
    </cfRule>
  </conditionalFormatting>
  <conditionalFormatting sqref="L24">
    <cfRule type="expression" dxfId="148" priority="204">
      <formula>IF(#REF!&lt;&gt;#REF!,1,0)</formula>
    </cfRule>
  </conditionalFormatting>
  <conditionalFormatting sqref="L24">
    <cfRule type="expression" dxfId="147" priority="203">
      <formula>IF(#REF!&lt;&gt;#REF!,1,0)</formula>
    </cfRule>
  </conditionalFormatting>
  <conditionalFormatting sqref="R24">
    <cfRule type="expression" dxfId="146" priority="202">
      <formula>IF(#REF!&lt;&gt;#REF!,1,0)</formula>
    </cfRule>
  </conditionalFormatting>
  <conditionalFormatting sqref="R24">
    <cfRule type="expression" dxfId="145" priority="201">
      <formula>IF(#REF!&lt;&gt;#REF!,1,0)</formula>
    </cfRule>
  </conditionalFormatting>
  <conditionalFormatting sqref="R24">
    <cfRule type="expression" dxfId="144" priority="200">
      <formula>IF(#REF!&lt;&gt;#REF!,1,0)</formula>
    </cfRule>
  </conditionalFormatting>
  <conditionalFormatting sqref="I24">
    <cfRule type="expression" dxfId="143" priority="196">
      <formula>IF(#REF!&lt;&gt;#REF!,1,0)</formula>
    </cfRule>
  </conditionalFormatting>
  <conditionalFormatting sqref="J24">
    <cfRule type="expression" dxfId="142" priority="195">
      <formula>IF(#REF!&lt;&gt;#REF!,1,0)</formula>
    </cfRule>
  </conditionalFormatting>
  <conditionalFormatting sqref="Q24">
    <cfRule type="expression" dxfId="141" priority="194">
      <formula>IF(#REF!&lt;&gt;#REF!,1,0)</formula>
    </cfRule>
  </conditionalFormatting>
  <conditionalFormatting sqref="E22 L22">
    <cfRule type="expression" dxfId="140" priority="766">
      <formula>IF(#REF!&lt;&gt;#REF!,1,0)</formula>
    </cfRule>
  </conditionalFormatting>
  <conditionalFormatting sqref="Q20:Q22">
    <cfRule type="expression" dxfId="139" priority="142">
      <formula>IF(#REF!&lt;&gt;#REF!,1,0)</formula>
    </cfRule>
  </conditionalFormatting>
  <conditionalFormatting sqref="N18:N22 M6:M22">
    <cfRule type="expression" dxfId="138" priority="137">
      <formula>IF(#REF!&lt;&gt;#REF!,1,0)</formula>
    </cfRule>
  </conditionalFormatting>
  <conditionalFormatting sqref="M14:N17">
    <cfRule type="expression" dxfId="137" priority="136">
      <formula>IF(#REF!&lt;&gt;#REF!,1,0)</formula>
    </cfRule>
  </conditionalFormatting>
  <conditionalFormatting sqref="M6:N17 M18:M22">
    <cfRule type="expression" dxfId="136" priority="135">
      <formula>IF(#REF!&lt;&gt;#REF!,1,0)</formula>
    </cfRule>
  </conditionalFormatting>
  <conditionalFormatting sqref="T5">
    <cfRule type="expression" dxfId="135" priority="149">
      <formula>IF(#REF!&lt;&gt;#REF!,1,0)</formula>
    </cfRule>
  </conditionalFormatting>
  <conditionalFormatting sqref="T5">
    <cfRule type="expression" dxfId="134" priority="150">
      <formula>IF(#REF!&lt;&gt;#REF!,1,0)</formula>
    </cfRule>
  </conditionalFormatting>
  <conditionalFormatting sqref="T5">
    <cfRule type="expression" dxfId="133" priority="148">
      <formula>IF(#REF!&lt;&gt;#REF!,1,0)</formula>
    </cfRule>
  </conditionalFormatting>
  <conditionalFormatting sqref="T5">
    <cfRule type="expression" dxfId="132" priority="147">
      <formula>IF(#REF!&lt;&gt;#REF!,1,0)</formula>
    </cfRule>
  </conditionalFormatting>
  <conditionalFormatting sqref="T5">
    <cfRule type="expression" dxfId="131" priority="146">
      <formula>IF(#REF!&lt;&gt;#REF!,1,0)</formula>
    </cfRule>
  </conditionalFormatting>
  <conditionalFormatting sqref="C6 C14 B13:C13">
    <cfRule type="expression" dxfId="130" priority="787">
      <formula>IF(#REF!&lt;&gt;#REF!,1,0)</formula>
    </cfRule>
  </conditionalFormatting>
  <conditionalFormatting sqref="C6:C13 B13">
    <cfRule type="expression" dxfId="129" priority="788">
      <formula>IF(#REF!&lt;&gt;#REF!,1,0)</formula>
    </cfRule>
  </conditionalFormatting>
  <conditionalFormatting sqref="L13:L17 E6:E11 L6:L11 E13:E17">
    <cfRule type="expression" dxfId="128" priority="790">
      <formula>IF(#REF!&lt;&gt;#REF!,1,0)</formula>
    </cfRule>
  </conditionalFormatting>
  <conditionalFormatting sqref="C7:C12">
    <cfRule type="expression" dxfId="127" priority="791">
      <formula>IF(#REF!&lt;&gt;#REF!,1,0)</formula>
    </cfRule>
  </conditionalFormatting>
  <conditionalFormatting sqref="L12 E12">
    <cfRule type="expression" dxfId="126" priority="792">
      <formula>IF(#REF!&lt;&gt;#REF!,1,0)</formula>
    </cfRule>
  </conditionalFormatting>
  <conditionalFormatting sqref="B14">
    <cfRule type="expression" dxfId="125" priority="793">
      <formula>IF(#REF!&lt;&gt;#REF!,1,0)</formula>
    </cfRule>
  </conditionalFormatting>
  <conditionalFormatting sqref="B14:B15">
    <cfRule type="expression" dxfId="124" priority="800">
      <formula>IF(#REF!&lt;&gt;#REF!,1,0)</formula>
    </cfRule>
  </conditionalFormatting>
  <conditionalFormatting sqref="C14:C15">
    <cfRule type="expression" dxfId="123" priority="801">
      <formula>IF(#REF!&lt;&gt;#REF!,1,0)</formula>
    </cfRule>
  </conditionalFormatting>
  <conditionalFormatting sqref="B15:C16">
    <cfRule type="expression" dxfId="122" priority="802">
      <formula>IF(#REF!&lt;&gt;#REF!,1,0)</formula>
    </cfRule>
  </conditionalFormatting>
  <conditionalFormatting sqref="Q20:Q22">
    <cfRule type="expression" dxfId="121" priority="145">
      <formula>IF(#REF!&lt;&gt;#REF!,1,0)</formula>
    </cfRule>
  </conditionalFormatting>
  <conditionalFormatting sqref="Q22">
    <cfRule type="expression" dxfId="120" priority="144">
      <formula>IF(#REF!&lt;&gt;#REF!,1,0)</formula>
    </cfRule>
  </conditionalFormatting>
  <conditionalFormatting sqref="Q22">
    <cfRule type="expression" dxfId="119" priority="143">
      <formula>IF(#REF!&lt;&gt;#REF!,1,0)</formula>
    </cfRule>
  </conditionalFormatting>
  <conditionalFormatting sqref="Q20:Q22">
    <cfRule type="expression" dxfId="118" priority="141">
      <formula>IF(#REF!&lt;&gt;#REF!,1,0)</formula>
    </cfRule>
  </conditionalFormatting>
  <conditionalFormatting sqref="O6:O13">
    <cfRule type="expression" dxfId="117" priority="122">
      <formula>IF(#REF!&lt;&gt;#REF!,1,0)</formula>
    </cfRule>
  </conditionalFormatting>
  <conditionalFormatting sqref="O16">
    <cfRule type="expression" dxfId="116" priority="121">
      <formula>IF(#REF!&lt;&gt;#REF!,1,0)</formula>
    </cfRule>
  </conditionalFormatting>
  <conditionalFormatting sqref="O16">
    <cfRule type="expression" dxfId="115" priority="120">
      <formula>IF(#REF!&lt;&gt;#REF!,1,0)</formula>
    </cfRule>
  </conditionalFormatting>
  <conditionalFormatting sqref="W6:W22">
    <cfRule type="colorScale" priority="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W4 E4:J4 L4:S4">
    <cfRule type="expression" dxfId="114" priority="810">
      <formula>IF(#REF!&lt;&gt;#REF!,1,0)</formula>
    </cfRule>
  </conditionalFormatting>
  <conditionalFormatting sqref="M14:N17">
    <cfRule type="expression" dxfId="113" priority="134">
      <formula>IF(#REF!&lt;&gt;#REF!,1,0)</formula>
    </cfRule>
  </conditionalFormatting>
  <conditionalFormatting sqref="M6:N13 M14:M22">
    <cfRule type="expression" dxfId="112" priority="133">
      <formula>IF(#REF!&lt;&gt;#REF!,1,0)</formula>
    </cfRule>
  </conditionalFormatting>
  <conditionalFormatting sqref="M6:N13 M14:M22">
    <cfRule type="expression" dxfId="111" priority="132">
      <formula>IF(#REF!&lt;&gt;#REF!,1,0)</formula>
    </cfRule>
  </conditionalFormatting>
  <conditionalFormatting sqref="M16">
    <cfRule type="expression" dxfId="110" priority="131">
      <formula>IF(#REF!&lt;&gt;#REF!,1,0)</formula>
    </cfRule>
  </conditionalFormatting>
  <conditionalFormatting sqref="M16">
    <cfRule type="expression" dxfId="109" priority="130">
      <formula>IF(#REF!&lt;&gt;#REF!,1,0)</formula>
    </cfRule>
  </conditionalFormatting>
  <conditionalFormatting sqref="N16">
    <cfRule type="expression" dxfId="108" priority="129">
      <formula>IF(#REF!&lt;&gt;#REF!,1,0)</formula>
    </cfRule>
  </conditionalFormatting>
  <conditionalFormatting sqref="N16">
    <cfRule type="expression" dxfId="107" priority="128">
      <formula>IF(#REF!&lt;&gt;#REF!,1,0)</formula>
    </cfRule>
  </conditionalFormatting>
  <conditionalFormatting sqref="O18:O22">
    <cfRule type="expression" dxfId="106" priority="127">
      <formula>IF(#REF!&lt;&gt;#REF!,1,0)</formula>
    </cfRule>
  </conditionalFormatting>
  <conditionalFormatting sqref="O14:O17">
    <cfRule type="expression" dxfId="105" priority="126">
      <formula>IF(#REF!&lt;&gt;#REF!,1,0)</formula>
    </cfRule>
  </conditionalFormatting>
  <conditionalFormatting sqref="O6:O17">
    <cfRule type="expression" dxfId="104" priority="125">
      <formula>IF(#REF!&lt;&gt;#REF!,1,0)</formula>
    </cfRule>
  </conditionalFormatting>
  <conditionalFormatting sqref="O14:O17">
    <cfRule type="expression" dxfId="103" priority="124">
      <formula>IF(#REF!&lt;&gt;#REF!,1,0)</formula>
    </cfRule>
  </conditionalFormatting>
  <conditionalFormatting sqref="O6:O13">
    <cfRule type="expression" dxfId="102" priority="123">
      <formula>IF(#REF!&lt;&gt;#REF!,1,0)</formula>
    </cfRule>
  </conditionalFormatting>
  <conditionalFormatting sqref="E28:J28 Q28:Q29 U28:W29">
    <cfRule type="expression" dxfId="101" priority="117">
      <formula>IF(#REF!&lt;&gt;#REF!,1,0)</formula>
    </cfRule>
  </conditionalFormatting>
  <conditionalFormatting sqref="U28:W29">
    <cfRule type="expression" dxfId="100" priority="116">
      <formula>IF(#REF!&lt;&gt;#REF!,1,0)</formula>
    </cfRule>
  </conditionalFormatting>
  <conditionalFormatting sqref="E28 L28 P28:W29">
    <cfRule type="expression" dxfId="99" priority="118">
      <formula>IF(#REF!&lt;&gt;#REF!,1,0)</formula>
    </cfRule>
  </conditionalFormatting>
  <conditionalFormatting sqref="S28:S29 U28:W29">
    <cfRule type="expression" dxfId="98" priority="115">
      <formula>IF(#REF!&lt;&gt;#REF!,1,0)</formula>
    </cfRule>
  </conditionalFormatting>
  <conditionalFormatting sqref="U28:W29">
    <cfRule type="expression" dxfId="97" priority="114">
      <formula>IF(#REF!&lt;&gt;#REF!,1,0)</formula>
    </cfRule>
  </conditionalFormatting>
  <conditionalFormatting sqref="S28:S29 U28:U29">
    <cfRule type="expression" dxfId="96" priority="113">
      <formula>IF(#REF!&lt;&gt;#REF!,1,0)</formula>
    </cfRule>
  </conditionalFormatting>
  <conditionalFormatting sqref="L28 P28:P29">
    <cfRule type="expression" dxfId="95" priority="112">
      <formula>IF(#REF!&lt;&gt;#REF!,1,0)</formula>
    </cfRule>
  </conditionalFormatting>
  <conditionalFormatting sqref="S28:S29 U28:U29">
    <cfRule type="expression" dxfId="94" priority="111">
      <formula>IF(#REF!&lt;&gt;#REF!,1,0)</formula>
    </cfRule>
  </conditionalFormatting>
  <conditionalFormatting sqref="L28 P28:P29">
    <cfRule type="expression" dxfId="93" priority="110">
      <formula>IF(#REF!&lt;&gt;#REF!,1,0)</formula>
    </cfRule>
  </conditionalFormatting>
  <conditionalFormatting sqref="P28:P29">
    <cfRule type="expression" dxfId="92" priority="109">
      <formula>IF(#REF!&lt;&gt;#REF!,1,0)</formula>
    </cfRule>
  </conditionalFormatting>
  <conditionalFormatting sqref="R28:R29">
    <cfRule type="expression" dxfId="91" priority="102">
      <formula>IF(#REF!&lt;&gt;#REF!,1,0)</formula>
    </cfRule>
  </conditionalFormatting>
  <conditionalFormatting sqref="R28:R29">
    <cfRule type="expression" dxfId="90" priority="108">
      <formula>IF(#REF!&lt;&gt;#REF!,1,0)</formula>
    </cfRule>
  </conditionalFormatting>
  <conditionalFormatting sqref="R28:R29">
    <cfRule type="expression" dxfId="89" priority="107">
      <formula>IF(#REF!&lt;&gt;#REF!,1,0)</formula>
    </cfRule>
  </conditionalFormatting>
  <conditionalFormatting sqref="R28:R29">
    <cfRule type="expression" dxfId="88" priority="106">
      <formula>IF(#REF!&lt;&gt;#REF!,1,0)</formula>
    </cfRule>
  </conditionalFormatting>
  <conditionalFormatting sqref="H28">
    <cfRule type="expression" dxfId="87" priority="100">
      <formula>IF(#REF!&lt;&gt;#REF!,1,0)</formula>
    </cfRule>
  </conditionalFormatting>
  <conditionalFormatting sqref="H28">
    <cfRule type="expression" dxfId="86" priority="99">
      <formula>IF(#REF!&lt;&gt;#REF!,1,0)</formula>
    </cfRule>
  </conditionalFormatting>
  <conditionalFormatting sqref="E28:G28 I28:L28 P28:Q29">
    <cfRule type="expression" dxfId="85" priority="105">
      <formula>IF(#REF!&lt;&gt;#REF!,1,0)</formula>
    </cfRule>
  </conditionalFormatting>
  <conditionalFormatting sqref="R28:R29">
    <cfRule type="expression" dxfId="84" priority="104">
      <formula>IF(#REF!&lt;&gt;#REF!,1,0)</formula>
    </cfRule>
  </conditionalFormatting>
  <conditionalFormatting sqref="R28:R29">
    <cfRule type="expression" dxfId="83" priority="103">
      <formula>IF(#REF!&lt;&gt;#REF!,1,0)</formula>
    </cfRule>
  </conditionalFormatting>
  <conditionalFormatting sqref="H28">
    <cfRule type="expression" dxfId="82" priority="101">
      <formula>IF(#REF!&lt;&gt;#REF!,1,0)</formula>
    </cfRule>
  </conditionalFormatting>
  <conditionalFormatting sqref="M28:N28">
    <cfRule type="expression" dxfId="81" priority="98">
      <formula>IF(#REF!&lt;&gt;#REF!,1,0)</formula>
    </cfRule>
  </conditionalFormatting>
  <conditionalFormatting sqref="M28">
    <cfRule type="expression" dxfId="80" priority="97">
      <formula>IF(#REF!&lt;&gt;#REF!,1,0)</formula>
    </cfRule>
  </conditionalFormatting>
  <conditionalFormatting sqref="W28:W2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">
    <cfRule type="expression" dxfId="79" priority="96">
      <formula>IF(#REF!&lt;&gt;#REF!,1,0)</formula>
    </cfRule>
  </conditionalFormatting>
  <conditionalFormatting sqref="M28">
    <cfRule type="expression" dxfId="78" priority="95">
      <formula>IF(#REF!&lt;&gt;#REF!,1,0)</formula>
    </cfRule>
  </conditionalFormatting>
  <conditionalFormatting sqref="O28">
    <cfRule type="expression" dxfId="77" priority="94">
      <formula>IF(#REF!&lt;&gt;#REF!,1,0)</formula>
    </cfRule>
  </conditionalFormatting>
  <conditionalFormatting sqref="I29:J29">
    <cfRule type="expression" dxfId="76" priority="62">
      <formula>IF(#REF!&lt;&gt;#REF!,1,0)</formula>
    </cfRule>
  </conditionalFormatting>
  <conditionalFormatting sqref="E29:H29">
    <cfRule type="expression" dxfId="75" priority="88">
      <formula>IF(#REF!&lt;&gt;#REF!,1,0)</formula>
    </cfRule>
  </conditionalFormatting>
  <conditionalFormatting sqref="E29 L29">
    <cfRule type="expression" dxfId="74" priority="89">
      <formula>IF(#REF!&lt;&gt;#REF!,1,0)</formula>
    </cfRule>
  </conditionalFormatting>
  <conditionalFormatting sqref="I29:J29">
    <cfRule type="expression" dxfId="73" priority="63">
      <formula>IF(#REF!&lt;&gt;#REF!,1,0)</formula>
    </cfRule>
  </conditionalFormatting>
  <conditionalFormatting sqref="L29">
    <cfRule type="expression" dxfId="72" priority="83">
      <formula>IF(#REF!&lt;&gt;#REF!,1,0)</formula>
    </cfRule>
  </conditionalFormatting>
  <conditionalFormatting sqref="D6:D11 D13:D17">
    <cfRule type="expression" dxfId="71" priority="60">
      <formula>IF(#REF!&lt;&gt;#REF!,1,0)</formula>
    </cfRule>
  </conditionalFormatting>
  <conditionalFormatting sqref="L29">
    <cfRule type="expression" dxfId="70" priority="81">
      <formula>IF(#REF!&lt;&gt;#REF!,1,0)</formula>
    </cfRule>
  </conditionalFormatting>
  <conditionalFormatting sqref="D6">
    <cfRule type="expression" dxfId="69" priority="51">
      <formula>IF(#REF!&lt;&gt;#REF!,1,0)</formula>
    </cfRule>
  </conditionalFormatting>
  <conditionalFormatting sqref="D6">
    <cfRule type="expression" dxfId="68" priority="56">
      <formula>IF(#REF!&lt;&gt;#REF!,1,0)</formula>
    </cfRule>
  </conditionalFormatting>
  <conditionalFormatting sqref="D6">
    <cfRule type="expression" dxfId="67" priority="55">
      <formula>IF(#REF!&lt;&gt;#REF!,1,0)</formula>
    </cfRule>
  </conditionalFormatting>
  <conditionalFormatting sqref="H29">
    <cfRule type="expression" dxfId="66" priority="71">
      <formula>IF(#REF!&lt;&gt;#REF!,1,0)</formula>
    </cfRule>
  </conditionalFormatting>
  <conditionalFormatting sqref="H29">
    <cfRule type="expression" dxfId="65" priority="70">
      <formula>IF(#REF!&lt;&gt;#REF!,1,0)</formula>
    </cfRule>
  </conditionalFormatting>
  <conditionalFormatting sqref="E29:G29 K29:L29">
    <cfRule type="expression" dxfId="64" priority="76">
      <formula>IF(#REF!&lt;&gt;#REF!,1,0)</formula>
    </cfRule>
  </conditionalFormatting>
  <conditionalFormatting sqref="D14:D16">
    <cfRule type="expression" dxfId="63" priority="53">
      <formula>IF(#REF!&lt;&gt;#REF!,1,0)</formula>
    </cfRule>
  </conditionalFormatting>
  <conditionalFormatting sqref="D18">
    <cfRule type="expression" dxfId="62" priority="52">
      <formula>IF(#REF!&lt;&gt;#REF!,1,0)</formula>
    </cfRule>
  </conditionalFormatting>
  <conditionalFormatting sqref="H29">
    <cfRule type="expression" dxfId="61" priority="72">
      <formula>IF(#REF!&lt;&gt;#REF!,1,0)</formula>
    </cfRule>
  </conditionalFormatting>
  <conditionalFormatting sqref="M29:N29">
    <cfRule type="expression" dxfId="60" priority="69">
      <formula>IF(#REF!&lt;&gt;#REF!,1,0)</formula>
    </cfRule>
  </conditionalFormatting>
  <conditionalFormatting sqref="M29">
    <cfRule type="expression" dxfId="59" priority="68">
      <formula>IF(#REF!&lt;&gt;#REF!,1,0)</formula>
    </cfRule>
  </conditionalFormatting>
  <conditionalFormatting sqref="M29">
    <cfRule type="expression" dxfId="58" priority="67">
      <formula>IF(#REF!&lt;&gt;#REF!,1,0)</formula>
    </cfRule>
  </conditionalFormatting>
  <conditionalFormatting sqref="M29">
    <cfRule type="expression" dxfId="57" priority="66">
      <formula>IF(#REF!&lt;&gt;#REF!,1,0)</formula>
    </cfRule>
  </conditionalFormatting>
  <conditionalFormatting sqref="O29">
    <cfRule type="expression" dxfId="56" priority="65">
      <formula>IF(#REF!&lt;&gt;#REF!,1,0)</formula>
    </cfRule>
  </conditionalFormatting>
  <conditionalFormatting sqref="C28:D29">
    <cfRule type="expression" dxfId="55" priority="64">
      <formula>IF(#REF!&lt;&gt;#REF!,1,0)</formula>
    </cfRule>
  </conditionalFormatting>
  <conditionalFormatting sqref="D4">
    <cfRule type="expression" dxfId="54" priority="40">
      <formula>IF(#REF!&lt;&gt;#REF!,1,0)</formula>
    </cfRule>
  </conditionalFormatting>
  <conditionalFormatting sqref="D6:D18">
    <cfRule type="expression" dxfId="53" priority="58">
      <formula>IF(#REF!&lt;&gt;#REF!,1,0)</formula>
    </cfRule>
  </conditionalFormatting>
  <conditionalFormatting sqref="D6:D18">
    <cfRule type="expression" dxfId="52" priority="59">
      <formula>IF(#REF!&lt;&gt;#REF!,1,0)</formula>
    </cfRule>
  </conditionalFormatting>
  <conditionalFormatting sqref="D17 D7:D13">
    <cfRule type="expression" dxfId="51" priority="57">
      <formula>IF(#REF!&lt;&gt;#REF!,1,0)</formula>
    </cfRule>
  </conditionalFormatting>
  <conditionalFormatting sqref="D14:D16">
    <cfRule type="expression" dxfId="50" priority="54">
      <formula>IF(#REF!&lt;&gt;#REF!,1,0)</formula>
    </cfRule>
  </conditionalFormatting>
  <conditionalFormatting sqref="D6">
    <cfRule type="expression" dxfId="49" priority="50">
      <formula>IF(#REF!&lt;&gt;#REF!,1,0)</formula>
    </cfRule>
  </conditionalFormatting>
  <conditionalFormatting sqref="D12">
    <cfRule type="expression" dxfId="48" priority="61">
      <formula>IF(#REF!&lt;&gt;#REF!,1,0)</formula>
    </cfRule>
  </conditionalFormatting>
  <conditionalFormatting sqref="D19">
    <cfRule type="expression" dxfId="47" priority="47">
      <formula>IF(#REF!&lt;&gt;#REF!,1,0)</formula>
    </cfRule>
  </conditionalFormatting>
  <conditionalFormatting sqref="D19">
    <cfRule type="expression" dxfId="46" priority="48">
      <formula>IF(#REF!&lt;&gt;#REF!,1,0)</formula>
    </cfRule>
  </conditionalFormatting>
  <conditionalFormatting sqref="D19">
    <cfRule type="expression" dxfId="45" priority="46">
      <formula>IF(#REF!&lt;&gt;#REF!,1,0)</formula>
    </cfRule>
  </conditionalFormatting>
  <conditionalFormatting sqref="D19">
    <cfRule type="expression" dxfId="44" priority="45">
      <formula>IF(#REF!&lt;&gt;#REF!,1,0)</formula>
    </cfRule>
  </conditionalFormatting>
  <conditionalFormatting sqref="D19">
    <cfRule type="expression" dxfId="43" priority="49">
      <formula>IF(#REF!&lt;&gt;#REF!,1,0)</formula>
    </cfRule>
  </conditionalFormatting>
  <conditionalFormatting sqref="D4">
    <cfRule type="expression" dxfId="42" priority="42">
      <formula>IF(#REF!&lt;&gt;#REF!,1,0)</formula>
    </cfRule>
  </conditionalFormatting>
  <conditionalFormatting sqref="D4">
    <cfRule type="expression" dxfId="41" priority="43">
      <formula>IF(#REF!&lt;&gt;#REF!,1,0)</formula>
    </cfRule>
  </conditionalFormatting>
  <conditionalFormatting sqref="D4">
    <cfRule type="expression" dxfId="40" priority="41">
      <formula>IF(#REF!&lt;&gt;#REF!,1,0)</formula>
    </cfRule>
  </conditionalFormatting>
  <conditionalFormatting sqref="D4">
    <cfRule type="expression" dxfId="39" priority="44">
      <formula>IF(#REF!&lt;&gt;#REF!,1,0)</formula>
    </cfRule>
  </conditionalFormatting>
  <conditionalFormatting sqref="U31:W31 Q31 E31:J31">
    <cfRule type="expression" dxfId="38" priority="38">
      <formula>IF(#REF!&lt;&gt;#REF!,1,0)</formula>
    </cfRule>
  </conditionalFormatting>
  <conditionalFormatting sqref="U31:W31">
    <cfRule type="expression" dxfId="37" priority="37">
      <formula>IF(#REF!&lt;&gt;#REF!,1,0)</formula>
    </cfRule>
  </conditionalFormatting>
  <conditionalFormatting sqref="L31:S31 C31:E31">
    <cfRule type="expression" dxfId="36" priority="39">
      <formula>IF(#REF!&lt;&gt;#REF!,1,0)</formula>
    </cfRule>
  </conditionalFormatting>
  <conditionalFormatting sqref="W31">
    <cfRule type="expression" dxfId="35" priority="36">
      <formula>IF(#REF!&lt;&gt;#REF!,1,0)</formula>
    </cfRule>
  </conditionalFormatting>
  <conditionalFormatting sqref="R31">
    <cfRule type="expression" dxfId="34" priority="35">
      <formula>IF(#REF!&lt;&gt;#REF!,1,0)</formula>
    </cfRule>
  </conditionalFormatting>
  <conditionalFormatting sqref="K31">
    <cfRule type="expression" dxfId="33" priority="32">
      <formula>IF(#REF!&lt;&gt;#REF!,1,0)</formula>
    </cfRule>
  </conditionalFormatting>
  <conditionalFormatting sqref="K31">
    <cfRule type="expression" dxfId="32" priority="34">
      <formula>IF(#REF!&lt;&gt;#REF!,1,0)</formula>
    </cfRule>
  </conditionalFormatting>
  <conditionalFormatting sqref="K31">
    <cfRule type="expression" dxfId="31" priority="33">
      <formula>IF(#REF!&lt;&gt;#REF!,1,0)</formula>
    </cfRule>
  </conditionalFormatting>
  <conditionalFormatting sqref="T31">
    <cfRule type="expression" dxfId="30" priority="31">
      <formula>IF(#REF!&lt;&gt;#REF!,1,0)</formula>
    </cfRule>
  </conditionalFormatting>
  <conditionalFormatting sqref="T31">
    <cfRule type="expression" dxfId="29" priority="30">
      <formula>IF(#REF!&lt;&gt;#REF!,1,0)</formula>
    </cfRule>
  </conditionalFormatting>
  <conditionalFormatting sqref="T31">
    <cfRule type="expression" dxfId="28" priority="29">
      <formula>IF(#REF!&lt;&gt;#REF!,1,0)</formula>
    </cfRule>
  </conditionalFormatting>
  <conditionalFormatting sqref="W31">
    <cfRule type="expression" dxfId="27" priority="28">
      <formula>IF(#REF!&lt;&gt;#REF!,1,0)</formula>
    </cfRule>
  </conditionalFormatting>
  <conditionalFormatting sqref="W31">
    <cfRule type="expression" dxfId="26" priority="27">
      <formula>IF(#REF!&lt;&gt;#REF!,1,0)</formula>
    </cfRule>
  </conditionalFormatting>
  <conditionalFormatting sqref="W31">
    <cfRule type="expression" dxfId="25" priority="26">
      <formula>IF(#REF!&lt;&gt;#REF!,1,0)</formula>
    </cfRule>
  </conditionalFormatting>
  <conditionalFormatting sqref="L31">
    <cfRule type="expression" dxfId="24" priority="25">
      <formula>IF(#REF!&lt;&gt;#REF!,1,0)</formula>
    </cfRule>
  </conditionalFormatting>
  <conditionalFormatting sqref="L31">
    <cfRule type="expression" dxfId="23" priority="24">
      <formula>IF(#REF!&lt;&gt;#REF!,1,0)</formula>
    </cfRule>
  </conditionalFormatting>
  <conditionalFormatting sqref="L31">
    <cfRule type="expression" dxfId="22" priority="23">
      <formula>IF(#REF!&lt;&gt;#REF!,1,0)</formula>
    </cfRule>
  </conditionalFormatting>
  <conditionalFormatting sqref="R31">
    <cfRule type="expression" dxfId="21" priority="22">
      <formula>IF(#REF!&lt;&gt;#REF!,1,0)</formula>
    </cfRule>
  </conditionalFormatting>
  <conditionalFormatting sqref="R31">
    <cfRule type="expression" dxfId="20" priority="21">
      <formula>IF(#REF!&lt;&gt;#REF!,1,0)</formula>
    </cfRule>
  </conditionalFormatting>
  <conditionalFormatting sqref="R31">
    <cfRule type="expression" dxfId="19" priority="20">
      <formula>IF(#REF!&lt;&gt;#REF!,1,0)</formula>
    </cfRule>
  </conditionalFormatting>
  <conditionalFormatting sqref="I31">
    <cfRule type="expression" dxfId="18" priority="19">
      <formula>IF(#REF!&lt;&gt;#REF!,1,0)</formula>
    </cfRule>
  </conditionalFormatting>
  <conditionalFormatting sqref="J31">
    <cfRule type="expression" dxfId="17" priority="18">
      <formula>IF(#REF!&lt;&gt;#REF!,1,0)</formula>
    </cfRule>
  </conditionalFormatting>
  <conditionalFormatting sqref="Q31">
    <cfRule type="expression" dxfId="16" priority="17">
      <formula>IF(#REF!&lt;&gt;#REF!,1,0)</formula>
    </cfRule>
  </conditionalFormatting>
  <conditionalFormatting sqref="U30:W30 Q30 E30:J30">
    <cfRule type="expression" dxfId="15" priority="15">
      <formula>IF(#REF!&lt;&gt;#REF!,1,0)</formula>
    </cfRule>
  </conditionalFormatting>
  <conditionalFormatting sqref="U30:W30">
    <cfRule type="expression" dxfId="14" priority="14">
      <formula>IF(#REF!&lt;&gt;#REF!,1,0)</formula>
    </cfRule>
  </conditionalFormatting>
  <conditionalFormatting sqref="L30:W30 C30:E30">
    <cfRule type="expression" dxfId="13" priority="16">
      <formula>IF(#REF!&lt;&gt;#REF!,1,0)</formula>
    </cfRule>
  </conditionalFormatting>
  <conditionalFormatting sqref="S30:W30">
    <cfRule type="expression" dxfId="12" priority="13">
      <formula>IF(#REF!&lt;&gt;#REF!,1,0)</formula>
    </cfRule>
  </conditionalFormatting>
  <conditionalFormatting sqref="W30 E30:J30 L30:Q30">
    <cfRule type="expression" dxfId="11" priority="12">
      <formula>IF(#REF!&lt;&gt;#REF!,1,0)</formula>
    </cfRule>
  </conditionalFormatting>
  <conditionalFormatting sqref="W30">
    <cfRule type="expression" dxfId="10" priority="11">
      <formula>IF(#REF!&lt;&gt;#REF!,1,0)</formula>
    </cfRule>
  </conditionalFormatting>
  <conditionalFormatting sqref="R30">
    <cfRule type="expression" dxfId="9" priority="4">
      <formula>IF(#REF!&lt;&gt;#REF!,1,0)</formula>
    </cfRule>
  </conditionalFormatting>
  <conditionalFormatting sqref="K30">
    <cfRule type="expression" dxfId="8" priority="1">
      <formula>IF(#REF!&lt;&gt;#REF!,1,0)</formula>
    </cfRule>
  </conditionalFormatting>
  <conditionalFormatting sqref="K30">
    <cfRule type="expression" dxfId="7" priority="3">
      <formula>IF(#REF!&lt;&gt;#REF!,1,0)</formula>
    </cfRule>
  </conditionalFormatting>
  <conditionalFormatting sqref="K30">
    <cfRule type="expression" dxfId="6" priority="2">
      <formula>IF(#REF!&lt;&gt;#REF!,1,0)</formula>
    </cfRule>
  </conditionalFormatting>
  <conditionalFormatting sqref="W30">
    <cfRule type="expression" dxfId="5" priority="10">
      <formula>IF(#REF!&lt;&gt;#REF!,1,0)</formula>
    </cfRule>
  </conditionalFormatting>
  <conditionalFormatting sqref="L30:Q30">
    <cfRule type="expression" dxfId="4" priority="8">
      <formula>IF(#REF!&lt;&gt;#REF!,1,0)</formula>
    </cfRule>
  </conditionalFormatting>
  <conditionalFormatting sqref="M30:Q30">
    <cfRule type="expression" dxfId="3" priority="7">
      <formula>IF(#REF!&lt;&gt;#REF!,1,0)</formula>
    </cfRule>
  </conditionalFormatting>
  <conditionalFormatting sqref="C30:D30">
    <cfRule type="expression" dxfId="2" priority="9">
      <formula>IF(#REF!&lt;&gt;#REF!,1,0)</formula>
    </cfRule>
  </conditionalFormatting>
  <conditionalFormatting sqref="R30">
    <cfRule type="expression" dxfId="1" priority="6">
      <formula>IF(#REF!&lt;&gt;#REF!,1,0)</formula>
    </cfRule>
  </conditionalFormatting>
  <conditionalFormatting sqref="R30">
    <cfRule type="expression" dxfId="0" priority="5">
      <formula>IF(#REF!&lt;&gt;#REF!,1,0)</formula>
    </cfRule>
  </conditionalFormatting>
  <pageMargins left="0.7" right="0.7" top="0.75" bottom="0.75" header="0.3" footer="0.3"/>
  <pageSetup orientation="portrait" r:id="rId1"/>
  <ignoredErrors>
    <ignoredError sqref="N6 Q23 N7:N22" formula="1"/>
    <ignoredError sqref="K7:K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Shahrdary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 Shirazi</cp:lastModifiedBy>
  <dcterms:created xsi:type="dcterms:W3CDTF">2020-12-29T16:16:45Z</dcterms:created>
  <dcterms:modified xsi:type="dcterms:W3CDTF">2020-12-30T14:13:27Z</dcterms:modified>
</cp:coreProperties>
</file>