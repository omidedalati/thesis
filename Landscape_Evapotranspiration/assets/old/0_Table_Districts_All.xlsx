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esktop\"/>
    </mc:Choice>
  </mc:AlternateContent>
  <xr:revisionPtr revIDLastSave="0" documentId="8_{447B1E5F-D26D-4E19-BF9F-70D03F0E4107}" xr6:coauthVersionLast="45" xr6:coauthVersionMax="45" xr10:uidLastSave="{00000000-0000-0000-0000-000000000000}"/>
  <bookViews>
    <workbookView xWindow="-110" yWindow="-110" windowWidth="21820" windowHeight="14160" tabRatio="562" xr2:uid="{00000000-000D-0000-FFFF-FFFF00000000}"/>
  </bookViews>
  <sheets>
    <sheet name="Shahrdary" sheetId="1" r:id="rId1"/>
    <sheet name="HydroM." sheetId="3" r:id="rId2"/>
    <sheet name="16" sheetId="5" r:id="rId3"/>
    <sheet name="Abs (2)" sheetId="12" r:id="rId4"/>
    <sheet name="TreeQ" sheetId="11" r:id="rId5"/>
    <sheet name="Shading" sheetId="9" r:id="rId6"/>
    <sheet name="9&amp;11" sheetId="7" r:id="rId7"/>
    <sheet name="کمربند" sheetId="10" r:id="rId8"/>
    <sheet name="Demands (2)" sheetId="4" r:id="rId9"/>
    <sheet name="Demands" sheetId="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Key1" localSheetId="3" hidden="1">'[1]ضغد ءب آظنé '!#REF!</definedName>
    <definedName name="_Key1" localSheetId="5" hidden="1">'[2]ضغد ءب آظنé '!#REF!</definedName>
    <definedName name="_Key1" localSheetId="0" hidden="1">'[2]ضغد ءب آظنé '!#REF!</definedName>
    <definedName name="_Key1" localSheetId="4" hidden="1">'[2]ضغد ءب آظنé '!#REF!</definedName>
    <definedName name="_Key1" hidden="1">'[2]ضغد ءب آظنé '!#REF!</definedName>
    <definedName name="_Order1" hidden="1">255</definedName>
    <definedName name="_Sort" localSheetId="3" hidden="1">'[1]ضغد ءب آظنé '!#REF!</definedName>
    <definedName name="_Sort" localSheetId="4" hidden="1">'[2]ضغد ءب آظنé '!#REF!</definedName>
    <definedName name="_Sort" hidden="1">'[2]ضغد ءب آظنé '!#REF!</definedName>
    <definedName name="çسçر76" localSheetId="5">[3]çسçرءهآس!$C$2:$J$39</definedName>
    <definedName name="çسçر76">[4]çسçرءهآس!$C$2:$J$39</definedName>
    <definedName name="Spots" localSheetId="3">#REF!</definedName>
    <definedName name="Spots">#REF!</definedName>
    <definedName name="بسوآهè" localSheetId="5">[3]çسçرءهآس!$CY$83:$DD$97</definedName>
    <definedName name="بسوآهè">[4]çسçرءهآس!$CY$83:$DD$97</definedName>
    <definedName name="مشآسطçسçرهآèآوè" localSheetId="5">[3]çسçرءهآس!$T$6:$AA$23</definedName>
    <definedName name="مشآسطçسçرهآèآوè">[4]çسçرءهآس!$T$6:$AA$23</definedName>
  </definedNames>
  <calcPr calcId="191029"/>
  <customWorkbookViews>
    <customWorkbookView name="hydrotech toos - Personal View" guid="{26361B95-E0F4-4392-817A-319F68EF6AA9}" mergeInterval="0" personalView="1" maximized="1" xWindow="-8" yWindow="-8" windowWidth="1936" windowHeight="1056" activeSheetId="1"/>
    <customWorkbookView name="Lenovo-khadivi - Personal View" guid="{467F609B-6BAD-4DEC-B1AB-339F329A87DF}" mergeInterval="0" personalView="1" maximized="1" xWindow="-8" yWindow="-8" windowWidth="1382" windowHeight="744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5" i="11" l="1"/>
  <c r="Q41" i="11"/>
  <c r="Q40" i="11"/>
  <c r="Q39" i="11"/>
  <c r="Q38" i="11"/>
  <c r="Q37" i="11"/>
  <c r="Q36" i="11"/>
  <c r="Q35" i="11"/>
  <c r="G36" i="11"/>
  <c r="G35" i="11"/>
  <c r="C35" i="11" s="1"/>
  <c r="H28" i="11"/>
  <c r="H48" i="11"/>
  <c r="H47" i="11"/>
  <c r="H46" i="11"/>
  <c r="H44" i="11"/>
  <c r="H43" i="11"/>
  <c r="H42" i="11"/>
  <c r="H41" i="11"/>
  <c r="I41" i="11" s="1"/>
  <c r="H40" i="11"/>
  <c r="H39" i="11"/>
  <c r="I39" i="11" s="1"/>
  <c r="H38" i="11"/>
  <c r="H19" i="11"/>
  <c r="AC48" i="11"/>
  <c r="G48" i="11"/>
  <c r="AC47" i="11"/>
  <c r="G47" i="11"/>
  <c r="AC46" i="11"/>
  <c r="G46" i="11"/>
  <c r="G45" i="11"/>
  <c r="H45" i="11" s="1"/>
  <c r="O43" i="11"/>
  <c r="I43" i="11"/>
  <c r="G43" i="11"/>
  <c r="D43" i="11"/>
  <c r="G42" i="11"/>
  <c r="I42" i="11" s="1"/>
  <c r="G41" i="11"/>
  <c r="G40" i="11"/>
  <c r="I40" i="11" s="1"/>
  <c r="G39" i="11"/>
  <c r="G38" i="11"/>
  <c r="I38" i="11" s="1"/>
  <c r="H37" i="11"/>
  <c r="I37" i="11" s="1"/>
  <c r="G37" i="11"/>
  <c r="X36" i="11"/>
  <c r="J36" i="11"/>
  <c r="S36" i="11" s="1"/>
  <c r="H36" i="11"/>
  <c r="X35" i="11"/>
  <c r="S35" i="11"/>
  <c r="J35" i="11"/>
  <c r="H35" i="11"/>
  <c r="H20" i="11"/>
  <c r="H21" i="11"/>
  <c r="H22" i="11"/>
  <c r="H23" i="11"/>
  <c r="H24" i="11"/>
  <c r="H25" i="11"/>
  <c r="L11" i="9"/>
  <c r="L12" i="9"/>
  <c r="L13" i="9"/>
  <c r="L14" i="9"/>
  <c r="L15" i="9"/>
  <c r="L16" i="9"/>
  <c r="L17" i="9"/>
  <c r="L18" i="9"/>
  <c r="L19" i="9"/>
  <c r="L20" i="9"/>
  <c r="L21" i="9"/>
  <c r="L10" i="9"/>
  <c r="F10" i="9"/>
  <c r="F11" i="9"/>
  <c r="F12" i="9"/>
  <c r="F13" i="9"/>
  <c r="F14" i="9"/>
  <c r="F15" i="9"/>
  <c r="F16" i="9"/>
  <c r="F17" i="9"/>
  <c r="F18" i="9"/>
  <c r="F19" i="9"/>
  <c r="F20" i="9"/>
  <c r="F21" i="9"/>
  <c r="F9" i="9"/>
  <c r="B21" i="9"/>
  <c r="AB28" i="11"/>
  <c r="AC30" i="11"/>
  <c r="AC28" i="11"/>
  <c r="AC29" i="11"/>
  <c r="AC27" i="11"/>
  <c r="AB27" i="11"/>
  <c r="G30" i="11"/>
  <c r="H30" i="11" s="1"/>
  <c r="G29" i="11"/>
  <c r="H29" i="11" s="1"/>
  <c r="H31" i="11"/>
  <c r="I31" i="11" s="1"/>
  <c r="V17" i="11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5" i="3"/>
  <c r="S22" i="3"/>
  <c r="Z22" i="3"/>
  <c r="G28" i="11"/>
  <c r="I28" i="11" s="1"/>
  <c r="G27" i="11"/>
  <c r="H27" i="11" s="1"/>
  <c r="I27" i="11" s="1"/>
  <c r="V35" i="11" l="1"/>
  <c r="C36" i="11"/>
  <c r="X39" i="11"/>
  <c r="J39" i="11"/>
  <c r="S39" i="11" s="1"/>
  <c r="I45" i="11"/>
  <c r="Z45" i="11"/>
  <c r="AB45" i="11" s="1"/>
  <c r="X38" i="11"/>
  <c r="J38" i="11"/>
  <c r="S38" i="11" s="1"/>
  <c r="J41" i="11"/>
  <c r="S41" i="11" s="1"/>
  <c r="X41" i="11"/>
  <c r="X40" i="11"/>
  <c r="J40" i="11"/>
  <c r="S40" i="11" s="1"/>
  <c r="J43" i="11"/>
  <c r="S43" i="11" s="1"/>
  <c r="X43" i="11"/>
  <c r="I46" i="11"/>
  <c r="Z46" i="11"/>
  <c r="AB46" i="11" s="1"/>
  <c r="I48" i="11"/>
  <c r="Z48" i="11"/>
  <c r="AB48" i="11" s="1"/>
  <c r="I47" i="11"/>
  <c r="Z47" i="11"/>
  <c r="AB47" i="11" s="1"/>
  <c r="T36" i="11"/>
  <c r="V36" i="11"/>
  <c r="U36" i="11"/>
  <c r="X37" i="11"/>
  <c r="J37" i="11"/>
  <c r="S37" i="11" s="1"/>
  <c r="J42" i="11"/>
  <c r="S42" i="11" s="1"/>
  <c r="X42" i="11"/>
  <c r="T35" i="11"/>
  <c r="U35" i="11"/>
  <c r="I29" i="11"/>
  <c r="Z29" i="11"/>
  <c r="AB29" i="11" s="1"/>
  <c r="Z30" i="11"/>
  <c r="AB30" i="11" s="1"/>
  <c r="I30" i="11"/>
  <c r="Z28" i="11"/>
  <c r="Z27" i="11"/>
  <c r="J28" i="11"/>
  <c r="S28" i="11" s="1"/>
  <c r="X28" i="11"/>
  <c r="J27" i="11"/>
  <c r="S27" i="11" s="1"/>
  <c r="T27" i="11" s="1"/>
  <c r="X27" i="11"/>
  <c r="T17" i="11"/>
  <c r="B11" i="9"/>
  <c r="B12" i="9"/>
  <c r="B13" i="9"/>
  <c r="B14" i="9"/>
  <c r="B15" i="9"/>
  <c r="B16" i="9"/>
  <c r="B17" i="9"/>
  <c r="B18" i="9"/>
  <c r="B19" i="9"/>
  <c r="B20" i="9"/>
  <c r="B10" i="9"/>
  <c r="V37" i="11" l="1"/>
  <c r="U37" i="11"/>
  <c r="T37" i="11"/>
  <c r="X48" i="11"/>
  <c r="J48" i="11"/>
  <c r="S48" i="11" s="1"/>
  <c r="V43" i="11"/>
  <c r="U43" i="11"/>
  <c r="T43" i="11"/>
  <c r="V41" i="11"/>
  <c r="T41" i="11"/>
  <c r="U41" i="11"/>
  <c r="X45" i="11"/>
  <c r="J45" i="11"/>
  <c r="S45" i="11" s="1"/>
  <c r="U42" i="11"/>
  <c r="V42" i="11"/>
  <c r="T42" i="11"/>
  <c r="T40" i="11"/>
  <c r="V40" i="11"/>
  <c r="U40" i="11"/>
  <c r="T38" i="11"/>
  <c r="V38" i="11"/>
  <c r="U38" i="11"/>
  <c r="V39" i="11"/>
  <c r="T39" i="11"/>
  <c r="U39" i="11"/>
  <c r="J47" i="11"/>
  <c r="S47" i="11" s="1"/>
  <c r="X47" i="11"/>
  <c r="X46" i="11"/>
  <c r="J46" i="11"/>
  <c r="S46" i="11" s="1"/>
  <c r="X30" i="11"/>
  <c r="J30" i="11"/>
  <c r="S30" i="11" s="1"/>
  <c r="J29" i="11"/>
  <c r="S29" i="11" s="1"/>
  <c r="X29" i="11"/>
  <c r="V27" i="11"/>
  <c r="U27" i="11"/>
  <c r="V28" i="11"/>
  <c r="T28" i="11"/>
  <c r="U28" i="11"/>
  <c r="U46" i="11" l="1"/>
  <c r="V46" i="11"/>
  <c r="T46" i="11"/>
  <c r="U45" i="11"/>
  <c r="T45" i="11"/>
  <c r="V45" i="11"/>
  <c r="U48" i="11"/>
  <c r="T48" i="11"/>
  <c r="V48" i="11"/>
  <c r="U47" i="11"/>
  <c r="V47" i="11"/>
  <c r="T47" i="11"/>
  <c r="V29" i="11"/>
  <c r="U29" i="11"/>
  <c r="T29" i="11"/>
  <c r="T30" i="11"/>
  <c r="V30" i="11"/>
  <c r="U30" i="11"/>
  <c r="AJ7" i="3" l="1"/>
  <c r="AJ8" i="3"/>
  <c r="AJ9" i="3"/>
  <c r="AJ6" i="3"/>
  <c r="X22" i="3" l="1"/>
  <c r="AF22" i="3"/>
  <c r="AF21" i="3"/>
  <c r="AE21" i="3"/>
  <c r="AG20" i="3"/>
  <c r="AH20" i="3" s="1"/>
  <c r="AH19" i="3"/>
  <c r="AH18" i="3"/>
  <c r="AG17" i="3"/>
  <c r="AH17" i="3" s="1"/>
  <c r="AG16" i="3"/>
  <c r="AH16" i="3" s="1"/>
  <c r="AG15" i="3"/>
  <c r="AH15" i="3" s="1"/>
  <c r="AH14" i="3"/>
  <c r="AG14" i="3"/>
  <c r="AG13" i="3"/>
  <c r="AH13" i="3" s="1"/>
  <c r="AG12" i="3"/>
  <c r="AH12" i="3" s="1"/>
  <c r="AG11" i="3"/>
  <c r="AH11" i="3" s="1"/>
  <c r="AH10" i="3"/>
  <c r="AG10" i="3"/>
  <c r="AG9" i="3"/>
  <c r="AH9" i="3" s="1"/>
  <c r="AG8" i="3"/>
  <c r="AH8" i="3" s="1"/>
  <c r="AG7" i="3"/>
  <c r="AH7" i="3" s="1"/>
  <c r="AH6" i="3"/>
  <c r="AG6" i="3"/>
  <c r="AG5" i="3"/>
  <c r="AH5" i="3" s="1"/>
  <c r="X21" i="3"/>
  <c r="K22" i="3"/>
  <c r="AH21" i="3" l="1"/>
  <c r="AG21" i="3"/>
  <c r="W21" i="3"/>
  <c r="Y20" i="3"/>
  <c r="K21" i="3" l="1"/>
  <c r="S19" i="3"/>
  <c r="S18" i="3"/>
  <c r="AA6" i="3"/>
  <c r="AA5" i="3"/>
  <c r="F8" i="1"/>
  <c r="H77" i="1"/>
  <c r="K5" i="3"/>
  <c r="E116" i="12" l="1"/>
  <c r="R96" i="12"/>
  <c r="Q96" i="12"/>
  <c r="P96" i="12"/>
  <c r="O96" i="12"/>
  <c r="S96" i="12" s="1"/>
  <c r="U96" i="12" s="1"/>
  <c r="A96" i="12"/>
  <c r="Q95" i="12"/>
  <c r="R95" i="12" s="1"/>
  <c r="P95" i="12"/>
  <c r="Q94" i="12"/>
  <c r="P94" i="12"/>
  <c r="R94" i="12" s="1"/>
  <c r="Q93" i="12"/>
  <c r="P93" i="12"/>
  <c r="R93" i="12" s="1"/>
  <c r="O93" i="12"/>
  <c r="T82" i="12"/>
  <c r="D82" i="12"/>
  <c r="C82" i="12"/>
  <c r="B82" i="12"/>
  <c r="T79" i="12"/>
  <c r="N79" i="12"/>
  <c r="D79" i="12"/>
  <c r="C79" i="12"/>
  <c r="B79" i="12"/>
  <c r="Q77" i="12"/>
  <c r="R77" i="12" s="1"/>
  <c r="P77" i="12"/>
  <c r="Q76" i="12"/>
  <c r="P76" i="12"/>
  <c r="R76" i="12" s="1"/>
  <c r="Q75" i="12"/>
  <c r="P75" i="12"/>
  <c r="R75" i="12" s="1"/>
  <c r="R74" i="12"/>
  <c r="Q74" i="12"/>
  <c r="P74" i="12"/>
  <c r="O74" i="12"/>
  <c r="S74" i="12" s="1"/>
  <c r="U74" i="12" s="1"/>
  <c r="Q73" i="12"/>
  <c r="R73" i="12" s="1"/>
  <c r="P73" i="12"/>
  <c r="O73" i="12"/>
  <c r="S73" i="12" s="1"/>
  <c r="R72" i="12"/>
  <c r="Q72" i="12"/>
  <c r="P72" i="12"/>
  <c r="O72" i="12"/>
  <c r="S72" i="12" s="1"/>
  <c r="U72" i="12" s="1"/>
  <c r="A72" i="12"/>
  <c r="Q71" i="12"/>
  <c r="P71" i="12"/>
  <c r="R71" i="12" s="1"/>
  <c r="R70" i="12"/>
  <c r="Q70" i="12"/>
  <c r="P70" i="12"/>
  <c r="O70" i="12"/>
  <c r="S70" i="12" s="1"/>
  <c r="U70" i="12" s="1"/>
  <c r="A70" i="12"/>
  <c r="Q69" i="12"/>
  <c r="R69" i="12" s="1"/>
  <c r="P69" i="12"/>
  <c r="O69" i="12"/>
  <c r="S69" i="12" s="1"/>
  <c r="Q68" i="12"/>
  <c r="Q67" i="12"/>
  <c r="P67" i="12"/>
  <c r="R67" i="12" s="1"/>
  <c r="R66" i="12"/>
  <c r="Q66" i="12"/>
  <c r="P66" i="12"/>
  <c r="Q65" i="12"/>
  <c r="O65" i="12"/>
  <c r="O66" i="12" s="1"/>
  <c r="S66" i="12" s="1"/>
  <c r="Q64" i="12"/>
  <c r="P64" i="12"/>
  <c r="O64" i="12"/>
  <c r="Q63" i="12"/>
  <c r="Q62" i="12"/>
  <c r="P62" i="12"/>
  <c r="R61" i="12"/>
  <c r="Q61" i="12"/>
  <c r="P61" i="12"/>
  <c r="Q60" i="12"/>
  <c r="P60" i="12"/>
  <c r="Q59" i="12"/>
  <c r="P59" i="12"/>
  <c r="Q58" i="12"/>
  <c r="Q57" i="12"/>
  <c r="Q56" i="12"/>
  <c r="Q55" i="12"/>
  <c r="P55" i="12"/>
  <c r="O55" i="12"/>
  <c r="Q54" i="12"/>
  <c r="Q53" i="12"/>
  <c r="Q52" i="12"/>
  <c r="P52" i="12"/>
  <c r="Q51" i="12"/>
  <c r="Q50" i="12"/>
  <c r="P50" i="12"/>
  <c r="R49" i="12"/>
  <c r="Q49" i="12"/>
  <c r="P49" i="12"/>
  <c r="Q48" i="12"/>
  <c r="P48" i="12"/>
  <c r="R48" i="12" s="1"/>
  <c r="Q47" i="12"/>
  <c r="P47" i="12"/>
  <c r="R46" i="12"/>
  <c r="Q46" i="12"/>
  <c r="P46" i="12"/>
  <c r="O46" i="12"/>
  <c r="O47" i="12" s="1"/>
  <c r="Q45" i="12"/>
  <c r="R45" i="12" s="1"/>
  <c r="P45" i="12"/>
  <c r="O45" i="12"/>
  <c r="R44" i="12"/>
  <c r="Q44" i="12"/>
  <c r="P44" i="12"/>
  <c r="Q43" i="12"/>
  <c r="P43" i="12"/>
  <c r="R43" i="12" s="1"/>
  <c r="R42" i="12"/>
  <c r="Q42" i="12"/>
  <c r="P42" i="12"/>
  <c r="S41" i="12"/>
  <c r="Q41" i="12"/>
  <c r="R41" i="12" s="1"/>
  <c r="P41" i="12"/>
  <c r="O41" i="12"/>
  <c r="O42" i="12" s="1"/>
  <c r="S42" i="12" s="1"/>
  <c r="U42" i="12" s="1"/>
  <c r="Q40" i="12"/>
  <c r="Q39" i="12"/>
  <c r="P39" i="12"/>
  <c r="R39" i="12" s="1"/>
  <c r="Q38" i="12"/>
  <c r="Q37" i="12"/>
  <c r="Q36" i="12"/>
  <c r="P36" i="12"/>
  <c r="Q35" i="12"/>
  <c r="P35" i="12"/>
  <c r="R35" i="12" s="1"/>
  <c r="R34" i="12"/>
  <c r="Q34" i="12"/>
  <c r="P34" i="12"/>
  <c r="O34" i="12"/>
  <c r="O35" i="12" s="1"/>
  <c r="Q33" i="12"/>
  <c r="R33" i="12" s="1"/>
  <c r="P33" i="12"/>
  <c r="O33" i="12"/>
  <c r="S33" i="12" s="1"/>
  <c r="R32" i="12"/>
  <c r="Q32" i="12"/>
  <c r="P32" i="12"/>
  <c r="Q31" i="12"/>
  <c r="P31" i="12"/>
  <c r="R31" i="12" s="1"/>
  <c r="R30" i="12"/>
  <c r="Q30" i="12"/>
  <c r="P30" i="12"/>
  <c r="Q29" i="12"/>
  <c r="R29" i="12" s="1"/>
  <c r="P29" i="12"/>
  <c r="O29" i="12"/>
  <c r="O30" i="12" s="1"/>
  <c r="R28" i="12"/>
  <c r="Q28" i="12"/>
  <c r="P28" i="12"/>
  <c r="O28" i="12"/>
  <c r="S28" i="12" s="1"/>
  <c r="U28" i="12" s="1"/>
  <c r="A28" i="12"/>
  <c r="Q27" i="12"/>
  <c r="P27" i="12"/>
  <c r="R27" i="12" s="1"/>
  <c r="R26" i="12"/>
  <c r="Q26" i="12"/>
  <c r="P26" i="12"/>
  <c r="Q25" i="12"/>
  <c r="R25" i="12" s="1"/>
  <c r="P25" i="12"/>
  <c r="O25" i="12"/>
  <c r="O26" i="12" s="1"/>
  <c r="R24" i="12"/>
  <c r="Q24" i="12"/>
  <c r="P24" i="12"/>
  <c r="Q23" i="12"/>
  <c r="P23" i="12"/>
  <c r="R23" i="12" s="1"/>
  <c r="O23" i="12"/>
  <c r="O24" i="12" s="1"/>
  <c r="S24" i="12" s="1"/>
  <c r="U24" i="12" s="1"/>
  <c r="Q22" i="12"/>
  <c r="P22" i="12"/>
  <c r="R22" i="12" s="1"/>
  <c r="O22" i="12"/>
  <c r="R21" i="12"/>
  <c r="Q21" i="12"/>
  <c r="P21" i="12"/>
  <c r="Q20" i="12"/>
  <c r="P20" i="12"/>
  <c r="R20" i="12" s="1"/>
  <c r="Q19" i="12"/>
  <c r="P19" i="12"/>
  <c r="Q18" i="12"/>
  <c r="P18" i="12"/>
  <c r="R18" i="12" s="1"/>
  <c r="Q17" i="12"/>
  <c r="R17" i="12" s="1"/>
  <c r="P17" i="12"/>
  <c r="O17" i="12"/>
  <c r="O18" i="12" s="1"/>
  <c r="Q16" i="12"/>
  <c r="Q15" i="12"/>
  <c r="P15" i="12"/>
  <c r="R15" i="12" s="1"/>
  <c r="AA14" i="12"/>
  <c r="AB14" i="12" s="1"/>
  <c r="AD14" i="12" s="1"/>
  <c r="AF14" i="12" s="1"/>
  <c r="AG14" i="12" s="1"/>
  <c r="Z14" i="12"/>
  <c r="R14" i="12"/>
  <c r="Q14" i="12"/>
  <c r="P14" i="12"/>
  <c r="AE13" i="12"/>
  <c r="AD13" i="12"/>
  <c r="AF13" i="12" s="1"/>
  <c r="AG13" i="12" s="1"/>
  <c r="AC13" i="12"/>
  <c r="AB13" i="12"/>
  <c r="Q13" i="12"/>
  <c r="P13" i="12"/>
  <c r="AF12" i="12"/>
  <c r="AG12" i="12" s="1"/>
  <c r="AC12" i="12"/>
  <c r="AE12" i="12" s="1"/>
  <c r="AB12" i="12"/>
  <c r="AD12" i="12" s="1"/>
  <c r="Z12" i="12"/>
  <c r="AA11" i="12" s="1"/>
  <c r="Q12" i="12"/>
  <c r="R12" i="12" s="1"/>
  <c r="P12" i="12"/>
  <c r="Q11" i="12"/>
  <c r="O11" i="12"/>
  <c r="O12" i="12" s="1"/>
  <c r="Q10" i="12"/>
  <c r="P10" i="12"/>
  <c r="P11" i="12" s="1"/>
  <c r="S11" i="12" s="1"/>
  <c r="Q9" i="12"/>
  <c r="S9" i="12" s="1"/>
  <c r="P9" i="12"/>
  <c r="O9" i="12"/>
  <c r="O10" i="12" s="1"/>
  <c r="Q8" i="12"/>
  <c r="P8" i="12"/>
  <c r="R8" i="12" s="1"/>
  <c r="Q7" i="12"/>
  <c r="R7" i="12" s="1"/>
  <c r="R6" i="12"/>
  <c r="Q6" i="12"/>
  <c r="P6" i="12"/>
  <c r="P7" i="12" s="1"/>
  <c r="Q5" i="12"/>
  <c r="P5" i="12"/>
  <c r="R5" i="12" s="1"/>
  <c r="O5" i="12"/>
  <c r="O6" i="12" s="1"/>
  <c r="S6" i="12" s="1"/>
  <c r="U6" i="12" s="1"/>
  <c r="Q4" i="12"/>
  <c r="P4" i="12"/>
  <c r="O4" i="12"/>
  <c r="A9" i="12" l="1"/>
  <c r="U9" i="12"/>
  <c r="U11" i="12"/>
  <c r="A11" i="12"/>
  <c r="S18" i="12"/>
  <c r="O19" i="12"/>
  <c r="O27" i="12"/>
  <c r="S27" i="12" s="1"/>
  <c r="S26" i="12"/>
  <c r="S12" i="12"/>
  <c r="O13" i="12"/>
  <c r="S30" i="12"/>
  <c r="O31" i="12"/>
  <c r="P37" i="12"/>
  <c r="R36" i="12"/>
  <c r="A6" i="12"/>
  <c r="S10" i="12"/>
  <c r="R10" i="12"/>
  <c r="AC14" i="12"/>
  <c r="AE14" i="12" s="1"/>
  <c r="P16" i="12"/>
  <c r="R16" i="12" s="1"/>
  <c r="S17" i="12"/>
  <c r="S45" i="12"/>
  <c r="O48" i="12"/>
  <c r="S47" i="12"/>
  <c r="S46" i="12"/>
  <c r="P51" i="12"/>
  <c r="R51" i="12" s="1"/>
  <c r="R50" i="12"/>
  <c r="R55" i="12"/>
  <c r="P56" i="12"/>
  <c r="P65" i="12"/>
  <c r="R64" i="12"/>
  <c r="S5" i="12"/>
  <c r="O7" i="12"/>
  <c r="R9" i="12"/>
  <c r="R11" i="12"/>
  <c r="R13" i="12"/>
  <c r="S22" i="12"/>
  <c r="S23" i="12"/>
  <c r="R47" i="12"/>
  <c r="R60" i="12"/>
  <c r="P63" i="12"/>
  <c r="R63" i="12" s="1"/>
  <c r="R62" i="12"/>
  <c r="O67" i="12"/>
  <c r="A74" i="12"/>
  <c r="O36" i="12"/>
  <c r="S35" i="12"/>
  <c r="S34" i="12"/>
  <c r="U41" i="12"/>
  <c r="A41" i="12"/>
  <c r="P53" i="12"/>
  <c r="R52" i="12"/>
  <c r="U73" i="12"/>
  <c r="A73" i="12"/>
  <c r="U33" i="12"/>
  <c r="A33" i="12"/>
  <c r="A24" i="12"/>
  <c r="S25" i="12"/>
  <c r="S29" i="12"/>
  <c r="A42" i="12"/>
  <c r="O43" i="12"/>
  <c r="O56" i="12"/>
  <c r="S55" i="12"/>
  <c r="A66" i="12"/>
  <c r="U66" i="12"/>
  <c r="U69" i="12"/>
  <c r="A69" i="12"/>
  <c r="O94" i="12"/>
  <c r="S93" i="12"/>
  <c r="R19" i="12"/>
  <c r="P40" i="12"/>
  <c r="R40" i="12" s="1"/>
  <c r="R59" i="12"/>
  <c r="S64" i="12"/>
  <c r="O71" i="12"/>
  <c r="S71" i="12" s="1"/>
  <c r="O75" i="12"/>
  <c r="P68" i="12"/>
  <c r="R68" i="12" s="1"/>
  <c r="V27" i="1"/>
  <c r="A71" i="12" l="1"/>
  <c r="U71" i="12"/>
  <c r="S56" i="12"/>
  <c r="O57" i="12"/>
  <c r="S36" i="12"/>
  <c r="O37" i="12"/>
  <c r="U22" i="12"/>
  <c r="A22" i="12"/>
  <c r="P57" i="12"/>
  <c r="R56" i="12"/>
  <c r="U17" i="12"/>
  <c r="A17" i="12"/>
  <c r="O32" i="12"/>
  <c r="S32" i="12" s="1"/>
  <c r="S31" i="12"/>
  <c r="U26" i="12"/>
  <c r="A26" i="12"/>
  <c r="A64" i="12"/>
  <c r="U64" i="12"/>
  <c r="A5" i="12"/>
  <c r="U5" i="12"/>
  <c r="A47" i="12"/>
  <c r="U47" i="12"/>
  <c r="U30" i="12"/>
  <c r="A30" i="12"/>
  <c r="A27" i="12"/>
  <c r="U27" i="12"/>
  <c r="S94" i="12"/>
  <c r="O95" i="12"/>
  <c r="S95" i="12" s="1"/>
  <c r="U34" i="12"/>
  <c r="A34" i="12"/>
  <c r="O68" i="12"/>
  <c r="S68" i="12" s="1"/>
  <c r="S67" i="12"/>
  <c r="S48" i="12"/>
  <c r="O49" i="12"/>
  <c r="O14" i="12"/>
  <c r="S13" i="12"/>
  <c r="O20" i="12"/>
  <c r="S19" i="12"/>
  <c r="U25" i="12"/>
  <c r="A25" i="12"/>
  <c r="O8" i="12"/>
  <c r="S8" i="12" s="1"/>
  <c r="S7" i="12"/>
  <c r="U46" i="12"/>
  <c r="A46" i="12"/>
  <c r="U10" i="12"/>
  <c r="A10" i="12"/>
  <c r="A93" i="12"/>
  <c r="U93" i="12"/>
  <c r="O44" i="12"/>
  <c r="S44" i="12" s="1"/>
  <c r="S43" i="12"/>
  <c r="O76" i="12"/>
  <c r="S75" i="12"/>
  <c r="A55" i="12"/>
  <c r="U55" i="12"/>
  <c r="U29" i="12"/>
  <c r="A29" i="12"/>
  <c r="P54" i="12"/>
  <c r="R54" i="12" s="1"/>
  <c r="R53" i="12"/>
  <c r="A35" i="12"/>
  <c r="U35" i="12"/>
  <c r="A23" i="12"/>
  <c r="U23" i="12"/>
  <c r="R65" i="12"/>
  <c r="S65" i="12"/>
  <c r="U45" i="12"/>
  <c r="A45" i="12"/>
  <c r="R37" i="12"/>
  <c r="P38" i="12"/>
  <c r="R38" i="12" s="1"/>
  <c r="U12" i="12"/>
  <c r="A12" i="12"/>
  <c r="A18" i="12"/>
  <c r="U18" i="12"/>
  <c r="E28" i="1"/>
  <c r="E27" i="1"/>
  <c r="U65" i="12" l="1"/>
  <c r="A65" i="12"/>
  <c r="A75" i="12"/>
  <c r="U75" i="12"/>
  <c r="A13" i="12"/>
  <c r="U13" i="12"/>
  <c r="A67" i="12"/>
  <c r="U67" i="12"/>
  <c r="U95" i="12"/>
  <c r="A95" i="12"/>
  <c r="S57" i="12"/>
  <c r="O58" i="12"/>
  <c r="S76" i="12"/>
  <c r="O77" i="12"/>
  <c r="S77" i="12" s="1"/>
  <c r="O15" i="12"/>
  <c r="S14" i="12"/>
  <c r="U68" i="12"/>
  <c r="A68" i="12"/>
  <c r="A94" i="12"/>
  <c r="U94" i="12"/>
  <c r="A56" i="12"/>
  <c r="U56" i="12"/>
  <c r="A43" i="12"/>
  <c r="U43" i="12"/>
  <c r="U7" i="12"/>
  <c r="A7" i="12"/>
  <c r="A19" i="12"/>
  <c r="U19" i="12"/>
  <c r="S49" i="12"/>
  <c r="O50" i="12"/>
  <c r="A31" i="12"/>
  <c r="U31" i="12"/>
  <c r="O38" i="12"/>
  <c r="S37" i="12"/>
  <c r="U44" i="12"/>
  <c r="A44" i="12"/>
  <c r="A8" i="12"/>
  <c r="U8" i="12"/>
  <c r="S20" i="12"/>
  <c r="O21" i="12"/>
  <c r="S21" i="12" s="1"/>
  <c r="A48" i="12"/>
  <c r="U48" i="12"/>
  <c r="U32" i="12"/>
  <c r="A32" i="12"/>
  <c r="P58" i="12"/>
  <c r="R58" i="12" s="1"/>
  <c r="R57" i="12"/>
  <c r="A36" i="12"/>
  <c r="U36" i="12"/>
  <c r="G83" i="1"/>
  <c r="P6" i="5"/>
  <c r="P7" i="5" s="1"/>
  <c r="M7" i="5" s="1"/>
  <c r="M6" i="5"/>
  <c r="M5" i="5"/>
  <c r="U20" i="5"/>
  <c r="W20" i="5" s="1"/>
  <c r="T20" i="5"/>
  <c r="S20" i="5"/>
  <c r="V20" i="5" s="1"/>
  <c r="R20" i="5"/>
  <c r="M20" i="5"/>
  <c r="L20" i="5"/>
  <c r="K20" i="5"/>
  <c r="D20" i="5"/>
  <c r="N20" i="5" s="1"/>
  <c r="O20" i="5" s="1"/>
  <c r="Y11" i="3"/>
  <c r="J6" i="1"/>
  <c r="U20" i="12" l="1"/>
  <c r="A20" i="12"/>
  <c r="O51" i="12"/>
  <c r="S50" i="12"/>
  <c r="U21" i="12"/>
  <c r="A21" i="12"/>
  <c r="U14" i="12"/>
  <c r="A14" i="12"/>
  <c r="O59" i="12"/>
  <c r="S58" i="12"/>
  <c r="O16" i="12"/>
  <c r="S16" i="12" s="1"/>
  <c r="S15" i="12"/>
  <c r="U57" i="12"/>
  <c r="A57" i="12"/>
  <c r="U37" i="12"/>
  <c r="A37" i="12"/>
  <c r="U77" i="12"/>
  <c r="A77" i="12"/>
  <c r="S38" i="12"/>
  <c r="O39" i="12"/>
  <c r="U49" i="12"/>
  <c r="A49" i="12"/>
  <c r="U76" i="12"/>
  <c r="A76" i="12"/>
  <c r="P8" i="5"/>
  <c r="A16" i="12" l="1"/>
  <c r="U16" i="12"/>
  <c r="O52" i="12"/>
  <c r="S51" i="12"/>
  <c r="A58" i="12"/>
  <c r="U58" i="12"/>
  <c r="O40" i="12"/>
  <c r="S40" i="12" s="1"/>
  <c r="S39" i="12"/>
  <c r="A15" i="12"/>
  <c r="U15" i="12"/>
  <c r="A50" i="12"/>
  <c r="U50" i="12"/>
  <c r="A38" i="12"/>
  <c r="U38" i="12"/>
  <c r="O60" i="12"/>
  <c r="S59" i="12"/>
  <c r="P9" i="5"/>
  <c r="M9" i="5" s="1"/>
  <c r="M8" i="5"/>
  <c r="S60" i="12" l="1"/>
  <c r="O61" i="12"/>
  <c r="A59" i="12"/>
  <c r="U59" i="12"/>
  <c r="A39" i="12"/>
  <c r="U39" i="12"/>
  <c r="A51" i="12"/>
  <c r="U51" i="12"/>
  <c r="U40" i="12"/>
  <c r="A40" i="12"/>
  <c r="S52" i="12"/>
  <c r="O53" i="12"/>
  <c r="O20" i="1"/>
  <c r="O21" i="1" s="1"/>
  <c r="O22" i="1" s="1"/>
  <c r="O23" i="1" s="1"/>
  <c r="U52" i="12" l="1"/>
  <c r="A52" i="12"/>
  <c r="O54" i="12"/>
  <c r="S54" i="12" s="1"/>
  <c r="S53" i="12"/>
  <c r="O62" i="12"/>
  <c r="S61" i="12"/>
  <c r="U60" i="12"/>
  <c r="A60" i="12"/>
  <c r="Z5" i="5"/>
  <c r="Z7" i="5" s="1"/>
  <c r="U61" i="12" l="1"/>
  <c r="A61" i="12"/>
  <c r="U53" i="12"/>
  <c r="A53" i="12"/>
  <c r="U54" i="12"/>
  <c r="A54" i="12"/>
  <c r="S62" i="12"/>
  <c r="O63" i="12"/>
  <c r="S63" i="12" s="1"/>
  <c r="F7" i="11"/>
  <c r="D13" i="9"/>
  <c r="J13" i="9" s="1"/>
  <c r="E13" i="9"/>
  <c r="I13" i="9" s="1"/>
  <c r="G13" i="9"/>
  <c r="O25" i="11"/>
  <c r="D25" i="11"/>
  <c r="G25" i="11" s="1"/>
  <c r="I25" i="11" s="1"/>
  <c r="G24" i="11"/>
  <c r="I24" i="11" s="1"/>
  <c r="G23" i="11"/>
  <c r="I23" i="11" s="1"/>
  <c r="Q22" i="11"/>
  <c r="G22" i="11"/>
  <c r="I22" i="11" s="1"/>
  <c r="Q21" i="11"/>
  <c r="G21" i="11"/>
  <c r="I21" i="11" s="1"/>
  <c r="Q20" i="11"/>
  <c r="Q19" i="11"/>
  <c r="O12" i="11"/>
  <c r="P12" i="11" s="1"/>
  <c r="N12" i="11"/>
  <c r="O11" i="11"/>
  <c r="P11" i="11" s="1"/>
  <c r="N11" i="11"/>
  <c r="J11" i="11"/>
  <c r="D10" i="11"/>
  <c r="N10" i="11" s="1"/>
  <c r="N9" i="11"/>
  <c r="G9" i="11"/>
  <c r="I9" i="11" s="1"/>
  <c r="E9" i="11" s="1"/>
  <c r="J9" i="11" s="1"/>
  <c r="N8" i="11"/>
  <c r="L8" i="11"/>
  <c r="M8" i="11" s="1"/>
  <c r="F8" i="11"/>
  <c r="Q18" i="11" s="1"/>
  <c r="N7" i="11"/>
  <c r="M7" i="11"/>
  <c r="G7" i="11"/>
  <c r="I7" i="11" s="1"/>
  <c r="C7" i="11"/>
  <c r="C8" i="11" s="1"/>
  <c r="H13" i="9" l="1"/>
  <c r="A62" i="12"/>
  <c r="U62" i="12"/>
  <c r="A63" i="12"/>
  <c r="U63" i="12"/>
  <c r="K13" i="9"/>
  <c r="H7" i="11"/>
  <c r="G10" i="11"/>
  <c r="I10" i="11" s="1"/>
  <c r="E10" i="11" s="1"/>
  <c r="J10" i="11" s="1"/>
  <c r="F11" i="11"/>
  <c r="F12" i="11" s="1"/>
  <c r="Q23" i="11" s="1"/>
  <c r="O8" i="11"/>
  <c r="P8" i="11" s="1"/>
  <c r="C9" i="11"/>
  <c r="J24" i="11"/>
  <c r="S24" i="11" s="1"/>
  <c r="X24" i="11"/>
  <c r="J22" i="11"/>
  <c r="S22" i="11" s="1"/>
  <c r="X22" i="11"/>
  <c r="X25" i="11"/>
  <c r="J25" i="11"/>
  <c r="S25" i="11" s="1"/>
  <c r="E12" i="11"/>
  <c r="G12" i="11"/>
  <c r="X21" i="11"/>
  <c r="J21" i="11"/>
  <c r="S21" i="11" s="1"/>
  <c r="X23" i="11"/>
  <c r="J23" i="11"/>
  <c r="S23" i="11" s="1"/>
  <c r="O7" i="11"/>
  <c r="P7" i="11" s="1"/>
  <c r="G8" i="11"/>
  <c r="Q17" i="11"/>
  <c r="G11" i="11" l="1"/>
  <c r="T25" i="11"/>
  <c r="V25" i="11"/>
  <c r="U25" i="11"/>
  <c r="O9" i="11"/>
  <c r="P9" i="11" s="1"/>
  <c r="C10" i="11"/>
  <c r="O10" i="11" s="1"/>
  <c r="P10" i="11" s="1"/>
  <c r="T23" i="11"/>
  <c r="V23" i="11"/>
  <c r="U23" i="11"/>
  <c r="V24" i="11"/>
  <c r="U24" i="11"/>
  <c r="T24" i="11"/>
  <c r="I8" i="11"/>
  <c r="H8" i="11"/>
  <c r="V21" i="11"/>
  <c r="T21" i="11"/>
  <c r="U21" i="11"/>
  <c r="I12" i="11"/>
  <c r="H12" i="11"/>
  <c r="U22" i="11"/>
  <c r="V22" i="11"/>
  <c r="T22" i="11"/>
  <c r="I11" i="11" l="1"/>
  <c r="H11" i="11"/>
  <c r="D17" i="10"/>
  <c r="D18" i="10" s="1"/>
  <c r="E15" i="10"/>
  <c r="E13" i="10"/>
  <c r="E12" i="10"/>
  <c r="H9" i="10"/>
  <c r="I9" i="10" s="1"/>
  <c r="H8" i="10"/>
  <c r="I8" i="10" s="1"/>
  <c r="K8" i="10" s="1"/>
  <c r="H7" i="10"/>
  <c r="I7" i="10" s="1"/>
  <c r="I6" i="10"/>
  <c r="H6" i="10"/>
  <c r="H5" i="10"/>
  <c r="I5" i="10" s="1"/>
  <c r="H4" i="10"/>
  <c r="I4" i="10" s="1"/>
  <c r="H3" i="10"/>
  <c r="H17" i="10" l="1"/>
  <c r="K9" i="10"/>
  <c r="H18" i="10"/>
  <c r="F17" i="10"/>
  <c r="I3" i="10"/>
  <c r="J7" i="10" s="1"/>
  <c r="K7" i="10" s="1"/>
  <c r="K17" i="10" l="1"/>
  <c r="K18" i="10" s="1"/>
  <c r="G21" i="9"/>
  <c r="E21" i="9"/>
  <c r="K21" i="9" s="1"/>
  <c r="D21" i="9"/>
  <c r="J21" i="9" s="1"/>
  <c r="G20" i="9"/>
  <c r="E20" i="9"/>
  <c r="I20" i="9" s="1"/>
  <c r="D20" i="9"/>
  <c r="J20" i="9" s="1"/>
  <c r="H19" i="9"/>
  <c r="G19" i="9"/>
  <c r="E19" i="9"/>
  <c r="I19" i="9" s="1"/>
  <c r="D19" i="9"/>
  <c r="J19" i="9" s="1"/>
  <c r="K18" i="9"/>
  <c r="G18" i="9"/>
  <c r="E18" i="9"/>
  <c r="I18" i="9" s="1"/>
  <c r="D18" i="9"/>
  <c r="H18" i="9" s="1"/>
  <c r="G17" i="9"/>
  <c r="E17" i="9"/>
  <c r="K17" i="9" s="1"/>
  <c r="D17" i="9"/>
  <c r="H17" i="9" s="1"/>
  <c r="G16" i="9"/>
  <c r="E16" i="9"/>
  <c r="I16" i="9" s="1"/>
  <c r="D16" i="9"/>
  <c r="J16" i="9" s="1"/>
  <c r="G15" i="9"/>
  <c r="E15" i="9"/>
  <c r="I15" i="9" s="1"/>
  <c r="D15" i="9"/>
  <c r="J15" i="9" s="1"/>
  <c r="K14" i="9"/>
  <c r="I14" i="9"/>
  <c r="G14" i="9"/>
  <c r="E14" i="9"/>
  <c r="D14" i="9"/>
  <c r="H14" i="9" s="1"/>
  <c r="H12" i="9"/>
  <c r="G12" i="9"/>
  <c r="E12" i="9"/>
  <c r="K12" i="9" s="1"/>
  <c r="D12" i="9"/>
  <c r="J12" i="9" s="1"/>
  <c r="K11" i="9"/>
  <c r="G11" i="9"/>
  <c r="E11" i="9"/>
  <c r="I11" i="9" s="1"/>
  <c r="D11" i="9"/>
  <c r="J11" i="9" s="1"/>
  <c r="G10" i="9"/>
  <c r="E10" i="9"/>
  <c r="I10" i="9" s="1"/>
  <c r="D10" i="9"/>
  <c r="H10" i="9" s="1"/>
  <c r="G9" i="9"/>
  <c r="E9" i="9"/>
  <c r="I9" i="9" s="1"/>
  <c r="D9" i="9"/>
  <c r="H9" i="9" s="1"/>
  <c r="C6" i="9"/>
  <c r="D6" i="9" s="1"/>
  <c r="H15" i="9" l="1"/>
  <c r="J17" i="9"/>
  <c r="J10" i="9"/>
  <c r="K16" i="9"/>
  <c r="K20" i="9"/>
  <c r="H21" i="9"/>
  <c r="E6" i="9"/>
  <c r="F6" i="9"/>
  <c r="K10" i="9"/>
  <c r="H11" i="9"/>
  <c r="I12" i="9"/>
  <c r="J14" i="9"/>
  <c r="K15" i="9"/>
  <c r="H16" i="9"/>
  <c r="I17" i="9"/>
  <c r="J18" i="9"/>
  <c r="K19" i="9"/>
  <c r="H20" i="9"/>
  <c r="I21" i="9"/>
  <c r="F76" i="1" l="1"/>
  <c r="AB6" i="1" l="1"/>
  <c r="P3" i="3" l="1"/>
  <c r="O3" i="3"/>
  <c r="H13" i="5" l="1"/>
  <c r="H14" i="5"/>
  <c r="H12" i="5"/>
  <c r="W6" i="5"/>
  <c r="W7" i="5"/>
  <c r="W5" i="5"/>
  <c r="U6" i="5"/>
  <c r="U7" i="5"/>
  <c r="U8" i="5"/>
  <c r="W8" i="5" s="1"/>
  <c r="U9" i="5"/>
  <c r="W9" i="5" s="1"/>
  <c r="U5" i="5"/>
  <c r="V6" i="5"/>
  <c r="V7" i="5"/>
  <c r="V8" i="5"/>
  <c r="V9" i="5"/>
  <c r="V5" i="5"/>
  <c r="S10" i="5"/>
  <c r="U10" i="5" s="1"/>
  <c r="W10" i="5" s="1"/>
  <c r="R10" i="5"/>
  <c r="M22" i="1" l="1"/>
  <c r="L22" i="1"/>
  <c r="K22" i="1"/>
  <c r="M21" i="1"/>
  <c r="L21" i="1"/>
  <c r="K21" i="1"/>
  <c r="M20" i="1"/>
  <c r="L20" i="1"/>
  <c r="K20" i="1"/>
  <c r="M19" i="1"/>
  <c r="L19" i="1"/>
  <c r="K19" i="1"/>
  <c r="C23" i="1"/>
  <c r="C22" i="1"/>
  <c r="I22" i="1" s="1"/>
  <c r="C21" i="1"/>
  <c r="I21" i="1" s="1"/>
  <c r="C20" i="1"/>
  <c r="I20" i="1" s="1"/>
  <c r="C19" i="1"/>
  <c r="I19" i="1" s="1"/>
  <c r="D10" i="5"/>
  <c r="N6" i="5"/>
  <c r="O6" i="5" s="1"/>
  <c r="N7" i="5"/>
  <c r="N8" i="5"/>
  <c r="O8" i="5" s="1"/>
  <c r="N9" i="5"/>
  <c r="O9" i="5" s="1"/>
  <c r="L10" i="5"/>
  <c r="K10" i="5"/>
  <c r="N5" i="5" l="1"/>
  <c r="O5" i="5" s="1"/>
  <c r="J19" i="1"/>
  <c r="AB19" i="1" s="1"/>
  <c r="J20" i="1"/>
  <c r="J21" i="1"/>
  <c r="J23" i="1"/>
  <c r="AB23" i="1" s="1"/>
  <c r="J22" i="1"/>
  <c r="O7" i="5"/>
  <c r="M10" i="5"/>
  <c r="N10" i="5" l="1"/>
  <c r="O10" i="5" s="1"/>
  <c r="N19" i="1"/>
  <c r="P19" i="1"/>
  <c r="T19" i="1" s="1"/>
  <c r="N21" i="1"/>
  <c r="AB21" i="1"/>
  <c r="P20" i="1"/>
  <c r="Q20" i="1" s="1"/>
  <c r="AB20" i="1"/>
  <c r="N22" i="1"/>
  <c r="AB22" i="1"/>
  <c r="P22" i="1"/>
  <c r="Q22" i="1" s="1"/>
  <c r="N20" i="1"/>
  <c r="P21" i="1"/>
  <c r="T21" i="1" s="1"/>
  <c r="S28" i="1"/>
  <c r="S27" i="1"/>
  <c r="R5" i="1"/>
  <c r="M18" i="3"/>
  <c r="M19" i="3"/>
  <c r="Z18" i="3"/>
  <c r="X27" i="1" s="1"/>
  <c r="Z19" i="3"/>
  <c r="X28" i="1" s="1"/>
  <c r="Z20" i="3"/>
  <c r="X23" i="1" s="1"/>
  <c r="J28" i="1"/>
  <c r="AB28" i="1" s="1"/>
  <c r="J27" i="1"/>
  <c r="AB27" i="1" s="1"/>
  <c r="J18" i="1"/>
  <c r="AB18" i="1" s="1"/>
  <c r="J17" i="1"/>
  <c r="J16" i="1"/>
  <c r="J15" i="1"/>
  <c r="J14" i="1"/>
  <c r="J13" i="1"/>
  <c r="J12" i="1"/>
  <c r="J11" i="1"/>
  <c r="J10" i="1"/>
  <c r="J9" i="1"/>
  <c r="J8" i="1"/>
  <c r="J7" i="1"/>
  <c r="F28" i="1"/>
  <c r="D28" i="1"/>
  <c r="F27" i="1"/>
  <c r="D27" i="1"/>
  <c r="I23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B28" i="1"/>
  <c r="B27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K10" i="1"/>
  <c r="AJ10" i="1"/>
  <c r="AK9" i="1"/>
  <c r="AJ9" i="1"/>
  <c r="AK8" i="1"/>
  <c r="AJ8" i="1"/>
  <c r="AK7" i="1"/>
  <c r="AJ7" i="1"/>
  <c r="O7" i="1"/>
  <c r="O8" i="1" s="1"/>
  <c r="O9" i="1" s="1"/>
  <c r="H7" i="1"/>
  <c r="H8" i="1" s="1"/>
  <c r="H9" i="1" s="1"/>
  <c r="AK6" i="1"/>
  <c r="AJ6" i="1"/>
  <c r="G7" i="1"/>
  <c r="G8" i="1" s="1"/>
  <c r="AG4" i="1"/>
  <c r="Q19" i="1" l="1"/>
  <c r="R19" i="1" s="1"/>
  <c r="S19" i="1" s="1"/>
  <c r="J29" i="1"/>
  <c r="T20" i="1"/>
  <c r="K28" i="1"/>
  <c r="T22" i="1"/>
  <c r="I28" i="1"/>
  <c r="M27" i="1"/>
  <c r="K27" i="1"/>
  <c r="I27" i="1"/>
  <c r="Q21" i="1"/>
  <c r="R21" i="1" s="1"/>
  <c r="S21" i="1" s="1"/>
  <c r="T10" i="5"/>
  <c r="V10" i="5" s="1"/>
  <c r="K23" i="1"/>
  <c r="M23" i="1"/>
  <c r="L23" i="1"/>
  <c r="R20" i="1"/>
  <c r="S20" i="1" s="1"/>
  <c r="R22" i="1"/>
  <c r="S22" i="1" s="1"/>
  <c r="M28" i="1"/>
  <c r="AB9" i="1"/>
  <c r="AB13" i="1"/>
  <c r="AB17" i="1"/>
  <c r="AB12" i="1"/>
  <c r="AB16" i="1"/>
  <c r="AB10" i="1"/>
  <c r="AB14" i="1"/>
  <c r="AB8" i="1"/>
  <c r="AB7" i="1"/>
  <c r="AB11" i="1"/>
  <c r="AB15" i="1"/>
  <c r="L27" i="1"/>
  <c r="L28" i="1"/>
  <c r="O10" i="1"/>
  <c r="G9" i="1"/>
  <c r="P30" i="2"/>
  <c r="AB6" i="2"/>
  <c r="Y6" i="3"/>
  <c r="Z6" i="3" s="1"/>
  <c r="X7" i="1" s="1"/>
  <c r="Y7" i="3"/>
  <c r="Z7" i="3" s="1"/>
  <c r="X8" i="1" s="1"/>
  <c r="Y8" i="3"/>
  <c r="Z8" i="3" s="1"/>
  <c r="X9" i="1" s="1"/>
  <c r="Y9" i="3"/>
  <c r="Z9" i="3" s="1"/>
  <c r="X10" i="1" s="1"/>
  <c r="Y10" i="3"/>
  <c r="Z10" i="3" s="1"/>
  <c r="X11" i="1" s="1"/>
  <c r="Z11" i="3"/>
  <c r="X12" i="1" s="1"/>
  <c r="Y12" i="3"/>
  <c r="Z12" i="3" s="1"/>
  <c r="X13" i="1" s="1"/>
  <c r="Y13" i="3"/>
  <c r="Z13" i="3" s="1"/>
  <c r="X14" i="1" s="1"/>
  <c r="Y14" i="3"/>
  <c r="Z14" i="3" s="1"/>
  <c r="X15" i="1" s="1"/>
  <c r="Y15" i="3"/>
  <c r="Z15" i="3" s="1"/>
  <c r="X16" i="1" s="1"/>
  <c r="Y16" i="3"/>
  <c r="Z16" i="3" s="1"/>
  <c r="X17" i="1" s="1"/>
  <c r="Y17" i="3"/>
  <c r="Z17" i="3" s="1"/>
  <c r="X18" i="1" s="1"/>
  <c r="Y5" i="3"/>
  <c r="AL28" i="1" l="1"/>
  <c r="Q28" i="1"/>
  <c r="AL27" i="1"/>
  <c r="Q27" i="1"/>
  <c r="U22" i="1"/>
  <c r="AC22" i="1"/>
  <c r="U20" i="1"/>
  <c r="AC20" i="1"/>
  <c r="U21" i="1"/>
  <c r="AC21" i="1"/>
  <c r="U19" i="1"/>
  <c r="AC19" i="1"/>
  <c r="P27" i="1"/>
  <c r="Z5" i="3"/>
  <c r="P28" i="1"/>
  <c r="R28" i="1" s="1"/>
  <c r="N27" i="1"/>
  <c r="N23" i="1"/>
  <c r="P23" i="1"/>
  <c r="AM23" i="1" s="1"/>
  <c r="N28" i="1"/>
  <c r="AL23" i="1"/>
  <c r="G10" i="1"/>
  <c r="O11" i="1"/>
  <c r="H10" i="1"/>
  <c r="R27" i="1" l="1"/>
  <c r="AM27" i="1"/>
  <c r="AM28" i="1"/>
  <c r="X6" i="1"/>
  <c r="Q23" i="1"/>
  <c r="T23" i="1"/>
  <c r="H11" i="1"/>
  <c r="G11" i="1"/>
  <c r="O12" i="1"/>
  <c r="AC43" i="1"/>
  <c r="K20" i="3"/>
  <c r="L20" i="3" s="1"/>
  <c r="M20" i="3" s="1"/>
  <c r="K19" i="3"/>
  <c r="K18" i="3"/>
  <c r="K17" i="3"/>
  <c r="L17" i="3" s="1"/>
  <c r="M17" i="3" s="1"/>
  <c r="K16" i="3"/>
  <c r="L16" i="3" s="1"/>
  <c r="M16" i="3" s="1"/>
  <c r="K15" i="3"/>
  <c r="L15" i="3" s="1"/>
  <c r="M15" i="3" s="1"/>
  <c r="K14" i="3"/>
  <c r="L14" i="3" s="1"/>
  <c r="M14" i="3" s="1"/>
  <c r="K13" i="3"/>
  <c r="L13" i="3" s="1"/>
  <c r="M13" i="3" s="1"/>
  <c r="K12" i="3"/>
  <c r="L12" i="3" s="1"/>
  <c r="M12" i="3" s="1"/>
  <c r="K11" i="3"/>
  <c r="L11" i="3" s="1"/>
  <c r="M11" i="3" s="1"/>
  <c r="K10" i="3"/>
  <c r="L10" i="3" s="1"/>
  <c r="M10" i="3" s="1"/>
  <c r="K9" i="3"/>
  <c r="L9" i="3" s="1"/>
  <c r="M9" i="3" s="1"/>
  <c r="K8" i="3"/>
  <c r="L8" i="3" s="1"/>
  <c r="M8" i="3" s="1"/>
  <c r="K7" i="3"/>
  <c r="L7" i="3" s="1"/>
  <c r="M7" i="3" s="1"/>
  <c r="K6" i="3"/>
  <c r="L6" i="3" s="1"/>
  <c r="M6" i="3" s="1"/>
  <c r="L5" i="3"/>
  <c r="M5" i="3" l="1"/>
  <c r="M21" i="3" s="1"/>
  <c r="L21" i="3"/>
  <c r="R23" i="1"/>
  <c r="AC23" i="1" s="1"/>
  <c r="G12" i="1"/>
  <c r="O13" i="1"/>
  <c r="H12" i="1"/>
  <c r="D21" i="3"/>
  <c r="AM47" i="1"/>
  <c r="AM48" i="1"/>
  <c r="P49" i="1"/>
  <c r="AM49" i="1" s="1"/>
  <c r="M67" i="1"/>
  <c r="L67" i="1"/>
  <c r="K67" i="1"/>
  <c r="J67" i="1"/>
  <c r="M66" i="1"/>
  <c r="L66" i="1"/>
  <c r="K66" i="1"/>
  <c r="J66" i="1"/>
  <c r="T34" i="1"/>
  <c r="Q34" i="1"/>
  <c r="H86" i="1"/>
  <c r="F45" i="1" s="1"/>
  <c r="F17" i="1" s="1"/>
  <c r="M17" i="1" s="1"/>
  <c r="C34" i="1"/>
  <c r="AL48" i="1"/>
  <c r="O35" i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T46" i="1" s="1"/>
  <c r="H35" i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I69" i="1"/>
  <c r="F69" i="1"/>
  <c r="E69" i="1"/>
  <c r="D69" i="1"/>
  <c r="C69" i="1"/>
  <c r="L38" i="4"/>
  <c r="L37" i="4"/>
  <c r="L36" i="4"/>
  <c r="T35" i="4"/>
  <c r="T34" i="4"/>
  <c r="K31" i="4"/>
  <c r="K30" i="4"/>
  <c r="P29" i="4"/>
  <c r="P35" i="4" s="1"/>
  <c r="O29" i="4"/>
  <c r="O35" i="4" s="1"/>
  <c r="N29" i="4"/>
  <c r="N35" i="4" s="1"/>
  <c r="M29" i="4"/>
  <c r="M35" i="4" s="1"/>
  <c r="AJ27" i="4"/>
  <c r="X27" i="4"/>
  <c r="AD27" i="4" s="1"/>
  <c r="AJ26" i="4"/>
  <c r="X26" i="4"/>
  <c r="AD26" i="4" s="1"/>
  <c r="AJ25" i="4"/>
  <c r="X25" i="4"/>
  <c r="AD25" i="4" s="1"/>
  <c r="AJ24" i="4"/>
  <c r="X24" i="4"/>
  <c r="D23" i="4"/>
  <c r="AJ22" i="4"/>
  <c r="AD22" i="4"/>
  <c r="X22" i="4"/>
  <c r="R22" i="4"/>
  <c r="Y22" i="4" s="1"/>
  <c r="P22" i="4"/>
  <c r="C22" i="4"/>
  <c r="AJ21" i="4"/>
  <c r="AD21" i="4"/>
  <c r="X21" i="4"/>
  <c r="R21" i="4"/>
  <c r="O21" i="4"/>
  <c r="N21" i="4"/>
  <c r="T21" i="4" s="1"/>
  <c r="M21" i="4"/>
  <c r="S21" i="4" s="1"/>
  <c r="Z21" i="4" s="1"/>
  <c r="AF21" i="4" s="1"/>
  <c r="C21" i="4"/>
  <c r="AK20" i="4"/>
  <c r="AJ20" i="4"/>
  <c r="AD20" i="4"/>
  <c r="X20" i="4"/>
  <c r="S20" i="4"/>
  <c r="R20" i="4"/>
  <c r="Y20" i="4" s="1"/>
  <c r="AE20" i="4" s="1"/>
  <c r="C20" i="4"/>
  <c r="AN19" i="4"/>
  <c r="AK19" i="4"/>
  <c r="AJ19" i="4"/>
  <c r="AF19" i="4"/>
  <c r="AD19" i="4"/>
  <c r="AB19" i="4"/>
  <c r="AH19" i="4" s="1"/>
  <c r="Y19" i="4"/>
  <c r="AE19" i="4" s="1"/>
  <c r="X19" i="4"/>
  <c r="T19" i="4"/>
  <c r="AA19" i="4" s="1"/>
  <c r="AG19" i="4" s="1"/>
  <c r="S19" i="4"/>
  <c r="Z19" i="4" s="1"/>
  <c r="J19" i="4"/>
  <c r="I19" i="4" s="1"/>
  <c r="F19" i="4"/>
  <c r="E19" i="4" s="1"/>
  <c r="C19" i="4"/>
  <c r="AN18" i="4"/>
  <c r="AK18" i="4"/>
  <c r="AJ18" i="4"/>
  <c r="AD18" i="4"/>
  <c r="AB18" i="4"/>
  <c r="AH18" i="4" s="1"/>
  <c r="Y18" i="4"/>
  <c r="AE18" i="4" s="1"/>
  <c r="X18" i="4"/>
  <c r="T18" i="4"/>
  <c r="AA18" i="4" s="1"/>
  <c r="AG18" i="4" s="1"/>
  <c r="S18" i="4"/>
  <c r="J18" i="4"/>
  <c r="I18" i="4" s="1"/>
  <c r="F18" i="4"/>
  <c r="E18" i="4" s="1"/>
  <c r="C18" i="4"/>
  <c r="AN17" i="4"/>
  <c r="AK17" i="4"/>
  <c r="AJ17" i="4"/>
  <c r="AD17" i="4"/>
  <c r="AB17" i="4"/>
  <c r="AH17" i="4" s="1"/>
  <c r="Y17" i="4"/>
  <c r="AE17" i="4" s="1"/>
  <c r="X17" i="4"/>
  <c r="T17" i="4"/>
  <c r="AM17" i="4" s="1"/>
  <c r="S17" i="4"/>
  <c r="AL17" i="4" s="1"/>
  <c r="J17" i="4"/>
  <c r="I17" i="4" s="1"/>
  <c r="F17" i="4"/>
  <c r="E17" i="4" s="1"/>
  <c r="C17" i="4"/>
  <c r="AN16" i="4"/>
  <c r="AK16" i="4"/>
  <c r="AJ16" i="4"/>
  <c r="AH16" i="4"/>
  <c r="AD16" i="4"/>
  <c r="AB16" i="4"/>
  <c r="Y16" i="4"/>
  <c r="AE16" i="4" s="1"/>
  <c r="X16" i="4"/>
  <c r="T16" i="4"/>
  <c r="AM16" i="4" s="1"/>
  <c r="S16" i="4"/>
  <c r="AL16" i="4" s="1"/>
  <c r="J16" i="4"/>
  <c r="I16" i="4" s="1"/>
  <c r="F16" i="4"/>
  <c r="E16" i="4" s="1"/>
  <c r="C16" i="4"/>
  <c r="AN15" i="4"/>
  <c r="AK15" i="4"/>
  <c r="AJ15" i="4"/>
  <c r="AD15" i="4"/>
  <c r="AB15" i="4"/>
  <c r="AH15" i="4" s="1"/>
  <c r="Y15" i="4"/>
  <c r="AE15" i="4" s="1"/>
  <c r="X15" i="4"/>
  <c r="T15" i="4"/>
  <c r="AM15" i="4" s="1"/>
  <c r="S15" i="4"/>
  <c r="AL15" i="4" s="1"/>
  <c r="J15" i="4"/>
  <c r="I15" i="4" s="1"/>
  <c r="F15" i="4"/>
  <c r="E15" i="4" s="1"/>
  <c r="C15" i="4"/>
  <c r="AN14" i="4"/>
  <c r="AK14" i="4"/>
  <c r="AJ14" i="4"/>
  <c r="AH14" i="4"/>
  <c r="AD14" i="4"/>
  <c r="AB14" i="4"/>
  <c r="Y14" i="4"/>
  <c r="AE14" i="4" s="1"/>
  <c r="X14" i="4"/>
  <c r="T14" i="4"/>
  <c r="AM14" i="4" s="1"/>
  <c r="S14" i="4"/>
  <c r="AL14" i="4" s="1"/>
  <c r="J14" i="4"/>
  <c r="I14" i="4" s="1"/>
  <c r="F14" i="4"/>
  <c r="E14" i="4" s="1"/>
  <c r="C14" i="4"/>
  <c r="AN13" i="4"/>
  <c r="AK13" i="4"/>
  <c r="AJ13" i="4"/>
  <c r="AD13" i="4"/>
  <c r="AB13" i="4"/>
  <c r="AH13" i="4" s="1"/>
  <c r="Y13" i="4"/>
  <c r="AE13" i="4" s="1"/>
  <c r="X13" i="4"/>
  <c r="T13" i="4"/>
  <c r="AM13" i="4" s="1"/>
  <c r="S13" i="4"/>
  <c r="AL13" i="4" s="1"/>
  <c r="J13" i="4"/>
  <c r="I13" i="4" s="1"/>
  <c r="F13" i="4"/>
  <c r="E13" i="4" s="1"/>
  <c r="C13" i="4"/>
  <c r="AN12" i="4"/>
  <c r="AK12" i="4"/>
  <c r="AJ12" i="4"/>
  <c r="AH12" i="4"/>
  <c r="AD12" i="4"/>
  <c r="AB12" i="4"/>
  <c r="Y12" i="4"/>
  <c r="AE12" i="4" s="1"/>
  <c r="X12" i="4"/>
  <c r="T12" i="4"/>
  <c r="AM12" i="4" s="1"/>
  <c r="S12" i="4"/>
  <c r="AL12" i="4" s="1"/>
  <c r="J12" i="4"/>
  <c r="I12" i="4" s="1"/>
  <c r="F12" i="4"/>
  <c r="E12" i="4" s="1"/>
  <c r="C12" i="4"/>
  <c r="AN11" i="4"/>
  <c r="AK11" i="4"/>
  <c r="AJ11" i="4"/>
  <c r="AD11" i="4"/>
  <c r="AB11" i="4"/>
  <c r="AH11" i="4" s="1"/>
  <c r="Y11" i="4"/>
  <c r="AE11" i="4" s="1"/>
  <c r="X11" i="4"/>
  <c r="T11" i="4"/>
  <c r="AM11" i="4" s="1"/>
  <c r="S11" i="4"/>
  <c r="AL11" i="4" s="1"/>
  <c r="J11" i="4"/>
  <c r="I11" i="4" s="1"/>
  <c r="C11" i="4"/>
  <c r="AN10" i="4"/>
  <c r="AK10" i="4"/>
  <c r="AJ10" i="4"/>
  <c r="AD10" i="4"/>
  <c r="AB10" i="4"/>
  <c r="AH10" i="4" s="1"/>
  <c r="Y10" i="4"/>
  <c r="AE10" i="4" s="1"/>
  <c r="X10" i="4"/>
  <c r="T10" i="4"/>
  <c r="AM10" i="4" s="1"/>
  <c r="S10" i="4"/>
  <c r="AL10" i="4" s="1"/>
  <c r="J10" i="4"/>
  <c r="I10" i="4" s="1"/>
  <c r="C10" i="4"/>
  <c r="AN9" i="4"/>
  <c r="AK9" i="4"/>
  <c r="AJ9" i="4"/>
  <c r="AH9" i="4"/>
  <c r="AD9" i="4"/>
  <c r="AB9" i="4"/>
  <c r="Y9" i="4"/>
  <c r="AE9" i="4" s="1"/>
  <c r="X9" i="4"/>
  <c r="T9" i="4"/>
  <c r="AM9" i="4" s="1"/>
  <c r="S9" i="4"/>
  <c r="AL9" i="4" s="1"/>
  <c r="J9" i="4"/>
  <c r="I9" i="4" s="1"/>
  <c r="C9" i="4"/>
  <c r="AN8" i="4"/>
  <c r="AK8" i="4"/>
  <c r="AJ8" i="4"/>
  <c r="AH8" i="4"/>
  <c r="AD8" i="4"/>
  <c r="AB8" i="4"/>
  <c r="Y8" i="4"/>
  <c r="AE8" i="4" s="1"/>
  <c r="X8" i="4"/>
  <c r="T8" i="4"/>
  <c r="AM8" i="4" s="1"/>
  <c r="S8" i="4"/>
  <c r="AL8" i="4" s="1"/>
  <c r="J8" i="4"/>
  <c r="I8" i="4" s="1"/>
  <c r="C8" i="4"/>
  <c r="AN7" i="4"/>
  <c r="AK7" i="4"/>
  <c r="AJ7" i="4"/>
  <c r="AD7" i="4"/>
  <c r="AB7" i="4"/>
  <c r="AH7" i="4" s="1"/>
  <c r="Y7" i="4"/>
  <c r="AE7" i="4" s="1"/>
  <c r="X7" i="4"/>
  <c r="T7" i="4"/>
  <c r="AM7" i="4" s="1"/>
  <c r="S7" i="4"/>
  <c r="F7" i="4" s="1"/>
  <c r="J7" i="4"/>
  <c r="I7" i="4" s="1"/>
  <c r="C7" i="4"/>
  <c r="AN6" i="4"/>
  <c r="AM6" i="4"/>
  <c r="AL6" i="4"/>
  <c r="AK6" i="4"/>
  <c r="AJ6" i="4"/>
  <c r="AH6" i="4"/>
  <c r="AG6" i="4"/>
  <c r="AF6" i="4"/>
  <c r="AE6" i="4"/>
  <c r="AD6" i="4"/>
  <c r="AB6" i="4"/>
  <c r="AA6" i="4"/>
  <c r="Z6" i="4"/>
  <c r="Y6" i="4"/>
  <c r="X6" i="4"/>
  <c r="E59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D60" i="3"/>
  <c r="C60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Z21" i="3"/>
  <c r="U23" i="1" l="1"/>
  <c r="S23" i="1"/>
  <c r="AH30" i="4"/>
  <c r="AH29" i="4"/>
  <c r="H9" i="4"/>
  <c r="G9" i="4" s="1"/>
  <c r="H12" i="4"/>
  <c r="G12" i="4" s="1"/>
  <c r="H14" i="4"/>
  <c r="G14" i="4" s="1"/>
  <c r="H16" i="4"/>
  <c r="G16" i="4" s="1"/>
  <c r="H18" i="4"/>
  <c r="G18" i="4" s="1"/>
  <c r="AM18" i="4"/>
  <c r="H19" i="4"/>
  <c r="G19" i="4" s="1"/>
  <c r="R24" i="4"/>
  <c r="M36" i="4" s="1"/>
  <c r="H10" i="4"/>
  <c r="G10" i="4" s="1"/>
  <c r="S22" i="4"/>
  <c r="H11" i="4"/>
  <c r="G11" i="4" s="1"/>
  <c r="H13" i="4"/>
  <c r="G13" i="4" s="1"/>
  <c r="H15" i="4"/>
  <c r="G15" i="4" s="1"/>
  <c r="H17" i="4"/>
  <c r="G17" i="4" s="1"/>
  <c r="F21" i="4"/>
  <c r="E21" i="4" s="1"/>
  <c r="AK22" i="4"/>
  <c r="U22" i="4"/>
  <c r="U24" i="4" s="1"/>
  <c r="P36" i="4" s="1"/>
  <c r="Y21" i="3"/>
  <c r="P66" i="1"/>
  <c r="Q66" i="1" s="1"/>
  <c r="P67" i="1"/>
  <c r="Q67" i="1" s="1"/>
  <c r="O14" i="1"/>
  <c r="G13" i="1"/>
  <c r="H13" i="1"/>
  <c r="H46" i="1"/>
  <c r="T41" i="1"/>
  <c r="T45" i="1"/>
  <c r="T37" i="1"/>
  <c r="T38" i="1"/>
  <c r="T42" i="1"/>
  <c r="T35" i="1"/>
  <c r="T39" i="1"/>
  <c r="T43" i="1"/>
  <c r="T36" i="1"/>
  <c r="T40" i="1"/>
  <c r="T44" i="1"/>
  <c r="E7" i="4"/>
  <c r="Z8" i="4"/>
  <c r="AF8" i="4" s="1"/>
  <c r="AA7" i="4"/>
  <c r="AG7" i="4" s="1"/>
  <c r="H8" i="4"/>
  <c r="G8" i="4" s="1"/>
  <c r="Z9" i="4"/>
  <c r="AF9" i="4" s="1"/>
  <c r="F10" i="4"/>
  <c r="E10" i="4" s="1"/>
  <c r="Z10" i="4"/>
  <c r="AF10" i="4" s="1"/>
  <c r="Z11" i="4"/>
  <c r="AF11" i="4" s="1"/>
  <c r="Z12" i="4"/>
  <c r="AF12" i="4" s="1"/>
  <c r="Z13" i="4"/>
  <c r="AF13" i="4" s="1"/>
  <c r="Z14" i="4"/>
  <c r="AF14" i="4" s="1"/>
  <c r="Z15" i="4"/>
  <c r="AF15" i="4" s="1"/>
  <c r="Z16" i="4"/>
  <c r="AF16" i="4" s="1"/>
  <c r="Z17" i="4"/>
  <c r="AF17" i="4" s="1"/>
  <c r="Z18" i="4"/>
  <c r="AF18" i="4" s="1"/>
  <c r="AL18" i="4"/>
  <c r="AM19" i="4"/>
  <c r="R26" i="4"/>
  <c r="S26" i="4"/>
  <c r="Z7" i="4"/>
  <c r="AF7" i="4" s="1"/>
  <c r="AK21" i="4"/>
  <c r="AK26" i="4" s="1"/>
  <c r="Y21" i="4"/>
  <c r="AE21" i="4" s="1"/>
  <c r="AE26" i="4" s="1"/>
  <c r="S24" i="4"/>
  <c r="AL22" i="4"/>
  <c r="Z22" i="4"/>
  <c r="F22" i="4"/>
  <c r="E22" i="4" s="1"/>
  <c r="C23" i="4"/>
  <c r="H7" i="4"/>
  <c r="AA8" i="4"/>
  <c r="AG8" i="4" s="1"/>
  <c r="F9" i="4"/>
  <c r="E9" i="4" s="1"/>
  <c r="F11" i="4"/>
  <c r="E11" i="4" s="1"/>
  <c r="AL7" i="4"/>
  <c r="AA9" i="4"/>
  <c r="AG9" i="4" s="1"/>
  <c r="AA10" i="4"/>
  <c r="AG10" i="4" s="1"/>
  <c r="AA11" i="4"/>
  <c r="AG11" i="4" s="1"/>
  <c r="AA12" i="4"/>
  <c r="AG12" i="4" s="1"/>
  <c r="AA13" i="4"/>
  <c r="AG13" i="4" s="1"/>
  <c r="AA14" i="4"/>
  <c r="AG14" i="4" s="1"/>
  <c r="AA15" i="4"/>
  <c r="AG15" i="4" s="1"/>
  <c r="AA16" i="4"/>
  <c r="AG16" i="4" s="1"/>
  <c r="AA17" i="4"/>
  <c r="AG17" i="4" s="1"/>
  <c r="AL20" i="4"/>
  <c r="AL26" i="4" s="1"/>
  <c r="F20" i="4"/>
  <c r="E20" i="4" s="1"/>
  <c r="S25" i="4"/>
  <c r="Z20" i="4"/>
  <c r="AA21" i="4"/>
  <c r="AG21" i="4" s="1"/>
  <c r="H21" i="4"/>
  <c r="G21" i="4" s="1"/>
  <c r="U21" i="4" s="1"/>
  <c r="AM21" i="4"/>
  <c r="AL21" i="4"/>
  <c r="Y25" i="4"/>
  <c r="AE22" i="4"/>
  <c r="AE25" i="4" s="1"/>
  <c r="AK25" i="4"/>
  <c r="F8" i="4"/>
  <c r="E8" i="4" s="1"/>
  <c r="R25" i="4"/>
  <c r="AL19" i="4"/>
  <c r="T20" i="4"/>
  <c r="T22" i="4"/>
  <c r="M30" i="4"/>
  <c r="C59" i="3"/>
  <c r="P18" i="3"/>
  <c r="Q18" i="3" s="1"/>
  <c r="AC18" i="3" s="1"/>
  <c r="P19" i="3"/>
  <c r="Q19" i="3" s="1"/>
  <c r="AC19" i="3" s="1"/>
  <c r="P20" i="3"/>
  <c r="Q20" i="3" s="1"/>
  <c r="O18" i="3"/>
  <c r="U18" i="3" s="1"/>
  <c r="O19" i="3"/>
  <c r="U19" i="3" s="1"/>
  <c r="C21" i="3"/>
  <c r="T26" i="4" l="1"/>
  <c r="AC20" i="3"/>
  <c r="G14" i="1"/>
  <c r="H14" i="1"/>
  <c r="O15" i="1"/>
  <c r="AB19" i="3"/>
  <c r="AB18" i="3"/>
  <c r="AF20" i="4"/>
  <c r="AF26" i="4" s="1"/>
  <c r="Z26" i="4"/>
  <c r="Z25" i="4"/>
  <c r="AF22" i="4"/>
  <c r="AF25" i="4" s="1"/>
  <c r="T25" i="4"/>
  <c r="AA20" i="4"/>
  <c r="AM20" i="4"/>
  <c r="AM26" i="4" s="1"/>
  <c r="H20" i="4"/>
  <c r="G20" i="4" s="1"/>
  <c r="U20" i="4" s="1"/>
  <c r="Y26" i="4"/>
  <c r="Y27" i="4" s="1"/>
  <c r="AK27" i="4"/>
  <c r="N31" i="4"/>
  <c r="N37" i="4"/>
  <c r="G7" i="4"/>
  <c r="AL25" i="4"/>
  <c r="AL27" i="4" s="1"/>
  <c r="E23" i="4"/>
  <c r="H22" i="4"/>
  <c r="G22" i="4" s="1"/>
  <c r="AA22" i="4"/>
  <c r="AM22" i="4"/>
  <c r="AM25" i="4" s="1"/>
  <c r="AM27" i="4" s="1"/>
  <c r="T24" i="4"/>
  <c r="M37" i="4"/>
  <c r="M38" i="4" s="1"/>
  <c r="M31" i="4"/>
  <c r="M32" i="4" s="1"/>
  <c r="M33" i="4" s="1"/>
  <c r="AE27" i="4"/>
  <c r="AN21" i="4"/>
  <c r="AB21" i="4"/>
  <c r="AH21" i="4" s="1"/>
  <c r="J21" i="4"/>
  <c r="I21" i="4" s="1"/>
  <c r="N36" i="4"/>
  <c r="N38" i="4" s="1"/>
  <c r="N30" i="4"/>
  <c r="F23" i="4"/>
  <c r="Z27" i="4" l="1"/>
  <c r="AF27" i="4"/>
  <c r="O16" i="1"/>
  <c r="G15" i="1"/>
  <c r="H15" i="1"/>
  <c r="AB22" i="4"/>
  <c r="AN22" i="4"/>
  <c r="AN25" i="4" s="1"/>
  <c r="J22" i="4"/>
  <c r="I22" i="4" s="1"/>
  <c r="G23" i="4"/>
  <c r="AA25" i="4"/>
  <c r="AG22" i="4"/>
  <c r="AG25" i="4" s="1"/>
  <c r="AG27" i="4" s="1"/>
  <c r="U25" i="4"/>
  <c r="AB20" i="4"/>
  <c r="U26" i="4"/>
  <c r="J20" i="4"/>
  <c r="AN20" i="4"/>
  <c r="AN26" i="4" s="1"/>
  <c r="N32" i="4"/>
  <c r="N33" i="4" s="1"/>
  <c r="O36" i="4"/>
  <c r="O30" i="4"/>
  <c r="H23" i="4"/>
  <c r="AG20" i="4"/>
  <c r="AG26" i="4" s="1"/>
  <c r="AA26" i="4"/>
  <c r="O37" i="4"/>
  <c r="O31" i="4"/>
  <c r="AC45" i="1"/>
  <c r="AC44" i="1"/>
  <c r="AC42" i="1"/>
  <c r="AC41" i="1"/>
  <c r="AC40" i="1"/>
  <c r="AC39" i="1"/>
  <c r="AC38" i="1"/>
  <c r="AC37" i="1"/>
  <c r="AC36" i="1"/>
  <c r="AC35" i="1"/>
  <c r="AC34" i="1"/>
  <c r="S49" i="1"/>
  <c r="C49" i="1"/>
  <c r="G85" i="1"/>
  <c r="AB30" i="4" l="1"/>
  <c r="H16" i="1"/>
  <c r="G16" i="1"/>
  <c r="O17" i="1"/>
  <c r="X49" i="1"/>
  <c r="T49" i="1"/>
  <c r="I49" i="1"/>
  <c r="O20" i="3"/>
  <c r="O32" i="4"/>
  <c r="O33" i="4" s="1"/>
  <c r="I20" i="4"/>
  <c r="I23" i="4" s="1"/>
  <c r="J23" i="4"/>
  <c r="AN27" i="4"/>
  <c r="AA27" i="4"/>
  <c r="P30" i="4"/>
  <c r="P32" i="4" s="1"/>
  <c r="P33" i="4" s="1"/>
  <c r="P37" i="4"/>
  <c r="P31" i="4"/>
  <c r="O38" i="4"/>
  <c r="AB26" i="4"/>
  <c r="AH20" i="4"/>
  <c r="AH26" i="4" s="1"/>
  <c r="AH22" i="4"/>
  <c r="AH25" i="4" s="1"/>
  <c r="AB25" i="4"/>
  <c r="R20" i="3" l="1"/>
  <c r="S20" i="3" s="1"/>
  <c r="U20" i="3"/>
  <c r="AB27" i="4"/>
  <c r="O18" i="1"/>
  <c r="G17" i="1"/>
  <c r="H17" i="1"/>
  <c r="AB20" i="3"/>
  <c r="AC49" i="1"/>
  <c r="U49" i="1"/>
  <c r="M68" i="1"/>
  <c r="L68" i="1"/>
  <c r="K68" i="1"/>
  <c r="J68" i="1"/>
  <c r="AL49" i="1"/>
  <c r="P38" i="4"/>
  <c r="AH27" i="4"/>
  <c r="G18" i="1" l="1"/>
  <c r="H18" i="1"/>
  <c r="P68" i="1"/>
  <c r="Q68" i="1" s="1"/>
  <c r="R68" i="1" s="1"/>
  <c r="AL47" i="1"/>
  <c r="R46" i="1"/>
  <c r="Q46" i="1"/>
  <c r="R43" i="1"/>
  <c r="Q43" i="1"/>
  <c r="R41" i="1"/>
  <c r="Q41" i="1"/>
  <c r="R40" i="1"/>
  <c r="Q40" i="1"/>
  <c r="R39" i="1"/>
  <c r="Q39" i="1"/>
  <c r="R38" i="1"/>
  <c r="Q38" i="1"/>
  <c r="R37" i="1"/>
  <c r="Q37" i="1"/>
  <c r="R36" i="1"/>
  <c r="Q36" i="1"/>
  <c r="R34" i="1"/>
  <c r="E45" i="1" l="1"/>
  <c r="E17" i="1" s="1"/>
  <c r="L17" i="1" s="1"/>
  <c r="V6" i="2" l="1"/>
  <c r="Q38" i="2"/>
  <c r="AE27" i="2" s="1"/>
  <c r="Q37" i="2"/>
  <c r="AE26" i="2" s="1"/>
  <c r="Q36" i="2"/>
  <c r="AE25" i="2" s="1"/>
  <c r="P31" i="2"/>
  <c r="C22" i="2"/>
  <c r="U29" i="2"/>
  <c r="U35" i="2" s="1"/>
  <c r="T29" i="2"/>
  <c r="T35" i="2" s="1"/>
  <c r="S29" i="2"/>
  <c r="S35" i="2" s="1"/>
  <c r="R29" i="2"/>
  <c r="R35" i="2" s="1"/>
  <c r="X27" i="2"/>
  <c r="X26" i="2"/>
  <c r="X25" i="2"/>
  <c r="D23" i="2"/>
  <c r="AE22" i="2"/>
  <c r="X22" i="2"/>
  <c r="R22" i="2"/>
  <c r="P22" i="2"/>
  <c r="AE21" i="2"/>
  <c r="X21" i="2"/>
  <c r="R21" i="2"/>
  <c r="O21" i="2"/>
  <c r="U21" i="2" s="1"/>
  <c r="N21" i="2"/>
  <c r="T20" i="2" s="1"/>
  <c r="M21" i="2"/>
  <c r="S21" i="2" s="1"/>
  <c r="AE20" i="2"/>
  <c r="X20" i="2"/>
  <c r="R20" i="2"/>
  <c r="R25" i="2" s="1"/>
  <c r="AE19" i="2"/>
  <c r="X19" i="2"/>
  <c r="R19" i="2"/>
  <c r="AE18" i="2"/>
  <c r="X18" i="2"/>
  <c r="R18" i="2"/>
  <c r="AE17" i="2"/>
  <c r="X17" i="2"/>
  <c r="R17" i="2"/>
  <c r="AF17" i="2" s="1"/>
  <c r="AE16" i="2"/>
  <c r="X16" i="2"/>
  <c r="R16" i="2"/>
  <c r="AE15" i="2"/>
  <c r="X15" i="2"/>
  <c r="S15" i="2"/>
  <c r="F15" i="2" s="1"/>
  <c r="R15" i="2"/>
  <c r="AF15" i="2" s="1"/>
  <c r="AE14" i="2"/>
  <c r="X14" i="2"/>
  <c r="U14" i="2"/>
  <c r="AI14" i="2" s="1"/>
  <c r="R14" i="2"/>
  <c r="J14" i="2"/>
  <c r="I14" i="2" s="1"/>
  <c r="AE13" i="2"/>
  <c r="X13" i="2"/>
  <c r="R13" i="2"/>
  <c r="AF13" i="2" s="1"/>
  <c r="C13" i="2"/>
  <c r="AE12" i="2"/>
  <c r="X12" i="2"/>
  <c r="U12" i="2"/>
  <c r="AI12" i="2" s="1"/>
  <c r="R12" i="2"/>
  <c r="AF12" i="2" s="1"/>
  <c r="AE11" i="2"/>
  <c r="X11" i="2"/>
  <c r="U11" i="2"/>
  <c r="J11" i="2" s="1"/>
  <c r="T11" i="2"/>
  <c r="AA11" i="2" s="1"/>
  <c r="S11" i="2"/>
  <c r="AG11" i="2" s="1"/>
  <c r="R11" i="2"/>
  <c r="AF11" i="2" s="1"/>
  <c r="AE10" i="2"/>
  <c r="X10" i="2"/>
  <c r="S10" i="2"/>
  <c r="F10" i="2" s="1"/>
  <c r="R10" i="2"/>
  <c r="AE9" i="2"/>
  <c r="X9" i="2"/>
  <c r="U9" i="2"/>
  <c r="AI9" i="2" s="1"/>
  <c r="R9" i="2"/>
  <c r="AF9" i="2" s="1"/>
  <c r="AE8" i="2"/>
  <c r="X8" i="2"/>
  <c r="U8" i="2"/>
  <c r="AI8" i="2" s="1"/>
  <c r="R8" i="2"/>
  <c r="AE7" i="2"/>
  <c r="X7" i="2"/>
  <c r="U7" i="2"/>
  <c r="J7" i="2" s="1"/>
  <c r="R7" i="2"/>
  <c r="AI6" i="2"/>
  <c r="AH6" i="2"/>
  <c r="AG6" i="2"/>
  <c r="AF6" i="2"/>
  <c r="AE6" i="2"/>
  <c r="AA6" i="2"/>
  <c r="Z6" i="2"/>
  <c r="Y6" i="2"/>
  <c r="X6" i="2"/>
  <c r="U18" i="2" l="1"/>
  <c r="AI18" i="2" s="1"/>
  <c r="U22" i="2"/>
  <c r="J22" i="2" s="1"/>
  <c r="I22" i="2" s="1"/>
  <c r="T22" i="2"/>
  <c r="S22" i="2"/>
  <c r="J8" i="2"/>
  <c r="U10" i="2"/>
  <c r="AI10" i="2" s="1"/>
  <c r="T12" i="2"/>
  <c r="AH12" i="2" s="1"/>
  <c r="U13" i="2"/>
  <c r="T16" i="2"/>
  <c r="AA16" i="2" s="1"/>
  <c r="U19" i="2"/>
  <c r="J19" i="2" s="1"/>
  <c r="I19" i="2" s="1"/>
  <c r="S20" i="2"/>
  <c r="Z20" i="2" s="1"/>
  <c r="Y21" i="2"/>
  <c r="AF21" i="2"/>
  <c r="J9" i="2"/>
  <c r="I9" i="2" s="1"/>
  <c r="U16" i="2"/>
  <c r="J18" i="2"/>
  <c r="U20" i="2"/>
  <c r="T21" i="2"/>
  <c r="AA21" i="2" s="1"/>
  <c r="U15" i="2"/>
  <c r="J15" i="2" s="1"/>
  <c r="I15" i="2" s="1"/>
  <c r="U17" i="2"/>
  <c r="AB17" i="2" s="1"/>
  <c r="J12" i="2"/>
  <c r="I12" i="2" s="1"/>
  <c r="S7" i="2"/>
  <c r="Z7" i="2" s="1"/>
  <c r="AF7" i="2"/>
  <c r="S8" i="2"/>
  <c r="Z8" i="2" s="1"/>
  <c r="AF8" i="2"/>
  <c r="S9" i="2"/>
  <c r="AG9" i="2" s="1"/>
  <c r="F11" i="2"/>
  <c r="E11" i="2" s="1"/>
  <c r="S13" i="2"/>
  <c r="F13" i="2" s="1"/>
  <c r="E13" i="2" s="1"/>
  <c r="S14" i="2"/>
  <c r="AG15" i="2"/>
  <c r="S16" i="2"/>
  <c r="AG16" i="2" s="1"/>
  <c r="R26" i="2"/>
  <c r="AB18" i="2"/>
  <c r="AF19" i="2"/>
  <c r="AG10" i="2"/>
  <c r="S12" i="2"/>
  <c r="AF16" i="2"/>
  <c r="S17" i="2"/>
  <c r="F17" i="2" s="1"/>
  <c r="E17" i="2" s="1"/>
  <c r="S18" i="2"/>
  <c r="J20" i="2"/>
  <c r="I20" i="2" s="1"/>
  <c r="AF20" i="2"/>
  <c r="Y20" i="2"/>
  <c r="Y26" i="2" s="1"/>
  <c r="H20" i="2"/>
  <c r="G20" i="2" s="1"/>
  <c r="AH20" i="2"/>
  <c r="AA20" i="2"/>
  <c r="I7" i="2"/>
  <c r="AG13" i="2"/>
  <c r="Z13" i="2"/>
  <c r="R31" i="2"/>
  <c r="R37" i="2"/>
  <c r="Y7" i="2"/>
  <c r="AG8" i="2"/>
  <c r="F8" i="2"/>
  <c r="E8" i="2" s="1"/>
  <c r="Y8" i="2"/>
  <c r="H11" i="2"/>
  <c r="G11" i="2" s="1"/>
  <c r="AH11" i="2"/>
  <c r="AI15" i="2"/>
  <c r="AB15" i="2"/>
  <c r="AB16" i="2"/>
  <c r="I8" i="2"/>
  <c r="T8" i="2"/>
  <c r="C9" i="2"/>
  <c r="Y9" i="2"/>
  <c r="AF10" i="2"/>
  <c r="Y10" i="2"/>
  <c r="AI11" i="2"/>
  <c r="AB11" i="2"/>
  <c r="AB12" i="2"/>
  <c r="Y17" i="2"/>
  <c r="Y19" i="2"/>
  <c r="C21" i="2"/>
  <c r="AI21" i="2"/>
  <c r="AB21" i="2"/>
  <c r="J21" i="2"/>
  <c r="I21" i="2" s="1"/>
  <c r="AI7" i="2"/>
  <c r="AB7" i="2"/>
  <c r="AF18" i="2"/>
  <c r="Y18" i="2"/>
  <c r="F21" i="2"/>
  <c r="E21" i="2" s="1"/>
  <c r="AG21" i="2"/>
  <c r="C20" i="2"/>
  <c r="Y16" i="2"/>
  <c r="C16" i="2"/>
  <c r="Z15" i="2"/>
  <c r="Y12" i="2"/>
  <c r="C12" i="2"/>
  <c r="Z11" i="2"/>
  <c r="C19" i="2"/>
  <c r="C15" i="2"/>
  <c r="C11" i="2"/>
  <c r="C7" i="2"/>
  <c r="C18" i="2"/>
  <c r="C14" i="2"/>
  <c r="C10" i="2"/>
  <c r="I11" i="2"/>
  <c r="H12" i="2"/>
  <c r="G12" i="2" s="1"/>
  <c r="AA12" i="2"/>
  <c r="AF14" i="2"/>
  <c r="Y14" i="2"/>
  <c r="AB14" i="2"/>
  <c r="E15" i="2"/>
  <c r="Z18" i="2"/>
  <c r="S25" i="2"/>
  <c r="T19" i="2"/>
  <c r="T15" i="2"/>
  <c r="T18" i="2"/>
  <c r="T14" i="2"/>
  <c r="T10" i="2"/>
  <c r="T17" i="2"/>
  <c r="T13" i="2"/>
  <c r="T9" i="2"/>
  <c r="R24" i="2"/>
  <c r="AF22" i="2"/>
  <c r="Y22" i="2"/>
  <c r="T7" i="2"/>
  <c r="C8" i="2"/>
  <c r="AB8" i="2"/>
  <c r="F9" i="2"/>
  <c r="E9" i="2" s="1"/>
  <c r="AB9" i="2"/>
  <c r="E10" i="2"/>
  <c r="Z10" i="2"/>
  <c r="Y11" i="2"/>
  <c r="Y13" i="2"/>
  <c r="Y15" i="2"/>
  <c r="Z16" i="2"/>
  <c r="C17" i="2"/>
  <c r="AG17" i="2"/>
  <c r="Z17" i="2"/>
  <c r="I18" i="2"/>
  <c r="H21" i="2"/>
  <c r="G21" i="2" s="1"/>
  <c r="Z21" i="2"/>
  <c r="Z26" i="2" s="1"/>
  <c r="F16" i="2"/>
  <c r="E16" i="2" s="1"/>
  <c r="AG20" i="2"/>
  <c r="AI22" i="2"/>
  <c r="U25" i="2"/>
  <c r="S19" i="2"/>
  <c r="AJ42" i="1"/>
  <c r="AB19" i="2" l="1"/>
  <c r="AB10" i="2"/>
  <c r="Z9" i="2"/>
  <c r="AH21" i="2"/>
  <c r="H16" i="2"/>
  <c r="G16" i="2" s="1"/>
  <c r="T25" i="2"/>
  <c r="AB22" i="2"/>
  <c r="AB25" i="2" s="1"/>
  <c r="J10" i="2"/>
  <c r="I10" i="2" s="1"/>
  <c r="AI19" i="2"/>
  <c r="AH16" i="2"/>
  <c r="U26" i="2"/>
  <c r="AI16" i="2"/>
  <c r="J16" i="2"/>
  <c r="I16" i="2" s="1"/>
  <c r="U24" i="2"/>
  <c r="F20" i="2"/>
  <c r="E20" i="2" s="1"/>
  <c r="AB13" i="2"/>
  <c r="AF26" i="2"/>
  <c r="AB20" i="2"/>
  <c r="AB26" i="2" s="1"/>
  <c r="AI20" i="2"/>
  <c r="AI17" i="2"/>
  <c r="AI26" i="2" s="1"/>
  <c r="J17" i="2"/>
  <c r="I17" i="2" s="1"/>
  <c r="AI13" i="2"/>
  <c r="J13" i="2"/>
  <c r="I13" i="2" s="1"/>
  <c r="F14" i="2"/>
  <c r="E14" i="2" s="1"/>
  <c r="AG14" i="2"/>
  <c r="C23" i="2"/>
  <c r="AA26" i="2"/>
  <c r="AG18" i="2"/>
  <c r="F18" i="2"/>
  <c r="E18" i="2" s="1"/>
  <c r="AG12" i="2"/>
  <c r="Z12" i="2"/>
  <c r="F12" i="2"/>
  <c r="E12" i="2" s="1"/>
  <c r="Z14" i="2"/>
  <c r="S26" i="2"/>
  <c r="F7" i="2"/>
  <c r="E7" i="2" s="1"/>
  <c r="AG7" i="2"/>
  <c r="AA9" i="2"/>
  <c r="AH9" i="2"/>
  <c r="H9" i="2"/>
  <c r="G9" i="2" s="1"/>
  <c r="H19" i="2"/>
  <c r="G19" i="2" s="1"/>
  <c r="AH19" i="2"/>
  <c r="AA19" i="2"/>
  <c r="S24" i="2"/>
  <c r="AG22" i="2"/>
  <c r="Z22" i="2"/>
  <c r="F22" i="2"/>
  <c r="E22" i="2" s="1"/>
  <c r="Y25" i="2"/>
  <c r="Y27" i="2" s="1"/>
  <c r="AA18" i="2"/>
  <c r="H18" i="2"/>
  <c r="G18" i="2" s="1"/>
  <c r="AH18" i="2"/>
  <c r="U37" i="2"/>
  <c r="U31" i="2"/>
  <c r="AF25" i="2"/>
  <c r="AF27" i="2" s="1"/>
  <c r="AH17" i="2"/>
  <c r="AA17" i="2"/>
  <c r="H17" i="2"/>
  <c r="G17" i="2" s="1"/>
  <c r="AA22" i="2"/>
  <c r="H22" i="2"/>
  <c r="G22" i="2" s="1"/>
  <c r="T24" i="2"/>
  <c r="AH22" i="2"/>
  <c r="J23" i="2"/>
  <c r="T26" i="2"/>
  <c r="H7" i="2"/>
  <c r="AH7" i="2"/>
  <c r="AA7" i="2"/>
  <c r="AA14" i="2"/>
  <c r="H14" i="2"/>
  <c r="G14" i="2" s="1"/>
  <c r="AH14" i="2"/>
  <c r="Z19" i="2"/>
  <c r="AG19" i="2"/>
  <c r="F19" i="2"/>
  <c r="E19" i="2" s="1"/>
  <c r="AH13" i="2"/>
  <c r="AA13" i="2"/>
  <c r="H13" i="2"/>
  <c r="G13" i="2" s="1"/>
  <c r="S31" i="2"/>
  <c r="S37" i="2"/>
  <c r="AH8" i="2"/>
  <c r="AA8" i="2"/>
  <c r="H8" i="2"/>
  <c r="G8" i="2" s="1"/>
  <c r="R36" i="2"/>
  <c r="R38" i="2" s="1"/>
  <c r="R30" i="2"/>
  <c r="R32" i="2" s="1"/>
  <c r="R33" i="2" s="1"/>
  <c r="H10" i="2"/>
  <c r="G10" i="2" s="1"/>
  <c r="AH10" i="2"/>
  <c r="AA10" i="2"/>
  <c r="H15" i="2"/>
  <c r="G15" i="2" s="1"/>
  <c r="AH15" i="2"/>
  <c r="AA15" i="2"/>
  <c r="T37" i="2"/>
  <c r="T31" i="2"/>
  <c r="J37" i="1"/>
  <c r="C37" i="1"/>
  <c r="B37" i="1"/>
  <c r="D37" i="1"/>
  <c r="D9" i="1" s="1"/>
  <c r="E37" i="1"/>
  <c r="E9" i="1" s="1"/>
  <c r="L9" i="1" s="1"/>
  <c r="F37" i="1"/>
  <c r="F9" i="1" s="1"/>
  <c r="M9" i="1" s="1"/>
  <c r="K37" i="1"/>
  <c r="L37" i="1"/>
  <c r="M37" i="1"/>
  <c r="W10" i="2"/>
  <c r="S37" i="1"/>
  <c r="S9" i="1" s="1"/>
  <c r="B9" i="1" l="1"/>
  <c r="B56" i="1"/>
  <c r="U30" i="2"/>
  <c r="U32" i="2" s="1"/>
  <c r="U33" i="2" s="1"/>
  <c r="U36" i="2"/>
  <c r="AI25" i="2"/>
  <c r="I23" i="2"/>
  <c r="I9" i="1"/>
  <c r="AL9" i="1" s="1"/>
  <c r="K9" i="1"/>
  <c r="P8" i="3"/>
  <c r="Q8" i="3" s="1"/>
  <c r="X37" i="1"/>
  <c r="U38" i="2"/>
  <c r="O8" i="3"/>
  <c r="U8" i="3" s="1"/>
  <c r="V10" i="2"/>
  <c r="AI27" i="2"/>
  <c r="AB27" i="2"/>
  <c r="E23" i="2"/>
  <c r="AG26" i="2"/>
  <c r="AH26" i="2"/>
  <c r="S30" i="2"/>
  <c r="S32" i="2" s="1"/>
  <c r="S33" i="2" s="1"/>
  <c r="S36" i="2"/>
  <c r="S38" i="2" s="1"/>
  <c r="H23" i="2"/>
  <c r="G7" i="2"/>
  <c r="G23" i="2" s="1"/>
  <c r="T30" i="2"/>
  <c r="T32" i="2" s="1"/>
  <c r="T33" i="2" s="1"/>
  <c r="T36" i="2"/>
  <c r="T38" i="2" s="1"/>
  <c r="Z25" i="2"/>
  <c r="Z27" i="2" s="1"/>
  <c r="AA25" i="2"/>
  <c r="AA27" i="2" s="1"/>
  <c r="AH25" i="2"/>
  <c r="AH27" i="2" s="1"/>
  <c r="F23" i="2"/>
  <c r="AG25" i="2"/>
  <c r="AG27" i="2" s="1"/>
  <c r="C41" i="1"/>
  <c r="B41" i="1"/>
  <c r="D41" i="1"/>
  <c r="D13" i="1" s="1"/>
  <c r="E41" i="1"/>
  <c r="E13" i="1" s="1"/>
  <c r="L13" i="1" s="1"/>
  <c r="F41" i="1"/>
  <c r="F13" i="1" s="1"/>
  <c r="M13" i="1" s="1"/>
  <c r="J41" i="1"/>
  <c r="K41" i="1"/>
  <c r="L41" i="1"/>
  <c r="M41" i="1"/>
  <c r="W14" i="2"/>
  <c r="S41" i="1"/>
  <c r="S13" i="1" s="1"/>
  <c r="B13" i="1" l="1"/>
  <c r="B60" i="1"/>
  <c r="I13" i="1"/>
  <c r="AL13" i="1" s="1"/>
  <c r="P9" i="1"/>
  <c r="T9" i="1" s="1"/>
  <c r="N9" i="1"/>
  <c r="K13" i="1"/>
  <c r="AC8" i="3"/>
  <c r="R8" i="3"/>
  <c r="S8" i="3" s="1"/>
  <c r="AB8" i="3"/>
  <c r="J56" i="1"/>
  <c r="M56" i="1"/>
  <c r="P12" i="3"/>
  <c r="Q12" i="3" s="1"/>
  <c r="X41" i="1"/>
  <c r="K60" i="1" s="1"/>
  <c r="K56" i="1"/>
  <c r="L56" i="1"/>
  <c r="O12" i="3"/>
  <c r="U12" i="3" s="1"/>
  <c r="V14" i="2"/>
  <c r="AJ46" i="1"/>
  <c r="AJ35" i="1"/>
  <c r="AJ36" i="1"/>
  <c r="AJ37" i="1"/>
  <c r="AJ38" i="1"/>
  <c r="AJ39" i="1"/>
  <c r="AJ40" i="1"/>
  <c r="AJ41" i="1"/>
  <c r="AJ43" i="1"/>
  <c r="AJ44" i="1"/>
  <c r="AJ45" i="1"/>
  <c r="AJ34" i="1"/>
  <c r="Q9" i="1" l="1"/>
  <c r="R9" i="1" s="1"/>
  <c r="U9" i="1" s="1"/>
  <c r="AM9" i="1"/>
  <c r="P13" i="1"/>
  <c r="Q13" i="1" s="1"/>
  <c r="R13" i="1" s="1"/>
  <c r="N13" i="1"/>
  <c r="AC12" i="3"/>
  <c r="R12" i="3"/>
  <c r="S12" i="3" s="1"/>
  <c r="AB12" i="3"/>
  <c r="L60" i="1"/>
  <c r="J60" i="1"/>
  <c r="M60" i="1"/>
  <c r="S46" i="1"/>
  <c r="S18" i="1" s="1"/>
  <c r="W19" i="2"/>
  <c r="M46" i="1"/>
  <c r="L46" i="1"/>
  <c r="K46" i="1"/>
  <c r="J46" i="1"/>
  <c r="F46" i="1"/>
  <c r="F18" i="1" s="1"/>
  <c r="M18" i="1" s="1"/>
  <c r="E46" i="1"/>
  <c r="E18" i="1" s="1"/>
  <c r="L18" i="1" s="1"/>
  <c r="D46" i="1"/>
  <c r="D18" i="1" s="1"/>
  <c r="C46" i="1"/>
  <c r="B46" i="1"/>
  <c r="S45" i="1"/>
  <c r="S17" i="1" s="1"/>
  <c r="L45" i="1"/>
  <c r="K45" i="1"/>
  <c r="J45" i="1"/>
  <c r="D45" i="1"/>
  <c r="D17" i="1" s="1"/>
  <c r="I17" i="1" s="1"/>
  <c r="C45" i="1"/>
  <c r="B45" i="1"/>
  <c r="S44" i="1"/>
  <c r="S16" i="1" s="1"/>
  <c r="M44" i="1"/>
  <c r="K44" i="1"/>
  <c r="J44" i="1"/>
  <c r="F44" i="1"/>
  <c r="F16" i="1" s="1"/>
  <c r="M16" i="1" s="1"/>
  <c r="E44" i="1"/>
  <c r="E16" i="1" s="1"/>
  <c r="L16" i="1" s="1"/>
  <c r="D44" i="1"/>
  <c r="D16" i="1" s="1"/>
  <c r="C44" i="1"/>
  <c r="B44" i="1"/>
  <c r="S43" i="1"/>
  <c r="S15" i="1" s="1"/>
  <c r="W16" i="2"/>
  <c r="M43" i="1"/>
  <c r="L43" i="1"/>
  <c r="K43" i="1"/>
  <c r="J43" i="1"/>
  <c r="F43" i="1"/>
  <c r="F15" i="1" s="1"/>
  <c r="M15" i="1" s="1"/>
  <c r="E43" i="1"/>
  <c r="E15" i="1" s="1"/>
  <c r="L15" i="1" s="1"/>
  <c r="D43" i="1"/>
  <c r="D15" i="1" s="1"/>
  <c r="C43" i="1"/>
  <c r="B43" i="1"/>
  <c r="S42" i="1"/>
  <c r="S14" i="1" s="1"/>
  <c r="M42" i="1"/>
  <c r="K42" i="1"/>
  <c r="J42" i="1"/>
  <c r="F42" i="1"/>
  <c r="F14" i="1" s="1"/>
  <c r="M14" i="1" s="1"/>
  <c r="E42" i="1"/>
  <c r="E14" i="1" s="1"/>
  <c r="L14" i="1" s="1"/>
  <c r="D42" i="1"/>
  <c r="D14" i="1" s="1"/>
  <c r="C42" i="1"/>
  <c r="B42" i="1"/>
  <c r="S40" i="1"/>
  <c r="S12" i="1" s="1"/>
  <c r="W13" i="2"/>
  <c r="M40" i="1"/>
  <c r="L40" i="1"/>
  <c r="K40" i="1"/>
  <c r="J40" i="1"/>
  <c r="F40" i="1"/>
  <c r="F12" i="1" s="1"/>
  <c r="M12" i="1" s="1"/>
  <c r="E40" i="1"/>
  <c r="E12" i="1" s="1"/>
  <c r="L12" i="1" s="1"/>
  <c r="D40" i="1"/>
  <c r="D12" i="1" s="1"/>
  <c r="C40" i="1"/>
  <c r="O11" i="3" s="1"/>
  <c r="U11" i="3" s="1"/>
  <c r="B40" i="1"/>
  <c r="S39" i="1"/>
  <c r="S11" i="1" s="1"/>
  <c r="W12" i="2"/>
  <c r="M39" i="1"/>
  <c r="L39" i="1"/>
  <c r="K39" i="1"/>
  <c r="J39" i="1"/>
  <c r="F39" i="1"/>
  <c r="F11" i="1" s="1"/>
  <c r="M11" i="1" s="1"/>
  <c r="E39" i="1"/>
  <c r="E11" i="1" s="1"/>
  <c r="L11" i="1" s="1"/>
  <c r="D39" i="1"/>
  <c r="D11" i="1" s="1"/>
  <c r="C39" i="1"/>
  <c r="B39" i="1"/>
  <c r="S38" i="1"/>
  <c r="S10" i="1" s="1"/>
  <c r="W11" i="2"/>
  <c r="M38" i="1"/>
  <c r="L38" i="1"/>
  <c r="K38" i="1"/>
  <c r="J38" i="1"/>
  <c r="F38" i="1"/>
  <c r="F10" i="1" s="1"/>
  <c r="M10" i="1" s="1"/>
  <c r="E38" i="1"/>
  <c r="E10" i="1" s="1"/>
  <c r="L10" i="1" s="1"/>
  <c r="D38" i="1"/>
  <c r="D10" i="1" s="1"/>
  <c r="C38" i="1"/>
  <c r="B38" i="1"/>
  <c r="S36" i="1"/>
  <c r="S8" i="1" s="1"/>
  <c r="W9" i="2"/>
  <c r="M36" i="1"/>
  <c r="L36" i="1"/>
  <c r="K36" i="1"/>
  <c r="J36" i="1"/>
  <c r="F36" i="1"/>
  <c r="E36" i="1"/>
  <c r="E8" i="1" s="1"/>
  <c r="L8" i="1" s="1"/>
  <c r="D36" i="1"/>
  <c r="D8" i="1" s="1"/>
  <c r="C36" i="1"/>
  <c r="B36" i="1"/>
  <c r="S35" i="1"/>
  <c r="S7" i="1" s="1"/>
  <c r="M35" i="1"/>
  <c r="K35" i="1"/>
  <c r="J35" i="1"/>
  <c r="F35" i="1"/>
  <c r="F7" i="1" s="1"/>
  <c r="M7" i="1" s="1"/>
  <c r="E35" i="1"/>
  <c r="E7" i="1" s="1"/>
  <c r="L7" i="1" s="1"/>
  <c r="D35" i="1"/>
  <c r="D7" i="1" s="1"/>
  <c r="C35" i="1"/>
  <c r="B35" i="1"/>
  <c r="G34" i="1"/>
  <c r="G35" i="1" s="1"/>
  <c r="G36" i="1" s="1"/>
  <c r="G37" i="1" s="1"/>
  <c r="P37" i="1" s="1"/>
  <c r="AM37" i="1" s="1"/>
  <c r="B34" i="1"/>
  <c r="F34" i="1"/>
  <c r="F6" i="1" s="1"/>
  <c r="M6" i="1" s="1"/>
  <c r="M29" i="1" l="1"/>
  <c r="AC9" i="1"/>
  <c r="U13" i="1"/>
  <c r="AC13" i="1"/>
  <c r="B10" i="1"/>
  <c r="B57" i="1"/>
  <c r="B6" i="1"/>
  <c r="B53" i="1"/>
  <c r="B12" i="1"/>
  <c r="B59" i="1"/>
  <c r="B15" i="1"/>
  <c r="B62" i="1"/>
  <c r="B17" i="1"/>
  <c r="B64" i="1"/>
  <c r="B7" i="1"/>
  <c r="B54" i="1"/>
  <c r="B11" i="1"/>
  <c r="B58" i="1"/>
  <c r="B8" i="1"/>
  <c r="B55" i="1"/>
  <c r="B14" i="1"/>
  <c r="B61" i="1"/>
  <c r="B16" i="1"/>
  <c r="B63" i="1"/>
  <c r="B18" i="1"/>
  <c r="B65" i="1"/>
  <c r="L29" i="1"/>
  <c r="I11" i="1"/>
  <c r="AL11" i="1" s="1"/>
  <c r="AM13" i="1"/>
  <c r="I12" i="1"/>
  <c r="AL12" i="1" s="1"/>
  <c r="I15" i="1"/>
  <c r="AL15" i="1" s="1"/>
  <c r="T13" i="1"/>
  <c r="I7" i="1"/>
  <c r="AL7" i="1" s="1"/>
  <c r="I10" i="1"/>
  <c r="AL10" i="1" s="1"/>
  <c r="K8" i="1"/>
  <c r="I8" i="1"/>
  <c r="I14" i="1"/>
  <c r="I16" i="1"/>
  <c r="AL16" i="1" s="1"/>
  <c r="I18" i="1"/>
  <c r="AL18" i="1" s="1"/>
  <c r="K14" i="1"/>
  <c r="K16" i="1"/>
  <c r="K18" i="1"/>
  <c r="K7" i="1"/>
  <c r="K10" i="1"/>
  <c r="K12" i="1"/>
  <c r="K15" i="1"/>
  <c r="K17" i="1"/>
  <c r="AL17" i="1"/>
  <c r="K11" i="1"/>
  <c r="M8" i="1"/>
  <c r="P56" i="1"/>
  <c r="Q56" i="1" s="1"/>
  <c r="R56" i="1" s="1"/>
  <c r="P10" i="3"/>
  <c r="Q10" i="3" s="1"/>
  <c r="X39" i="1"/>
  <c r="K58" i="1" s="1"/>
  <c r="P9" i="3"/>
  <c r="Q9" i="3" s="1"/>
  <c r="X38" i="1"/>
  <c r="K57" i="1" s="1"/>
  <c r="P16" i="3"/>
  <c r="Q16" i="3" s="1"/>
  <c r="X45" i="1"/>
  <c r="K64" i="1" s="1"/>
  <c r="P6" i="3"/>
  <c r="Q6" i="3" s="1"/>
  <c r="X35" i="1"/>
  <c r="L54" i="1" s="1"/>
  <c r="P7" i="3"/>
  <c r="Q7" i="3" s="1"/>
  <c r="X36" i="1"/>
  <c r="P36" i="1"/>
  <c r="AM36" i="1" s="1"/>
  <c r="X42" i="1"/>
  <c r="K61" i="1" s="1"/>
  <c r="P15" i="3"/>
  <c r="Q15" i="3" s="1"/>
  <c r="X44" i="1"/>
  <c r="L44" i="1" s="1"/>
  <c r="P11" i="3"/>
  <c r="Q11" i="3" s="1"/>
  <c r="X40" i="1"/>
  <c r="P14" i="3"/>
  <c r="Q14" i="3" s="1"/>
  <c r="X43" i="1"/>
  <c r="L62" i="1" s="1"/>
  <c r="X46" i="1"/>
  <c r="O7" i="3"/>
  <c r="U7" i="3" s="1"/>
  <c r="O10" i="3"/>
  <c r="U10" i="3" s="1"/>
  <c r="O13" i="3"/>
  <c r="U13" i="3" s="1"/>
  <c r="F50" i="1"/>
  <c r="P13" i="3"/>
  <c r="Q13" i="3" s="1"/>
  <c r="G38" i="1"/>
  <c r="G39" i="1" s="1"/>
  <c r="G40" i="1" s="1"/>
  <c r="G41" i="1" s="1"/>
  <c r="P41" i="1" s="1"/>
  <c r="AM41" i="1" s="1"/>
  <c r="I37" i="1"/>
  <c r="U37" i="1" s="1"/>
  <c r="O16" i="3"/>
  <c r="U16" i="3" s="1"/>
  <c r="I35" i="1"/>
  <c r="O6" i="3"/>
  <c r="U6" i="3" s="1"/>
  <c r="O9" i="3"/>
  <c r="U9" i="3" s="1"/>
  <c r="O14" i="3"/>
  <c r="U14" i="3" s="1"/>
  <c r="O15" i="3"/>
  <c r="U15" i="3" s="1"/>
  <c r="O17" i="3"/>
  <c r="U17" i="3" s="1"/>
  <c r="P17" i="3"/>
  <c r="Q17" i="3" s="1"/>
  <c r="V8" i="2"/>
  <c r="V12" i="2"/>
  <c r="V16" i="2"/>
  <c r="V9" i="2"/>
  <c r="I36" i="1"/>
  <c r="U36" i="1" s="1"/>
  <c r="V13" i="2"/>
  <c r="V17" i="2"/>
  <c r="V18" i="2"/>
  <c r="V19" i="2"/>
  <c r="V11" i="2"/>
  <c r="V15" i="2"/>
  <c r="I39" i="1" l="1"/>
  <c r="U39" i="1" s="1"/>
  <c r="AL14" i="1"/>
  <c r="I29" i="1"/>
  <c r="N14" i="1"/>
  <c r="K29" i="1"/>
  <c r="P11" i="1"/>
  <c r="T11" i="1" s="1"/>
  <c r="N11" i="1"/>
  <c r="N8" i="1"/>
  <c r="P15" i="1"/>
  <c r="T15" i="1" s="1"/>
  <c r="N15" i="1"/>
  <c r="P18" i="1"/>
  <c r="AM18" i="1" s="1"/>
  <c r="N18" i="1"/>
  <c r="P14" i="1"/>
  <c r="N17" i="1"/>
  <c r="P17" i="1"/>
  <c r="Q17" i="1" s="1"/>
  <c r="R17" i="1" s="1"/>
  <c r="P12" i="1"/>
  <c r="AM12" i="1" s="1"/>
  <c r="N12" i="1"/>
  <c r="P7" i="1"/>
  <c r="Q7" i="1" s="1"/>
  <c r="R7" i="1" s="1"/>
  <c r="N7" i="1"/>
  <c r="P16" i="1"/>
  <c r="Q16" i="1" s="1"/>
  <c r="R16" i="1" s="1"/>
  <c r="N16" i="1"/>
  <c r="P10" i="1"/>
  <c r="T10" i="1" s="1"/>
  <c r="N10" i="1"/>
  <c r="L58" i="1"/>
  <c r="I38" i="1"/>
  <c r="U38" i="1" s="1"/>
  <c r="I40" i="1"/>
  <c r="U40" i="1" s="1"/>
  <c r="K63" i="1"/>
  <c r="AL8" i="1"/>
  <c r="P8" i="1"/>
  <c r="AC9" i="3"/>
  <c r="R9" i="3"/>
  <c r="S9" i="3" s="1"/>
  <c r="AC13" i="3"/>
  <c r="R13" i="3"/>
  <c r="S13" i="3" s="1"/>
  <c r="AC14" i="3"/>
  <c r="R14" i="3"/>
  <c r="S14" i="3" s="1"/>
  <c r="AC15" i="3"/>
  <c r="R15" i="3"/>
  <c r="S15" i="3" s="1"/>
  <c r="AC16" i="3"/>
  <c r="R16" i="3"/>
  <c r="S16" i="3" s="1"/>
  <c r="AC10" i="3"/>
  <c r="R10" i="3"/>
  <c r="S10" i="3" s="1"/>
  <c r="AC6" i="3"/>
  <c r="R6" i="3"/>
  <c r="S6" i="3" s="1"/>
  <c r="AC7" i="3"/>
  <c r="R7" i="3"/>
  <c r="S7" i="3" s="1"/>
  <c r="AC17" i="3"/>
  <c r="R17" i="3"/>
  <c r="S17" i="3" s="1"/>
  <c r="AC11" i="3"/>
  <c r="R11" i="3"/>
  <c r="S11" i="3" s="1"/>
  <c r="AB14" i="3"/>
  <c r="AB15" i="3"/>
  <c r="AB6" i="3"/>
  <c r="AB10" i="3"/>
  <c r="AB7" i="3"/>
  <c r="AB16" i="3"/>
  <c r="AB11" i="3"/>
  <c r="AB17" i="3"/>
  <c r="AB9" i="3"/>
  <c r="AB13" i="3"/>
  <c r="L57" i="1"/>
  <c r="K54" i="1"/>
  <c r="L35" i="1"/>
  <c r="Q35" i="1" s="1"/>
  <c r="P40" i="1"/>
  <c r="AM40" i="1" s="1"/>
  <c r="P60" i="1"/>
  <c r="Q60" i="1" s="1"/>
  <c r="R60" i="1" s="1"/>
  <c r="P38" i="1"/>
  <c r="AM38" i="1" s="1"/>
  <c r="P39" i="1"/>
  <c r="AM39" i="1" s="1"/>
  <c r="Q44" i="1"/>
  <c r="W17" i="2" s="1"/>
  <c r="R44" i="1"/>
  <c r="J61" i="1"/>
  <c r="M61" i="1"/>
  <c r="J55" i="1"/>
  <c r="M55" i="1"/>
  <c r="J57" i="1"/>
  <c r="M57" i="1"/>
  <c r="L61" i="1"/>
  <c r="J58" i="1"/>
  <c r="M58" i="1"/>
  <c r="J62" i="1"/>
  <c r="M62" i="1"/>
  <c r="J59" i="1"/>
  <c r="M59" i="1"/>
  <c r="L59" i="1"/>
  <c r="L63" i="1"/>
  <c r="L42" i="1"/>
  <c r="J65" i="1"/>
  <c r="M65" i="1"/>
  <c r="J54" i="1"/>
  <c r="M54" i="1"/>
  <c r="L65" i="1"/>
  <c r="J64" i="1"/>
  <c r="M45" i="1"/>
  <c r="M64" i="1"/>
  <c r="L64" i="1"/>
  <c r="K65" i="1"/>
  <c r="K59" i="1"/>
  <c r="L55" i="1"/>
  <c r="J63" i="1"/>
  <c r="M63" i="1"/>
  <c r="K62" i="1"/>
  <c r="K55" i="1"/>
  <c r="AL35" i="1"/>
  <c r="AL37" i="1"/>
  <c r="G42" i="1"/>
  <c r="I41" i="1"/>
  <c r="U41" i="1" s="1"/>
  <c r="AL40" i="1"/>
  <c r="AL36" i="1"/>
  <c r="AL39" i="1"/>
  <c r="AK36" i="1"/>
  <c r="AK37" i="1"/>
  <c r="AK38" i="1"/>
  <c r="AK35" i="1"/>
  <c r="AK39" i="1"/>
  <c r="AK40" i="1"/>
  <c r="AK41" i="1"/>
  <c r="AK42" i="1"/>
  <c r="AK43" i="1"/>
  <c r="AK44" i="1"/>
  <c r="AK45" i="1"/>
  <c r="AK46" i="1"/>
  <c r="AK34" i="1"/>
  <c r="T7" i="1" l="1"/>
  <c r="Q11" i="1"/>
  <c r="R11" i="1" s="1"/>
  <c r="AC11" i="1" s="1"/>
  <c r="U16" i="1"/>
  <c r="AC16" i="1"/>
  <c r="U17" i="1"/>
  <c r="AC17" i="1"/>
  <c r="Q18" i="1"/>
  <c r="R18" i="1" s="1"/>
  <c r="U18" i="1" s="1"/>
  <c r="U7" i="1"/>
  <c r="AC7" i="1"/>
  <c r="T18" i="1"/>
  <c r="T14" i="1"/>
  <c r="P29" i="1"/>
  <c r="P30" i="1" s="1"/>
  <c r="N29" i="1"/>
  <c r="T17" i="1"/>
  <c r="AM10" i="1"/>
  <c r="AL38" i="1"/>
  <c r="AM7" i="1"/>
  <c r="Q10" i="1"/>
  <c r="R10" i="1" s="1"/>
  <c r="AM14" i="1"/>
  <c r="AM11" i="1"/>
  <c r="T16" i="1"/>
  <c r="Q15" i="1"/>
  <c r="R15" i="1" s="1"/>
  <c r="AM15" i="1"/>
  <c r="AM16" i="1"/>
  <c r="T12" i="1"/>
  <c r="Q14" i="1"/>
  <c r="R14" i="1" s="1"/>
  <c r="Q12" i="1"/>
  <c r="R12" i="1" s="1"/>
  <c r="AM17" i="1"/>
  <c r="Q8" i="1"/>
  <c r="T8" i="1"/>
  <c r="AM8" i="1"/>
  <c r="P57" i="1"/>
  <c r="Q57" i="1" s="1"/>
  <c r="R57" i="1" s="1"/>
  <c r="R35" i="1"/>
  <c r="U35" i="1" s="1"/>
  <c r="P35" i="1"/>
  <c r="AM35" i="1" s="1"/>
  <c r="P61" i="1"/>
  <c r="Q61" i="1" s="1"/>
  <c r="R61" i="1" s="1"/>
  <c r="R42" i="1"/>
  <c r="Q42" i="1"/>
  <c r="P42" i="1"/>
  <c r="AM42" i="1" s="1"/>
  <c r="P59" i="1"/>
  <c r="Q59" i="1" s="1"/>
  <c r="R59" i="1" s="1"/>
  <c r="P58" i="1"/>
  <c r="Q58" i="1" s="1"/>
  <c r="R58" i="1" s="1"/>
  <c r="R45" i="1"/>
  <c r="Q45" i="1"/>
  <c r="W18" i="2" s="1"/>
  <c r="P54" i="1"/>
  <c r="Q54" i="1" s="1"/>
  <c r="R54" i="1" s="1"/>
  <c r="P55" i="1"/>
  <c r="Q55" i="1" s="1"/>
  <c r="R55" i="1" s="1"/>
  <c r="W8" i="2"/>
  <c r="AL41" i="1"/>
  <c r="G43" i="1"/>
  <c r="P43" i="1" s="1"/>
  <c r="AM43" i="1" s="1"/>
  <c r="I42" i="1"/>
  <c r="U42" i="1" s="1"/>
  <c r="AC18" i="1" l="1"/>
  <c r="U11" i="1"/>
  <c r="U15" i="1"/>
  <c r="AC15" i="1"/>
  <c r="U10" i="1"/>
  <c r="AC10" i="1"/>
  <c r="U14" i="1"/>
  <c r="AC14" i="1"/>
  <c r="U12" i="1"/>
  <c r="AC12" i="1"/>
  <c r="R50" i="1"/>
  <c r="R51" i="1" s="1"/>
  <c r="R8" i="1"/>
  <c r="AC8" i="1" s="1"/>
  <c r="P62" i="1"/>
  <c r="Q62" i="1" s="1"/>
  <c r="R62" i="1" s="1"/>
  <c r="Q50" i="1"/>
  <c r="W15" i="2"/>
  <c r="AL42" i="1"/>
  <c r="G44" i="1"/>
  <c r="I43" i="1"/>
  <c r="U43" i="1" s="1"/>
  <c r="E34" i="1"/>
  <c r="E6" i="1" s="1"/>
  <c r="D34" i="1"/>
  <c r="D6" i="1" s="1"/>
  <c r="S34" i="1"/>
  <c r="S6" i="1" s="1"/>
  <c r="J34" i="1"/>
  <c r="K6" i="1" l="1"/>
  <c r="I6" i="1"/>
  <c r="L6" i="1"/>
  <c r="U8" i="1"/>
  <c r="P44" i="1"/>
  <c r="AM44" i="1" s="1"/>
  <c r="P63" i="1"/>
  <c r="Q63" i="1" s="1"/>
  <c r="R63" i="1" s="1"/>
  <c r="X34" i="1"/>
  <c r="AL43" i="1"/>
  <c r="G45" i="1"/>
  <c r="I44" i="1"/>
  <c r="U44" i="1" s="1"/>
  <c r="I34" i="1"/>
  <c r="D50" i="1"/>
  <c r="J50" i="1"/>
  <c r="P5" i="3"/>
  <c r="Q5" i="3" s="1"/>
  <c r="AC5" i="3" s="1"/>
  <c r="E50" i="1"/>
  <c r="C50" i="1"/>
  <c r="O5" i="3"/>
  <c r="AB5" i="3" s="1"/>
  <c r="V7" i="2"/>
  <c r="U5" i="3" l="1"/>
  <c r="N6" i="1"/>
  <c r="R5" i="3"/>
  <c r="S5" i="3" s="1"/>
  <c r="S21" i="3" s="1"/>
  <c r="AL6" i="1"/>
  <c r="P6" i="1"/>
  <c r="I45" i="1"/>
  <c r="U45" i="1" s="1"/>
  <c r="P45" i="1"/>
  <c r="AM45" i="1" s="1"/>
  <c r="P64" i="1"/>
  <c r="Q64" i="1" s="1"/>
  <c r="R64" i="1" s="1"/>
  <c r="J53" i="1"/>
  <c r="M53" i="1"/>
  <c r="M69" i="1" s="1"/>
  <c r="L53" i="1"/>
  <c r="L69" i="1" s="1"/>
  <c r="K53" i="1"/>
  <c r="K69" i="1" s="1"/>
  <c r="AL34" i="1"/>
  <c r="U34" i="1"/>
  <c r="AL44" i="1"/>
  <c r="G46" i="1"/>
  <c r="P21" i="3"/>
  <c r="O21" i="3"/>
  <c r="K34" i="1"/>
  <c r="Q6" i="1" l="1"/>
  <c r="T6" i="1"/>
  <c r="AM6" i="1"/>
  <c r="R21" i="3"/>
  <c r="Q21" i="3"/>
  <c r="Q22" i="3" s="1"/>
  <c r="AC21" i="3"/>
  <c r="I46" i="1"/>
  <c r="U46" i="1" s="1"/>
  <c r="P46" i="1"/>
  <c r="AM46" i="1" s="1"/>
  <c r="P65" i="1"/>
  <c r="Q65" i="1" s="1"/>
  <c r="R65" i="1" s="1"/>
  <c r="P53" i="1"/>
  <c r="Q53" i="1" s="1"/>
  <c r="J69" i="1"/>
  <c r="K50" i="1"/>
  <c r="AL45" i="1"/>
  <c r="L34" i="1"/>
  <c r="L50" i="1" s="1"/>
  <c r="AC46" i="1" l="1"/>
  <c r="R6" i="1"/>
  <c r="AC6" i="1" s="1"/>
  <c r="X50" i="1"/>
  <c r="AL46" i="1"/>
  <c r="I50" i="1"/>
  <c r="S50" i="1" s="1"/>
  <c r="P69" i="1"/>
  <c r="R53" i="1"/>
  <c r="R69" i="1" s="1"/>
  <c r="Q69" i="1"/>
  <c r="U50" i="1"/>
  <c r="U51" i="1" s="1"/>
  <c r="T50" i="1"/>
  <c r="M34" i="1"/>
  <c r="P34" i="1" s="1"/>
  <c r="AM34" i="1" s="1"/>
  <c r="J51" i="1" l="1"/>
  <c r="AC50" i="1"/>
  <c r="AC51" i="1" s="1"/>
  <c r="U6" i="1"/>
  <c r="P50" i="1"/>
  <c r="P51" i="1" s="1"/>
  <c r="M50" i="1"/>
  <c r="W7" i="2"/>
  <c r="G21" i="3" l="1"/>
  <c r="H21" i="3"/>
  <c r="E21" i="3"/>
  <c r="I21" i="3"/>
  <c r="F21" i="3"/>
  <c r="J21" i="3"/>
  <c r="R24" i="1"/>
  <c r="R25" i="1" s="1"/>
  <c r="Q24" i="1"/>
  <c r="P24" i="1"/>
  <c r="N24" i="1"/>
  <c r="I24" i="1"/>
  <c r="AC24" i="1" s="1"/>
  <c r="AC25" i="1" s="1"/>
  <c r="K24" i="1"/>
  <c r="L24" i="1"/>
  <c r="D24" i="1"/>
  <c r="E24" i="1"/>
  <c r="M24" i="1"/>
  <c r="F24" i="1"/>
  <c r="J24" i="1"/>
  <c r="AB24" i="1" s="1"/>
  <c r="C24" i="1"/>
  <c r="H25" i="1" l="1"/>
  <c r="G25" i="1"/>
  <c r="O25" i="1"/>
  <c r="O24" i="1" s="1"/>
  <c r="X24" i="1"/>
  <c r="P25" i="1"/>
  <c r="T24" i="1"/>
  <c r="U24" i="1"/>
  <c r="U25" i="1" s="1"/>
  <c r="S24" i="1"/>
  <c r="J25" i="1" s="1"/>
  <c r="H31" i="1" l="1"/>
  <c r="G24" i="1"/>
  <c r="H24" i="1" s="1"/>
  <c r="G30" i="1" s="1"/>
  <c r="H30" i="1" l="1"/>
  <c r="J17" i="11" l="1"/>
  <c r="S17" i="11" s="1"/>
  <c r="H17" i="11"/>
  <c r="G17" i="11" s="1"/>
  <c r="C17" i="11" s="1"/>
  <c r="X17" i="11"/>
  <c r="J18" i="11"/>
  <c r="S18" i="11" s="1"/>
  <c r="H18" i="11"/>
  <c r="G18" i="11" s="1"/>
  <c r="C18" i="11" s="1"/>
  <c r="X18" i="11"/>
  <c r="V18" i="11" l="1"/>
  <c r="U18" i="11"/>
  <c r="T18" i="11"/>
  <c r="U17" i="11"/>
  <c r="G20" i="11"/>
  <c r="I20" i="11" s="1"/>
  <c r="G19" i="11"/>
  <c r="I19" i="11" s="1"/>
  <c r="J19" i="11" l="1"/>
  <c r="S19" i="11" s="1"/>
  <c r="X19" i="11"/>
  <c r="J20" i="11"/>
  <c r="S20" i="11" s="1"/>
  <c r="X20" i="11"/>
  <c r="V20" i="11" l="1"/>
  <c r="T20" i="11"/>
  <c r="U20" i="11"/>
  <c r="U19" i="11"/>
  <c r="T19" i="11"/>
  <c r="V19" i="11"/>
  <c r="C29" i="3" l="1"/>
  <c r="C34" i="3"/>
  <c r="C37" i="3"/>
  <c r="C36" i="3"/>
  <c r="C35" i="3"/>
  <c r="C31" i="3"/>
  <c r="C32" i="3"/>
  <c r="C30" i="3"/>
  <c r="C28" i="3"/>
  <c r="C38" i="3"/>
  <c r="C27" i="3"/>
  <c r="C33" i="3"/>
</calcChain>
</file>

<file path=xl/sharedStrings.xml><?xml version="1.0" encoding="utf-8"?>
<sst xmlns="http://schemas.openxmlformats.org/spreadsheetml/2006/main" count="937" uniqueCount="450">
  <si>
    <t>سهم خدمات غیرآبیاری</t>
  </si>
  <si>
    <t>لیتردرثانیه
 درهکتار</t>
  </si>
  <si>
    <t>مترمکعب در هکتار</t>
  </si>
  <si>
    <t>وضع موجود</t>
  </si>
  <si>
    <t>-</t>
  </si>
  <si>
    <t>درحال توسعه‌</t>
  </si>
  <si>
    <t>طرح تفصیلی</t>
  </si>
  <si>
    <t>مبنای طراحی</t>
  </si>
  <si>
    <t>نیاز آبیاری ماه اوج؛ لیتردرثانیه</t>
  </si>
  <si>
    <t>مناطق ‌توسعه‌نیافته</t>
  </si>
  <si>
    <t>منطقه</t>
  </si>
  <si>
    <t xml:space="preserve"> نیاز واحد (مترمکعب در هکتار)</t>
  </si>
  <si>
    <t>برآورد آب موردنیاز آبیاری و خدمات شهری در مناطق شهری</t>
  </si>
  <si>
    <t>ماه اوج</t>
  </si>
  <si>
    <t>سالانه</t>
  </si>
  <si>
    <t>نیاز آبیاری؛ هزارمترمکعب</t>
  </si>
  <si>
    <t>ظرفیت واحد</t>
  </si>
  <si>
    <r>
      <t xml:space="preserve">سطح کاربری فضای سبز؛ </t>
    </r>
    <r>
      <rPr>
        <b/>
        <sz val="12"/>
        <color theme="1"/>
        <rFont val="B Mitra"/>
        <charset val="178"/>
      </rPr>
      <t>هکتار</t>
    </r>
  </si>
  <si>
    <t>سهم ماه اوج نسبت به سال</t>
  </si>
  <si>
    <t>توسعهء تکمیلی فضای سبز</t>
  </si>
  <si>
    <t>فراخوان از کاربرگ هر منطقه  (بصورت دستی)</t>
  </si>
  <si>
    <t>وضعِ موجود</t>
  </si>
  <si>
    <t>سهم فضاهای سبز متفرقه</t>
  </si>
  <si>
    <t>پهنه‌های ‌توسعه‌نیافته</t>
  </si>
  <si>
    <t>اولیه</t>
  </si>
  <si>
    <t>طرح تفصیلی؛ هکتار</t>
  </si>
  <si>
    <t>سطوح اضافه‌شده دستی؛ هکتار</t>
  </si>
  <si>
    <t>مساحت فضای سبز شهری در افق (هکتار)</t>
  </si>
  <si>
    <t>مصارف فضای سبز شهری در افق در ماه اوج (مترمکعب)</t>
  </si>
  <si>
    <t>مصارف فضای سبز شهری در افق در سال (میلیون مترمکعب)</t>
  </si>
  <si>
    <t>name</t>
  </si>
  <si>
    <t>input</t>
  </si>
  <si>
    <t>In Flow1399</t>
  </si>
  <si>
    <t>Area1399</t>
  </si>
  <si>
    <t>In Flow1405</t>
  </si>
  <si>
    <t>Area 1405</t>
  </si>
  <si>
    <t>In Flow1410</t>
  </si>
  <si>
    <t>Area1410</t>
  </si>
  <si>
    <t>In Flow1425</t>
  </si>
  <si>
    <t>Area1425</t>
  </si>
  <si>
    <t>سال/نام منطقه</t>
  </si>
  <si>
    <t>Zone01</t>
  </si>
  <si>
    <t>منطقه 1</t>
  </si>
  <si>
    <t>Zone02</t>
  </si>
  <si>
    <t>منطقه 2</t>
  </si>
  <si>
    <t>Zone03</t>
  </si>
  <si>
    <t>منطقه 3</t>
  </si>
  <si>
    <t>Zone04</t>
  </si>
  <si>
    <t>منطقه 4</t>
  </si>
  <si>
    <t>Zone05</t>
  </si>
  <si>
    <t>منطقه 5</t>
  </si>
  <si>
    <t>Zone06</t>
  </si>
  <si>
    <t>منطقه 6</t>
  </si>
  <si>
    <t>Zone07</t>
  </si>
  <si>
    <t>منطقه 7</t>
  </si>
  <si>
    <t>Zone08</t>
  </si>
  <si>
    <t>منطقه 8</t>
  </si>
  <si>
    <t>Zone09</t>
  </si>
  <si>
    <t>منطقه 9</t>
  </si>
  <si>
    <t>Zone10</t>
  </si>
  <si>
    <t>rate(%per year)</t>
  </si>
  <si>
    <t>منطقه 10</t>
  </si>
  <si>
    <t>Zone11</t>
  </si>
  <si>
    <t>منطقه 11</t>
  </si>
  <si>
    <t>Zone12</t>
  </si>
  <si>
    <t>منطقه 12</t>
  </si>
  <si>
    <t>Zone Samen</t>
  </si>
  <si>
    <t>منطقه ثامن</t>
  </si>
  <si>
    <t>North Belt</t>
  </si>
  <si>
    <t>کمربند شمالی</t>
  </si>
  <si>
    <t>South Belt</t>
  </si>
  <si>
    <t>کمربند جنوبی</t>
  </si>
  <si>
    <t>Parks Organization</t>
  </si>
  <si>
    <t>سازمان پارکها</t>
  </si>
  <si>
    <t>نسبت حداکثر</t>
  </si>
  <si>
    <t>شهر</t>
  </si>
  <si>
    <t xml:space="preserve">مصرف ماه اوج </t>
  </si>
  <si>
    <t xml:space="preserve">مصرف سالانه </t>
  </si>
  <si>
    <t>کمربندها</t>
  </si>
  <si>
    <t>مجموع کل</t>
  </si>
  <si>
    <t>سال</t>
  </si>
  <si>
    <t>مترمکعب/هکتار</t>
  </si>
  <si>
    <t>مصرف شهری</t>
  </si>
  <si>
    <t>شهر (میلیون مترمکعب)</t>
  </si>
  <si>
    <t>کمربند</t>
  </si>
  <si>
    <t>کمربند (میلیون مترمکعب)</t>
  </si>
  <si>
    <t>مجموع کل (میلیون مترمکعب)</t>
  </si>
  <si>
    <t>دبی لحظه ای (لیتر بر ثانیه)</t>
  </si>
  <si>
    <t>خدمات غیرآبیاری</t>
  </si>
  <si>
    <t>ظرفیت واحد ماه اوج</t>
  </si>
  <si>
    <r>
      <t xml:space="preserve">فضای سبز مبنای طراحی؛
</t>
    </r>
    <r>
      <rPr>
        <sz val="14"/>
        <color rgb="FF680000"/>
        <rFont val="B Mitra"/>
        <charset val="178"/>
      </rPr>
      <t>هکتار</t>
    </r>
  </si>
  <si>
    <t>مترمکعب
 در هکتار</t>
  </si>
  <si>
    <t>منطقه
شهرداری</t>
  </si>
  <si>
    <t>مساحت پهنه</t>
  </si>
  <si>
    <t>فضای سبز
(نگهداری)</t>
  </si>
  <si>
    <t>سطوح آبیاری لکه‌ها</t>
  </si>
  <si>
    <t>سطح نگهداری تک‌درختان</t>
  </si>
  <si>
    <t>سطح تبخیرتعرق تک‌درختان</t>
  </si>
  <si>
    <t>سطح برآورد تبخیرتعرق</t>
  </si>
  <si>
    <t>نیاز آبیاری
لکه‌ها</t>
  </si>
  <si>
    <t>نیازآبیاری تک‌درختان</t>
  </si>
  <si>
    <t>هکتار</t>
  </si>
  <si>
    <t>از برآورد مهندسی</t>
  </si>
  <si>
    <t>ترتیب بانک</t>
  </si>
  <si>
    <t>آبدهی واحد</t>
  </si>
  <si>
    <t>Q_HM</t>
  </si>
  <si>
    <t>l/s/ha</t>
  </si>
  <si>
    <t>آیلند ها</t>
  </si>
  <si>
    <t>آیلند های بزرگراه</t>
  </si>
  <si>
    <t>پارک های بالای 10 هکتار</t>
  </si>
  <si>
    <t>پارک های بین 6 تا 10 هکتار</t>
  </si>
  <si>
    <t>پارک های زیر 6 هکتار</t>
  </si>
  <si>
    <t>جنگل کاری داخل محدوده</t>
  </si>
  <si>
    <t>حاشیه معابر</t>
  </si>
  <si>
    <t>حاشیه های بزرگراه</t>
  </si>
  <si>
    <t>کمربند سبز حفاظتی</t>
  </si>
  <si>
    <t>کمربندی</t>
  </si>
  <si>
    <t>لچکی ها</t>
  </si>
  <si>
    <t>میادین</t>
  </si>
  <si>
    <t>عبارات موجود در بانک</t>
  </si>
  <si>
    <t>دسته‌بندی تکمیلی/ شناسه‌سازی/ ضرائب</t>
  </si>
  <si>
    <t>شکل لکه</t>
  </si>
  <si>
    <t>شناسه</t>
  </si>
  <si>
    <t>ضریب</t>
  </si>
  <si>
    <t xml:space="preserve"> خُرداقلیم</t>
  </si>
  <si>
    <t>میدان</t>
  </si>
  <si>
    <t>لچکی‌</t>
  </si>
  <si>
    <t>وسط بزرگراه</t>
  </si>
  <si>
    <t xml:space="preserve">وسط بلوار </t>
  </si>
  <si>
    <t>حاشیه‌ بزرگراه</t>
  </si>
  <si>
    <t>حاشیه معابر/ بلوار</t>
  </si>
  <si>
    <t>بوستان خطی</t>
  </si>
  <si>
    <t>بوستان؛ کمتراز 6 هـ</t>
  </si>
  <si>
    <t>بوستان؛ 6 تا 10 هـ</t>
  </si>
  <si>
    <t>بوستان؛ بیش‌از 10 هـ</t>
  </si>
  <si>
    <t>جنگل‌کاری</t>
  </si>
  <si>
    <t xml:space="preserve">نیاز آبی تیرماه </t>
  </si>
  <si>
    <t>هزار متر مکعب</t>
  </si>
  <si>
    <t>مجموع</t>
  </si>
  <si>
    <t>مساحت افق فضای سبز شهری (هکتار)</t>
  </si>
  <si>
    <t>مصارف افق فضای سبز شهری در ماه اوج (مترمکعب)</t>
  </si>
  <si>
    <t>مصارف برحسب دبی لحظه ای (L/s)</t>
  </si>
  <si>
    <t>مصارف افق فضای سبز شهری در سال (میلیون مترمکعب)</t>
  </si>
  <si>
    <t>دبی لحظه ای (L/s)</t>
  </si>
  <si>
    <t>مصرف ماه اوج  (میلیون مترمکعب)</t>
  </si>
  <si>
    <t>مصرف سالانه (میلیون مترمکعب)</t>
  </si>
  <si>
    <t>از روش دفتر محیط زیست- نرم‌افزاری</t>
  </si>
  <si>
    <t>هزارمترمکعب درروز</t>
  </si>
  <si>
    <t>حجم نیاز سالانه</t>
  </si>
  <si>
    <t>میلیون مترمکعب</t>
  </si>
  <si>
    <t>هزار مترمکعب</t>
  </si>
  <si>
    <t>بر اساس ارقام خروجی از نرم‌افزار</t>
  </si>
  <si>
    <t>برآیند</t>
  </si>
  <si>
    <t>توسعه متفرقه و تکمیلی</t>
  </si>
  <si>
    <t>پارک ریحانه</t>
  </si>
  <si>
    <t>پاغ گیاهشناسی</t>
  </si>
  <si>
    <t>پارک دانش</t>
  </si>
  <si>
    <t>باغ گلها</t>
  </si>
  <si>
    <t>پارک مینیاتوری</t>
  </si>
  <si>
    <t>شناسهء پیمان/</t>
  </si>
  <si>
    <t xml:space="preserve"> نام لکه در بانک نگهداری</t>
  </si>
  <si>
    <t>نشانی/ توضیحات</t>
  </si>
  <si>
    <t>مترمربع</t>
  </si>
  <si>
    <t>مترمکعب درروز</t>
  </si>
  <si>
    <t>لیتردرثانیه</t>
  </si>
  <si>
    <t>وضعیت مناطق و پیمان‌‌ها و تحلیل تعداد و پراکنش لکه در هر پیمان</t>
  </si>
  <si>
    <t>نیاز آبیاری؛ لیتردرثانیه</t>
  </si>
  <si>
    <t>محدوده</t>
  </si>
  <si>
    <t>پيمان</t>
  </si>
  <si>
    <t>نام پیمان</t>
  </si>
  <si>
    <t>ترتیب و نام قبلی پیمان</t>
  </si>
  <si>
    <t>توسعه ویژه؛ مترمربع</t>
  </si>
  <si>
    <t>District</t>
  </si>
  <si>
    <t>Region</t>
  </si>
  <si>
    <t>Peyman</t>
  </si>
  <si>
    <t>طرح تفصیلی اولیه</t>
  </si>
  <si>
    <t>Reg.Pey</t>
  </si>
  <si>
    <t>Code</t>
  </si>
  <si>
    <t>Count</t>
  </si>
  <si>
    <t>معابر</t>
  </si>
  <si>
    <t>بوستان‌ها</t>
  </si>
  <si>
    <t>جمع</t>
  </si>
  <si>
    <t>01</t>
  </si>
  <si>
    <t>الف ناحیه 1 منطقه 1</t>
  </si>
  <si>
    <t>02</t>
  </si>
  <si>
    <t>الف ناحیه 2 منطقه 1 - 9808</t>
  </si>
  <si>
    <t>ب ناحیه 2 منطقه 1 - 9808</t>
  </si>
  <si>
    <t>03</t>
  </si>
  <si>
    <t>ناحیه 3 منطقه 1 - 9711</t>
  </si>
  <si>
    <t>الف ناحیه 1 منطقه 2 - 9809</t>
  </si>
  <si>
    <t>ب ناحیه 1 منطقه 2</t>
  </si>
  <si>
    <t>ج ناحیه 1 منطقه 2</t>
  </si>
  <si>
    <t>صدمتری ناحیه 2 منطقه 2 - 9810</t>
  </si>
  <si>
    <t>بوستان پردیس ب ناحیه 2 منطقه 2 - 9808</t>
  </si>
  <si>
    <t>ناحیه 3 منطقه 2</t>
  </si>
  <si>
    <t>04</t>
  </si>
  <si>
    <t>الف ناحیه 4 منطقه 2</t>
  </si>
  <si>
    <t>ب ناحیه 4 منطقه 2 - 9803</t>
  </si>
  <si>
    <t>ناحیه 1 منطقه 3 - 9811</t>
  </si>
  <si>
    <t>ناحیه 1 منطقه 3</t>
  </si>
  <si>
    <t>ناحیه 2 منطقه 3 - 9810</t>
  </si>
  <si>
    <t>ناحیه 3 منطقه 3 - 9808</t>
  </si>
  <si>
    <t>پارک بهار ناحیه 3 منطقه 3 -9706</t>
  </si>
  <si>
    <t>ناحیه 4 منطقه 3 - 9810</t>
  </si>
  <si>
    <t>ناحیه 1 منطقه 4 - 9708</t>
  </si>
  <si>
    <t>ناحیه 2 منطقه 4 - 9812</t>
  </si>
  <si>
    <t>ناحیه 2 منطقه 4 - 9712</t>
  </si>
  <si>
    <t>ناحیه 3 منطقه 4 - 9807</t>
  </si>
  <si>
    <t>05</t>
  </si>
  <si>
    <t>بوستان وحدت الف ناحیه 1 منطقه 5 - 9710</t>
  </si>
  <si>
    <t>ب ناحیه 1 منطقه 5 - 9708</t>
  </si>
  <si>
    <t>ناحیه 2 منطقه 5 - 9810</t>
  </si>
  <si>
    <t>الف ناحیه 2 منطقه 5</t>
  </si>
  <si>
    <t>06</t>
  </si>
  <si>
    <t>الف ناحیه 1 منطقه 6 - 9711</t>
  </si>
  <si>
    <t>الف ناحیه 1 منطقه 6</t>
  </si>
  <si>
    <t>ب ناحیه 1 منطقه 6 - 9809</t>
  </si>
  <si>
    <t>الف ناحیه 2 منطقه 6</t>
  </si>
  <si>
    <t>الف ناحیه 2 منطقه 6 - 9808</t>
  </si>
  <si>
    <t>ب ناحیه 2 منطقه 6</t>
  </si>
  <si>
    <t>ب ناحیه 2 منطقه 6 - 9809</t>
  </si>
  <si>
    <t>ناحیه 3 منطقه 6</t>
  </si>
  <si>
    <t>الف ناحیه 4 منطقه 6</t>
  </si>
  <si>
    <t>07</t>
  </si>
  <si>
    <t>ناحیه 1 منطقه 7 - 9810</t>
  </si>
  <si>
    <t>ناحیه 1 منطقه 7</t>
  </si>
  <si>
    <t>الف ناحیه 2 منطقه 7 - 9808</t>
  </si>
  <si>
    <t>ب ناحیه 2 منطقه 7 - 9807</t>
  </si>
  <si>
    <t>ج ناحیه 2 منطقه 7 - 9712</t>
  </si>
  <si>
    <t>بوستان غدیر ناحیه 2 منطقه 7</t>
  </si>
  <si>
    <t>بوستان غدیر منطقه 7 - 9811</t>
  </si>
  <si>
    <t>پارک طرق ناحیه 2 منطقه 7 - 9807</t>
  </si>
  <si>
    <t>الف ناحیه 3 منطقه 7 - 9709</t>
  </si>
  <si>
    <t>ب ناحیه 3 منطقه 7 - 9709</t>
  </si>
  <si>
    <t>ب ناحیه 3 منطقه 7</t>
  </si>
  <si>
    <t>08</t>
  </si>
  <si>
    <t>ناحیه 1 منطقه 8 - 9811</t>
  </si>
  <si>
    <t>ناحیه 2 منطقه 8 - 9712</t>
  </si>
  <si>
    <t>بوستان کوهسنگی ناحیه 2 منطقه 8</t>
  </si>
  <si>
    <t>بوستان کوهسنگی منطقه 8</t>
  </si>
  <si>
    <t>ناحیه 3 منطقه 8 - 9809</t>
  </si>
  <si>
    <t>09</t>
  </si>
  <si>
    <t>الف ناحیه 1 منطقه 9 - 9802</t>
  </si>
  <si>
    <t>ب ناحیه 1 منطقه 9</t>
  </si>
  <si>
    <t>پارک جنگلی آبشار ج ناحیه 1 منطقه 9</t>
  </si>
  <si>
    <t>د ناحیه 1 منطقه 9</t>
  </si>
  <si>
    <t>د ناحیه 1 منطقه 9 - 9812</t>
  </si>
  <si>
    <t>الف ناحیه 2 منطقه 9</t>
  </si>
  <si>
    <t>ب ناحیه 2 منطقه 9</t>
  </si>
  <si>
    <t>بوستان خورشید ج ناحیه 2 منطقه 9</t>
  </si>
  <si>
    <t>الف ناحیه 3 منطقه 9</t>
  </si>
  <si>
    <t>بوستان وکیل آباد ناحیه 3 منطقه 9 - 9711</t>
  </si>
  <si>
    <t>ج ناحیه 3 منطقه 9</t>
  </si>
  <si>
    <t>ج ناحیه 3 منطقه 9 - 9809</t>
  </si>
  <si>
    <t>ناحیه 3 منطقه 9</t>
  </si>
  <si>
    <t>10</t>
  </si>
  <si>
    <t>الف ناحیه 1 منطقه 10</t>
  </si>
  <si>
    <t>ب ناحیه 1 منطقه 10 - 9811</t>
  </si>
  <si>
    <t>ب ناحیه 1 منطقه 10</t>
  </si>
  <si>
    <t>ج ناحیه 1 منطقه 10 - 9812</t>
  </si>
  <si>
    <t>ج ناحیه 1 منطقه 10</t>
  </si>
  <si>
    <t>د ناحیه 1 منطقه 10 - 9812</t>
  </si>
  <si>
    <t>د ناحیه 1 منطقه 10</t>
  </si>
  <si>
    <t>الف ناحیه 2 منطقه 10</t>
  </si>
  <si>
    <t>ب ناحیه 2 منطقه 10</t>
  </si>
  <si>
    <t>الف ناحیه 3 منطقه 10 - 9808</t>
  </si>
  <si>
    <t>الف ناحیه 3 منطقه 10</t>
  </si>
  <si>
    <t>ب ناحیه 3 منطقه 10</t>
  </si>
  <si>
    <t>ج ناحیه 3 منطقه 10</t>
  </si>
  <si>
    <t>11</t>
  </si>
  <si>
    <t>ناحیه 1 منطقه 11 - 9805</t>
  </si>
  <si>
    <t>پارک ملت - ناحیه 1 منطقه 11 - 9810</t>
  </si>
  <si>
    <t>الف ناحیه 2 منطقه 11</t>
  </si>
  <si>
    <t>ب ناحیه 2 منطقه 11 - 9901</t>
  </si>
  <si>
    <t>ب ناحیه 2 منطقه 11 - 9711</t>
  </si>
  <si>
    <t>بوستان چهل بازه ناحیه 2 منطقه 11</t>
  </si>
  <si>
    <t>12</t>
  </si>
  <si>
    <t>ناحیه 1 منطقه 12 - 9812</t>
  </si>
  <si>
    <t>ناحیه 1 منطقه 12 - 9711</t>
  </si>
  <si>
    <t>ناحیه 2 منطقه 12 - 9712</t>
  </si>
  <si>
    <t>ناحیه 3 منطقه 12</t>
  </si>
  <si>
    <t>13</t>
  </si>
  <si>
    <t>ناحیه 1 منطقه ثامن - 9812</t>
  </si>
  <si>
    <t>ناحیه 1 منطقه ثامن</t>
  </si>
  <si>
    <t>ناحیه 2 منطقه ثامن</t>
  </si>
  <si>
    <t>16</t>
  </si>
  <si>
    <t>ناحیه 10.2 سازمان پارک‌ها</t>
  </si>
  <si>
    <t>ناحیه 11.2 سازمان پارک‌ها</t>
  </si>
  <si>
    <t>ناحیه 12.2 سازمان پارک‌ها</t>
  </si>
  <si>
    <t>ناحیه 7.1 سازمان پارک‌ها</t>
  </si>
  <si>
    <t>مجموع کلّ</t>
  </si>
  <si>
    <t>مجموع در مناطق شهری</t>
  </si>
  <si>
    <t>مجموع کمربند و سازمان پارک‌ها</t>
  </si>
  <si>
    <t>حداکثر</t>
  </si>
  <si>
    <t>14</t>
  </si>
  <si>
    <t>ناحیه 1 کمربند جنوبی</t>
  </si>
  <si>
    <t>ناحیه 2 کمربند جنوبی</t>
  </si>
  <si>
    <t>ناحیه 3 کمربند جنوبی</t>
  </si>
  <si>
    <t>15</t>
  </si>
  <si>
    <t>ناحیه 1 کمربند شمالی</t>
  </si>
  <si>
    <t>سهم فضای سبز در  پهنه‌های شهری</t>
  </si>
  <si>
    <t>بوستان</t>
  </si>
  <si>
    <t>لیتردرثانیه  درهکتار</t>
  </si>
  <si>
    <t>جنگل</t>
  </si>
  <si>
    <t>نیاز آبی سالانه</t>
  </si>
  <si>
    <t>نیاز آبی تیر ماه</t>
  </si>
  <si>
    <t>لیتردرثانیه درهکتار</t>
  </si>
  <si>
    <t>مساحت</t>
  </si>
  <si>
    <t>مترمکعب</t>
  </si>
  <si>
    <t>برآورد از روش دفتر محیط زیست- کاربرگی</t>
  </si>
  <si>
    <t>نیاز آبیاری
 ماه اوج؛ هزارمترمکعب</t>
  </si>
  <si>
    <t>ظرفیت واحد
توسعه</t>
  </si>
  <si>
    <t>سطح کاربری فضای سبز؛ مترمربع</t>
  </si>
  <si>
    <t>از برآورد مهندسی- با تعدیل سطح سایه‌انداز</t>
  </si>
  <si>
    <t>اختلاف در سطح</t>
  </si>
  <si>
    <t>auhu</t>
  </si>
  <si>
    <t>سطح واحد گياه؛ ‌مترمربع</t>
  </si>
  <si>
    <t>سطح نسبي سايه‌اندازِ آسمانه</t>
  </si>
  <si>
    <t>ضریب سایه‌انداز</t>
  </si>
  <si>
    <t>R</t>
  </si>
  <si>
    <t>Ao</t>
  </si>
  <si>
    <t>Ps</t>
  </si>
  <si>
    <r>
      <t>K</t>
    </r>
    <r>
      <rPr>
        <b/>
        <vertAlign val="subscript"/>
        <sz val="14"/>
        <color indexed="18"/>
        <rFont val="Times New Roman"/>
        <family val="1"/>
      </rPr>
      <t>Sh</t>
    </r>
  </si>
  <si>
    <r>
      <rPr>
        <sz val="11"/>
        <rFont val="Times New Roman"/>
        <family val="1"/>
      </rPr>
      <t>Ps+</t>
    </r>
    <r>
      <rPr>
        <i/>
        <sz val="11"/>
        <rFont val="Symbol"/>
        <family val="1"/>
        <charset val="2"/>
      </rPr>
      <t>b</t>
    </r>
    <r>
      <rPr>
        <sz val="11"/>
        <rFont val="Times New Roman"/>
        <family val="1"/>
      </rPr>
      <t>(1-Ps)</t>
    </r>
  </si>
  <si>
    <r>
      <rPr>
        <sz val="11"/>
        <rFont val="Times New Roman"/>
        <family val="1"/>
      </rPr>
      <t>Ps</t>
    </r>
    <r>
      <rPr>
        <vertAlign val="superscript"/>
        <sz val="11"/>
        <rFont val="Times New Roman"/>
        <family val="1"/>
      </rPr>
      <t>0.5</t>
    </r>
  </si>
  <si>
    <t xml:space="preserve"> =0.85*C8+0.15</t>
  </si>
  <si>
    <t>m</t>
  </si>
  <si>
    <r>
      <t>m</t>
    </r>
    <r>
      <rPr>
        <i/>
        <vertAlign val="superscript"/>
        <sz val="10"/>
        <color indexed="8"/>
        <rFont val="Times New Roman"/>
        <family val="1"/>
      </rPr>
      <t>2</t>
    </r>
  </si>
  <si>
    <t>%</t>
  </si>
  <si>
    <t>سایه‌انداز</t>
  </si>
  <si>
    <t>روش افزونه‌ای از سطح خشک</t>
  </si>
  <si>
    <t>روش تعدیل سایه‌انداز</t>
  </si>
  <si>
    <t>خط یک به یک</t>
  </si>
  <si>
    <t>افزونه 1</t>
  </si>
  <si>
    <t>افزونه 2</t>
  </si>
  <si>
    <t>تعدیل 1</t>
  </si>
  <si>
    <t>تعدیل 2</t>
  </si>
  <si>
    <t>درخت</t>
  </si>
  <si>
    <t>ارقام پیشین</t>
  </si>
  <si>
    <t>ارقام جدید!!</t>
  </si>
  <si>
    <t>کوهستان وچهل بوستان</t>
  </si>
  <si>
    <t>اراضی آبشر</t>
  </si>
  <si>
    <t>اراضی آبشر- حاشیه بلوار نماز</t>
  </si>
  <si>
    <t>اراضی قهوه خانه و کوهسنگی</t>
  </si>
  <si>
    <t>اراضی منابع طبیعی- ملی</t>
  </si>
  <si>
    <t>اراضی مینوش و مغان- 1</t>
  </si>
  <si>
    <t>اراضی مینوش و مغان- 2</t>
  </si>
  <si>
    <t>سوران و و یرانی</t>
  </si>
  <si>
    <t>تکمیل آبشر</t>
  </si>
  <si>
    <t>جزایر میانی بهشت رضا(ع)</t>
  </si>
  <si>
    <t>نگهداری قدیم - زون 1 الی11</t>
  </si>
  <si>
    <t>نگهداری قدیم- انتهای لادن</t>
  </si>
  <si>
    <t>نگهداری قدیم- حاشیه کمربند جنوبی</t>
  </si>
  <si>
    <t>بزرگراه آسیایی بعد از نیروگاه توس</t>
  </si>
  <si>
    <t>توسعه  سال 98جاده بهشت رضا (ع)</t>
  </si>
  <si>
    <t>حد فاصل مسیر رفت و برگشت جاده بهشت رضا (ع)</t>
  </si>
  <si>
    <t>برآورد نیاز تک‌درختان</t>
  </si>
  <si>
    <t>وضعیت درخت</t>
  </si>
  <si>
    <t xml:space="preserve"> ماه اوج</t>
  </si>
  <si>
    <t>نیاز حداکثر</t>
  </si>
  <si>
    <t>نیاز آبیاری</t>
  </si>
  <si>
    <t>وسعت</t>
  </si>
  <si>
    <t>نیاز کلّ</t>
  </si>
  <si>
    <t>در محاسبات سال‌های منتهی به 1399، برای تک‌درختان مساحت 9مترمربع لحاظ شده است.</t>
  </si>
  <si>
    <t>مترمربع
هر اصله</t>
  </si>
  <si>
    <t>مترمربع
إسمی</t>
  </si>
  <si>
    <t>مترمکعب در هکتار ماه اوج</t>
  </si>
  <si>
    <t>سهم در سال</t>
  </si>
  <si>
    <t>میلی‌متر 
در ماه اوج</t>
  </si>
  <si>
    <t>لیتردرروز
هر درخت</t>
  </si>
  <si>
    <t>لیتردرثانیه در هکتار</t>
  </si>
  <si>
    <t>مترمکعب در هکتار سالانه</t>
  </si>
  <si>
    <t>اصله در هکتار</t>
  </si>
  <si>
    <r>
      <t xml:space="preserve">بسته به موقعیت درختان، </t>
    </r>
    <r>
      <rPr>
        <b/>
        <sz val="12"/>
        <color rgb="FF0000CC"/>
        <rFont val="B Mitra"/>
        <charset val="178"/>
      </rPr>
      <t>درون یا برون شهر،</t>
    </r>
    <r>
      <rPr>
        <sz val="12"/>
        <color theme="1"/>
        <rFont val="B Mitra"/>
        <charset val="178"/>
      </rPr>
      <t xml:space="preserve"> ضرائب گونه متفاوت فرض گشته است.</t>
    </r>
  </si>
  <si>
    <t>Atree</t>
  </si>
  <si>
    <t>IRx</t>
  </si>
  <si>
    <t xml:space="preserve">IRx </t>
  </si>
  <si>
    <r>
      <t>Q</t>
    </r>
    <r>
      <rPr>
        <b/>
        <vertAlign val="subscript"/>
        <sz val="12"/>
        <color rgb="FF660033"/>
        <rFont val="Calibri Light"/>
        <family val="1"/>
        <scheme val="major"/>
      </rPr>
      <t>HM</t>
    </r>
    <r>
      <rPr>
        <b/>
        <sz val="12"/>
        <color rgb="FF660033"/>
        <rFont val="Calibri Light"/>
        <family val="1"/>
        <scheme val="major"/>
      </rPr>
      <t xml:space="preserve">x </t>
    </r>
  </si>
  <si>
    <t>Vo</t>
  </si>
  <si>
    <t>A</t>
  </si>
  <si>
    <t>V</t>
  </si>
  <si>
    <t>n</t>
  </si>
  <si>
    <r>
      <t>K</t>
    </r>
    <r>
      <rPr>
        <vertAlign val="subscript"/>
        <sz val="11"/>
        <color theme="1"/>
        <rFont val="Calibri"/>
        <family val="2"/>
        <scheme val="minor"/>
      </rPr>
      <t>sh</t>
    </r>
  </si>
  <si>
    <r>
      <t xml:space="preserve">بسته به موقعیت لکه در </t>
    </r>
    <r>
      <rPr>
        <b/>
        <sz val="12"/>
        <color rgb="FF0000CC"/>
        <rFont val="B Mitra"/>
        <charset val="178"/>
      </rPr>
      <t>معابر/ بوستان و کمربند</t>
    </r>
    <r>
      <rPr>
        <sz val="12"/>
        <color theme="1"/>
        <rFont val="B Mitra"/>
        <charset val="178"/>
      </rPr>
      <t xml:space="preserve"> هم ضریب خرداقلیم لحاظ شده است.</t>
    </r>
  </si>
  <si>
    <t>m2</t>
  </si>
  <si>
    <t>m3/ha</t>
  </si>
  <si>
    <t>mm/d</t>
  </si>
  <si>
    <t>l/d</t>
  </si>
  <si>
    <t>ha</t>
  </si>
  <si>
    <t>1000m3</t>
  </si>
  <si>
    <t>1/ha</t>
  </si>
  <si>
    <r>
      <t xml:space="preserve">ضریب تراکم در </t>
    </r>
    <r>
      <rPr>
        <b/>
        <sz val="12"/>
        <color rgb="FF0000CC"/>
        <rFont val="B Mitra"/>
        <charset val="178"/>
      </rPr>
      <t>همه حالات برای درختان</t>
    </r>
    <r>
      <rPr>
        <sz val="12"/>
        <color theme="1"/>
        <rFont val="B Mitra"/>
        <charset val="178"/>
      </rPr>
      <t>، متناظر با پوشش 25% لحاظ شده است.</t>
    </r>
  </si>
  <si>
    <t>از تدقیق</t>
  </si>
  <si>
    <t>یعنی حداقل رقمی است که در جدول ارزیابی تراکم فضای سبز وجود دارد.</t>
  </si>
  <si>
    <t>درهرصورت، برای کمربند بایستی کمتر درنظر گرفت.</t>
  </si>
  <si>
    <t>ضرائب گیاهی</t>
  </si>
  <si>
    <t>سنّ و تنش</t>
  </si>
  <si>
    <t>تعدیل نیاز آبی</t>
  </si>
  <si>
    <t>راندمان و آبشوئی</t>
  </si>
  <si>
    <t>سهم
 ماه اوج</t>
  </si>
  <si>
    <t>ETox</t>
  </si>
  <si>
    <t>Ksp</t>
  </si>
  <si>
    <t>Kmc</t>
  </si>
  <si>
    <t>Kd</t>
  </si>
  <si>
    <t>ETcx</t>
  </si>
  <si>
    <t>Kage</t>
  </si>
  <si>
    <t>Kstress</t>
  </si>
  <si>
    <t>Peff</t>
  </si>
  <si>
    <t>Gw</t>
  </si>
  <si>
    <t>Eff</t>
  </si>
  <si>
    <t>Lf</t>
  </si>
  <si>
    <t>ساعات کار</t>
  </si>
  <si>
    <t>K_L</t>
  </si>
  <si>
    <t>hr</t>
  </si>
  <si>
    <t>معابر- بازبینی</t>
  </si>
  <si>
    <t>بوستان- بازبینی</t>
  </si>
  <si>
    <t>برآورد کمربند</t>
  </si>
  <si>
    <t>برخی ارقام سطح أسمی درختان، فرضی هستند برای رسیدن به تراکم مفروض</t>
  </si>
  <si>
    <t>گونه</t>
  </si>
  <si>
    <t>تراکم</t>
  </si>
  <si>
    <t>خرداقلیم</t>
  </si>
  <si>
    <t>دسته</t>
  </si>
  <si>
    <t>وضعیت</t>
  </si>
  <si>
    <t xml:space="preserve">تأثیر بر </t>
  </si>
  <si>
    <t>نیاز رطوبتی</t>
  </si>
  <si>
    <t>سطح برگ</t>
  </si>
  <si>
    <t>تبخیرتعرّق</t>
  </si>
  <si>
    <t>خیلی کم‌نیاز</t>
  </si>
  <si>
    <t>تُنُک/ کم‌تراکم</t>
  </si>
  <si>
    <t>کاهنده</t>
  </si>
  <si>
    <t>کم‌نیاز</t>
  </si>
  <si>
    <t>مبنا</t>
  </si>
  <si>
    <t>متوسط‌نیاز</t>
  </si>
  <si>
    <t>پُرپشت/ متراکم</t>
  </si>
  <si>
    <t>افزاینده</t>
  </si>
  <si>
    <t>پُرنیاز</t>
  </si>
  <si>
    <t>سهم نیاز در سال</t>
  </si>
  <si>
    <t>با اصلاح متر و سطح باغها</t>
  </si>
  <si>
    <t>مترمکعب در هکتار
سالانه</t>
  </si>
  <si>
    <t>هزار مترمکعب؛
ماه اوج</t>
  </si>
  <si>
    <t>لیتردرثانیه
 درهکتار؛
ماه اوج</t>
  </si>
  <si>
    <t>سهم ماه اوج</t>
  </si>
  <si>
    <t>از روش دفتر محیط زیست-  محاسبات کاربرگی</t>
  </si>
  <si>
    <t>از روش دفتر محیط زیست- محاسبات نرم‌افزاری</t>
  </si>
  <si>
    <t>سطح مفروض درختان</t>
  </si>
  <si>
    <t>از روش سه‌ضریبی</t>
  </si>
  <si>
    <t>کمربند- بازبینی</t>
  </si>
  <si>
    <t>روش فضای باز</t>
  </si>
  <si>
    <t>تعدیل 3</t>
  </si>
  <si>
    <t>تغییر روش محاسبهع سایه‌انداز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</si>
</sst>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#,##0.0"/>
    <numFmt numFmtId="165" formatCode="0.000"/>
    <numFmt numFmtId="166" formatCode="0.0"/>
    <numFmt numFmtId="167" formatCode="_(* #,##0_);_(* \(#,##0\);_(* &quot;-&quot;??_);_(@_)"/>
    <numFmt numFmtId="168" formatCode="_-* #,##0_-;_-* #,##0\-;_-* &quot;-&quot;??_-;_-@_-"/>
    <numFmt numFmtId="169" formatCode="_-* #,##0_-;_-* #,##0\-;_-* \-??_-;_-@_-"/>
    <numFmt numFmtId="170" formatCode="_(* #,##0.0_);_(* \(#,##0.0\);_(* &quot;-&quot;??_);_(@_)"/>
    <numFmt numFmtId="171" formatCode="00\ 00\ 00"/>
    <numFmt numFmtId="172" formatCode="#,##0.000"/>
    <numFmt numFmtId="173" formatCode="0.0%"/>
  </numFmts>
  <fonts count="1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 Titr"/>
      <charset val="178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78"/>
      <scheme val="minor"/>
    </font>
    <font>
      <sz val="12"/>
      <color indexed="8"/>
      <name val="B Mitra"/>
      <charset val="178"/>
    </font>
    <font>
      <sz val="14"/>
      <color rgb="FF0000CC"/>
      <name val="B Titr"/>
      <charset val="178"/>
    </font>
    <font>
      <b/>
      <sz val="14"/>
      <color rgb="FFC00000"/>
      <name val="B Titr"/>
      <charset val="178"/>
    </font>
    <font>
      <sz val="11"/>
      <color indexed="8"/>
      <name val="Calibri"/>
      <family val="2"/>
      <charset val="178"/>
    </font>
    <font>
      <sz val="16"/>
      <color rgb="FFC00000"/>
      <name val="B Titr"/>
      <charset val="178"/>
    </font>
    <font>
      <sz val="18"/>
      <color rgb="FF540000"/>
      <name val="B Nazanin"/>
      <charset val="178"/>
    </font>
    <font>
      <sz val="18"/>
      <color rgb="FF0000CC"/>
      <name val="B Nazanin"/>
      <charset val="178"/>
    </font>
    <font>
      <b/>
      <sz val="20"/>
      <color rgb="FF0000CC"/>
      <name val="B Nazanin"/>
      <charset val="178"/>
    </font>
    <font>
      <sz val="14"/>
      <color indexed="60"/>
      <name val="B Mitra"/>
      <charset val="178"/>
    </font>
    <font>
      <sz val="14"/>
      <color indexed="8"/>
      <name val="B Mitra"/>
      <charset val="178"/>
    </font>
    <font>
      <b/>
      <sz val="16"/>
      <color rgb="FFC00000"/>
      <name val="B Titr"/>
      <charset val="178"/>
    </font>
    <font>
      <b/>
      <sz val="12"/>
      <color theme="1"/>
      <name val="B Mitra"/>
      <charset val="178"/>
    </font>
    <font>
      <b/>
      <sz val="14"/>
      <color theme="1"/>
      <name val="B Mitra"/>
      <charset val="178"/>
    </font>
    <font>
      <sz val="14"/>
      <color theme="1"/>
      <name val="B Mitra"/>
      <charset val="178"/>
    </font>
    <font>
      <sz val="12"/>
      <color theme="1"/>
      <name val="B Mitra"/>
      <charset val="178"/>
    </font>
    <font>
      <b/>
      <sz val="18"/>
      <color rgb="FF540000"/>
      <name val="B Roya"/>
      <charset val="178"/>
    </font>
    <font>
      <b/>
      <sz val="16"/>
      <color rgb="FF0000CC"/>
      <name val="B Nazanin"/>
      <charset val="178"/>
    </font>
    <font>
      <b/>
      <sz val="14"/>
      <color rgb="FF00B050"/>
      <name val="B Titr"/>
      <charset val="178"/>
    </font>
    <font>
      <sz val="12"/>
      <color theme="1"/>
      <name val="B Nazanin"/>
      <charset val="178"/>
    </font>
    <font>
      <b/>
      <sz val="14"/>
      <color theme="1"/>
      <name val="B Titr"/>
      <charset val="178"/>
    </font>
    <font>
      <sz val="12"/>
      <name val="B Nazanin"/>
      <charset val="178"/>
    </font>
    <font>
      <b/>
      <sz val="12"/>
      <name val="B Nazanin"/>
      <charset val="178"/>
    </font>
    <font>
      <b/>
      <sz val="12"/>
      <color theme="1"/>
      <name val="B Nazanin"/>
      <charset val="178"/>
    </font>
    <font>
      <b/>
      <sz val="12"/>
      <color theme="1"/>
      <name val="B Titr"/>
      <charset val="178"/>
    </font>
    <font>
      <sz val="12"/>
      <color theme="1"/>
      <name val="B Titr"/>
      <charset val="178"/>
    </font>
    <font>
      <b/>
      <sz val="18"/>
      <color rgb="FF0000CC"/>
      <name val="B Titr"/>
      <charset val="178"/>
    </font>
    <font>
      <sz val="14"/>
      <color rgb="FF0000CC"/>
      <name val="B Titr"/>
      <family val="2"/>
      <charset val="178"/>
    </font>
    <font>
      <sz val="18"/>
      <color rgb="FFC00000"/>
      <name val="B Mitra"/>
      <charset val="178"/>
    </font>
    <font>
      <sz val="18"/>
      <color rgb="FF680000"/>
      <name val="B Roya"/>
      <charset val="178"/>
    </font>
    <font>
      <sz val="16"/>
      <color rgb="FFC00000"/>
      <name val="B Roya"/>
      <charset val="178"/>
    </font>
    <font>
      <sz val="18"/>
      <color rgb="FFC00000"/>
      <name val="B Nazanin"/>
      <charset val="178"/>
    </font>
    <font>
      <sz val="16"/>
      <color rgb="FFC00000"/>
      <name val="B Mitra"/>
      <charset val="178"/>
    </font>
    <font>
      <sz val="16"/>
      <color rgb="FF680000"/>
      <name val="B Titr"/>
      <charset val="178"/>
    </font>
    <font>
      <b/>
      <sz val="11"/>
      <color rgb="FF002A7E"/>
      <name val="B Mitra"/>
      <charset val="178"/>
    </font>
    <font>
      <b/>
      <sz val="14"/>
      <color rgb="FF680000"/>
      <name val="B Mitra"/>
      <charset val="178"/>
    </font>
    <font>
      <sz val="14"/>
      <color rgb="FF680000"/>
      <name val="B Mitra"/>
      <charset val="178"/>
    </font>
    <font>
      <sz val="18"/>
      <color rgb="FF680000"/>
      <name val="B Mitra"/>
      <charset val="178"/>
    </font>
    <font>
      <b/>
      <sz val="10"/>
      <name val="B Mitra"/>
      <charset val="178"/>
    </font>
    <font>
      <sz val="11"/>
      <color theme="1"/>
      <name val="B Mitra"/>
      <charset val="178"/>
    </font>
    <font>
      <b/>
      <sz val="11"/>
      <color rgb="FF660033"/>
      <name val="B Mitra"/>
      <charset val="178"/>
    </font>
    <font>
      <b/>
      <sz val="12"/>
      <color rgb="FF000099"/>
      <name val="B Mitra"/>
      <charset val="178"/>
    </font>
    <font>
      <sz val="10"/>
      <color theme="1"/>
      <name val="B Mitra"/>
      <charset val="178"/>
    </font>
    <font>
      <sz val="14"/>
      <color rgb="FF660033"/>
      <name val="B Mitra"/>
      <charset val="178"/>
    </font>
    <font>
      <sz val="12"/>
      <color rgb="FF000099"/>
      <name val="B Mitra"/>
      <charset val="178"/>
    </font>
    <font>
      <sz val="14"/>
      <color rgb="FF000099"/>
      <name val="B Mitra"/>
      <charset val="178"/>
    </font>
    <font>
      <b/>
      <sz val="11"/>
      <color rgb="FFC00000"/>
      <name val="B Mitra"/>
      <charset val="178"/>
    </font>
    <font>
      <b/>
      <sz val="16"/>
      <color rgb="FFC00000"/>
      <name val="B Roya"/>
      <charset val="178"/>
    </font>
    <font>
      <b/>
      <sz val="18"/>
      <color rgb="FF002A7E"/>
      <name val="B Roya"/>
      <charset val="178"/>
    </font>
    <font>
      <b/>
      <sz val="16"/>
      <color rgb="FF002A7E"/>
      <name val="B Roya"/>
      <charset val="178"/>
    </font>
    <font>
      <sz val="11"/>
      <color rgb="FFFF0000"/>
      <name val="Calibri"/>
      <family val="2"/>
      <scheme val="minor"/>
    </font>
    <font>
      <sz val="18"/>
      <color rgb="FF000000"/>
      <name val="B Mitra"/>
      <charset val="178"/>
    </font>
    <font>
      <b/>
      <sz val="14"/>
      <color rgb="FFC00000"/>
      <name val="B Mitra"/>
      <charset val="178"/>
    </font>
    <font>
      <sz val="13"/>
      <color theme="1"/>
      <name val="Arial"/>
      <family val="2"/>
    </font>
    <font>
      <b/>
      <sz val="12"/>
      <color indexed="8"/>
      <name val="B Nazanin"/>
      <charset val="178"/>
    </font>
    <font>
      <b/>
      <sz val="16"/>
      <color rgb="FFC00000"/>
      <name val="B Nazanin"/>
      <charset val="178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b/>
      <sz val="14"/>
      <color rgb="FFC00000"/>
      <name val="B Nazanin"/>
      <charset val="178"/>
    </font>
    <font>
      <sz val="14"/>
      <color theme="1"/>
      <name val="B Titr"/>
      <charset val="178"/>
    </font>
    <font>
      <b/>
      <sz val="14"/>
      <color indexed="8"/>
      <name val="B Nazanin"/>
      <charset val="178"/>
    </font>
    <font>
      <b/>
      <sz val="12"/>
      <color rgb="FF000000"/>
      <name val="B Mitra"/>
      <charset val="178"/>
    </font>
    <font>
      <sz val="18"/>
      <color rgb="FF993300"/>
      <name val="B Mitra"/>
      <charset val="178"/>
    </font>
    <font>
      <b/>
      <sz val="18"/>
      <color rgb="FF993300"/>
      <name val="B Mitra"/>
      <charset val="178"/>
    </font>
    <font>
      <b/>
      <sz val="12"/>
      <color rgb="FF003366"/>
      <name val="B Mitra"/>
      <charset val="178"/>
    </font>
    <font>
      <b/>
      <sz val="18"/>
      <color rgb="FF000000"/>
      <name val="B Mitra"/>
      <charset val="178"/>
    </font>
    <font>
      <b/>
      <sz val="18"/>
      <color rgb="FFC9211E"/>
      <name val="B Mitra"/>
      <charset val="178"/>
    </font>
    <font>
      <b/>
      <sz val="18"/>
      <color rgb="FF003366"/>
      <name val="B Mitra"/>
      <charset val="178"/>
    </font>
    <font>
      <b/>
      <sz val="16"/>
      <color rgb="FF680000"/>
      <name val="B Titr"/>
      <charset val="178"/>
    </font>
    <font>
      <sz val="14"/>
      <color rgb="FF000099"/>
      <name val="B Titr"/>
      <charset val="178"/>
    </font>
    <font>
      <sz val="18"/>
      <color rgb="FF680000"/>
      <name val="B Titr"/>
      <charset val="178"/>
    </font>
    <font>
      <sz val="12"/>
      <color rgb="FF000000"/>
      <name val="B Mitra"/>
      <charset val="178"/>
    </font>
    <font>
      <sz val="18"/>
      <color rgb="FF000099"/>
      <name val="B Mitra"/>
      <charset val="178"/>
    </font>
    <font>
      <sz val="12"/>
      <color rgb="FFC00000"/>
      <name val="B Nazanin"/>
      <charset val="178"/>
    </font>
    <font>
      <b/>
      <sz val="12"/>
      <color rgb="FFC00000"/>
      <name val="B Titr"/>
      <charset val="178"/>
    </font>
    <font>
      <b/>
      <sz val="14"/>
      <color rgb="FF680000"/>
      <name val="B Titr"/>
      <charset val="178"/>
    </font>
    <font>
      <b/>
      <sz val="14"/>
      <color rgb="FFFF0000"/>
      <name val="B Titr"/>
      <charset val="178"/>
    </font>
    <font>
      <b/>
      <sz val="18"/>
      <color rgb="FF680000"/>
      <name val="B Roya"/>
      <charset val="178"/>
    </font>
    <font>
      <b/>
      <sz val="11"/>
      <color theme="1"/>
      <name val="B Mitra"/>
      <charset val="178"/>
    </font>
    <font>
      <sz val="13"/>
      <color rgb="FF000000"/>
      <name val="Calibri Light"/>
      <family val="1"/>
      <scheme val="major"/>
    </font>
    <font>
      <sz val="13"/>
      <color rgb="FF000000"/>
      <name val="B Mitra"/>
      <charset val="178"/>
    </font>
    <font>
      <b/>
      <sz val="13"/>
      <color rgb="FFC00000"/>
      <name val="B Mitra"/>
      <charset val="178"/>
    </font>
    <font>
      <sz val="13"/>
      <color rgb="FFC00000"/>
      <name val="B Mitra"/>
      <charset val="178"/>
    </font>
    <font>
      <b/>
      <sz val="16"/>
      <color rgb="FF0000CC"/>
      <name val="B Mitra"/>
      <charset val="178"/>
    </font>
    <font>
      <sz val="13"/>
      <color theme="1"/>
      <name val="B Mitra"/>
      <charset val="178"/>
    </font>
    <font>
      <b/>
      <sz val="14"/>
      <color rgb="FF660033"/>
      <name val="B Mitra"/>
      <charset val="178"/>
    </font>
    <font>
      <sz val="10"/>
      <color rgb="FF000000"/>
      <name val="Times New Roman"/>
      <family val="1"/>
    </font>
    <font>
      <sz val="10"/>
      <color rgb="FF000000"/>
      <name val="B Mitra"/>
      <charset val="178"/>
    </font>
    <font>
      <b/>
      <sz val="8"/>
      <color indexed="8"/>
      <name val="B Nazanin"/>
      <charset val="178"/>
    </font>
    <font>
      <b/>
      <sz val="8"/>
      <color theme="1"/>
      <name val="B Mitra"/>
      <charset val="178"/>
    </font>
    <font>
      <b/>
      <sz val="11"/>
      <color theme="1"/>
      <name val="B Titr"/>
      <charset val="178"/>
    </font>
    <font>
      <sz val="16"/>
      <color rgb="FF000000"/>
      <name val="B Titr"/>
      <charset val="178"/>
    </font>
    <font>
      <sz val="16"/>
      <color rgb="FF000000"/>
      <name val="B Mitra"/>
      <charset val="178"/>
    </font>
    <font>
      <sz val="14"/>
      <color rgb="FFC00000"/>
      <name val="B Mitra"/>
      <charset val="178"/>
    </font>
    <font>
      <sz val="16"/>
      <color rgb="FF660033"/>
      <name val="B Mitra"/>
      <charset val="178"/>
    </font>
    <font>
      <sz val="13"/>
      <color rgb="FF000099"/>
      <name val="B Mitra"/>
      <charset val="178"/>
    </font>
    <font>
      <sz val="14"/>
      <color rgb="FF0000CC"/>
      <name val="B Mitra"/>
      <charset val="178"/>
    </font>
    <font>
      <sz val="16"/>
      <color rgb="FFFF00FF"/>
      <name val="B Mitra"/>
      <charset val="178"/>
    </font>
    <font>
      <sz val="13"/>
      <color rgb="FF0000CC"/>
      <name val="B Mitra"/>
      <charset val="178"/>
    </font>
    <font>
      <b/>
      <sz val="11"/>
      <color rgb="FF660066"/>
      <name val="B Mitra"/>
      <charset val="178"/>
    </font>
    <font>
      <sz val="11"/>
      <color rgb="FF000000"/>
      <name val="B Mitra"/>
      <charset val="178"/>
    </font>
    <font>
      <sz val="13"/>
      <color rgb="FFFF00FF"/>
      <name val="B Mitra"/>
      <charset val="178"/>
    </font>
    <font>
      <b/>
      <sz val="16"/>
      <color rgb="FF0000CC"/>
      <name val="B Titr"/>
      <charset val="178"/>
    </font>
    <font>
      <b/>
      <sz val="12"/>
      <color theme="1"/>
      <name val="B Zar"/>
      <charset val="178"/>
    </font>
    <font>
      <sz val="16"/>
      <color theme="1"/>
      <name val="B Zar"/>
      <charset val="178"/>
    </font>
    <font>
      <sz val="12"/>
      <color rgb="FF680000"/>
      <name val="B Mitra"/>
      <charset val="178"/>
    </font>
    <font>
      <sz val="14"/>
      <color rgb="FFC00000"/>
      <name val="B Nazanin"/>
      <charset val="178"/>
    </font>
    <font>
      <sz val="10"/>
      <color theme="1"/>
      <name val="Tahoma"/>
      <family val="2"/>
    </font>
    <font>
      <sz val="10"/>
      <name val="Arial"/>
      <family val="2"/>
    </font>
    <font>
      <b/>
      <sz val="14"/>
      <color theme="1"/>
      <name val="Times New Roman"/>
      <family val="1"/>
    </font>
    <font>
      <b/>
      <vertAlign val="subscript"/>
      <sz val="14"/>
      <color indexed="18"/>
      <name val="Times New Roman"/>
      <family val="1"/>
    </font>
    <font>
      <sz val="11"/>
      <color theme="1"/>
      <name val="Arial"/>
      <family val="2"/>
    </font>
    <font>
      <sz val="11"/>
      <name val="Times New Roman"/>
      <family val="1"/>
    </font>
    <font>
      <i/>
      <sz val="11"/>
      <name val="Symbol"/>
      <family val="1"/>
      <charset val="2"/>
    </font>
    <font>
      <vertAlign val="superscript"/>
      <sz val="11"/>
      <name val="Times New Roman"/>
      <family val="1"/>
    </font>
    <font>
      <i/>
      <sz val="10"/>
      <color theme="1"/>
      <name val="Times New Roman"/>
      <family val="1"/>
    </font>
    <font>
      <i/>
      <vertAlign val="superscript"/>
      <sz val="10"/>
      <color indexed="8"/>
      <name val="Times New Roman"/>
      <family val="1"/>
    </font>
    <font>
      <b/>
      <sz val="16"/>
      <color indexed="18"/>
      <name val="B Koodak"/>
      <charset val="178"/>
    </font>
    <font>
      <sz val="18"/>
      <color indexed="12"/>
      <name val="B Mitra"/>
      <charset val="178"/>
    </font>
    <font>
      <b/>
      <sz val="16"/>
      <color indexed="16"/>
      <name val="B Roya"/>
      <charset val="178"/>
    </font>
    <font>
      <sz val="18"/>
      <color theme="1"/>
      <name val="B Mitra"/>
      <charset val="178"/>
    </font>
    <font>
      <b/>
      <sz val="12"/>
      <color rgb="FF0000CC"/>
      <name val="B Mitra"/>
      <charset val="178"/>
    </font>
    <font>
      <sz val="12"/>
      <color rgb="FF660033"/>
      <name val="Calibri Light"/>
      <family val="1"/>
      <scheme val="major"/>
    </font>
    <font>
      <b/>
      <sz val="12"/>
      <color rgb="FF660033"/>
      <name val="Calibri Light"/>
      <family val="1"/>
      <scheme val="major"/>
    </font>
    <font>
      <b/>
      <vertAlign val="subscript"/>
      <sz val="12"/>
      <color rgb="FF660033"/>
      <name val="Calibri Light"/>
      <family val="1"/>
      <scheme val="major"/>
    </font>
    <font>
      <vertAlign val="subscript"/>
      <sz val="11"/>
      <color theme="1"/>
      <name val="Calibri"/>
      <family val="2"/>
      <scheme val="minor"/>
    </font>
    <font>
      <sz val="11"/>
      <color rgb="FF660033"/>
      <name val="Calibri Light"/>
      <family val="1"/>
      <scheme val="major"/>
    </font>
    <font>
      <sz val="16"/>
      <color rgb="FF0000CC"/>
      <name val="B Mitra"/>
      <charset val="178"/>
    </font>
    <font>
      <sz val="18"/>
      <color rgb="FF660033"/>
      <name val="B Mitra"/>
      <charset val="178"/>
    </font>
    <font>
      <sz val="14"/>
      <color rgb="FF7A0000"/>
      <name val="B Titr"/>
      <charset val="178"/>
    </font>
    <font>
      <sz val="18"/>
      <color rgb="FF0000CC"/>
      <name val="B Mitra"/>
      <charset val="178"/>
    </font>
    <font>
      <sz val="16"/>
      <color rgb="FF0000CC"/>
      <name val="B Titr"/>
      <charset val="178"/>
    </font>
    <font>
      <b/>
      <sz val="11"/>
      <color rgb="FF660033"/>
      <name val="Calibri Light"/>
      <family val="1"/>
      <scheme val="major"/>
    </font>
    <font>
      <sz val="12"/>
      <color rgb="FF660033"/>
      <name val="B Mitra"/>
      <charset val="178"/>
    </font>
    <font>
      <sz val="16"/>
      <color rgb="FF000099"/>
      <name val="B Mitra"/>
      <charset val="178"/>
    </font>
    <font>
      <sz val="16"/>
      <color rgb="FF7A0000"/>
      <name val="B Mitra"/>
      <charset val="178"/>
    </font>
    <font>
      <b/>
      <sz val="14"/>
      <color rgb="FF7A0000"/>
      <name val="B Titr"/>
      <charset val="178"/>
    </font>
    <font>
      <b/>
      <sz val="16"/>
      <color rgb="FF660033"/>
      <name val="B Roya"/>
      <charset val="178"/>
    </font>
    <font>
      <b/>
      <sz val="16"/>
      <color rgb="FF7A0000"/>
      <name val="B Titr"/>
      <charset val="178"/>
    </font>
    <font>
      <sz val="12"/>
      <color rgb="FF0000CC"/>
      <name val="B Titr"/>
      <charset val="178"/>
    </font>
    <font>
      <sz val="12"/>
      <color theme="1"/>
      <name val="Calibri"/>
      <family val="2"/>
      <scheme val="minor"/>
    </font>
    <font>
      <sz val="11"/>
      <color rgb="FF660033"/>
      <name val="B Mitra"/>
      <charset val="178"/>
    </font>
    <font>
      <sz val="8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 tint="-0.14999847407452621"/>
        <bgColor rgb="FFDEE6E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D87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DEEBF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85DF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E587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14999847407452621"/>
        <bgColor rgb="FFCCFFCC"/>
      </patternFill>
    </fill>
    <fill>
      <patternFill patternType="solid">
        <fgColor rgb="FFFFFF99"/>
        <bgColor rgb="FFCCFFCC"/>
      </patternFill>
    </fill>
    <fill>
      <patternFill patternType="solid">
        <fgColor theme="0" tint="-0.14999847407452621"/>
        <bgColor rgb="FF99CCFF"/>
      </patternFill>
    </fill>
    <fill>
      <patternFill patternType="solid">
        <fgColor theme="0" tint="-0.14999847407452621"/>
        <bgColor rgb="FFDEEBF7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BDD7E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DEE6E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5EEA6"/>
        <bgColor rgb="FFDEE6EF"/>
      </patternFill>
    </fill>
    <fill>
      <patternFill patternType="solid">
        <fgColor rgb="FFB5EEA6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rgb="FFDEE6EF"/>
      </patternFill>
    </fill>
    <fill>
      <patternFill patternType="solid">
        <fgColor indexed="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indexed="64"/>
      </left>
      <right/>
      <top style="dotted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 style="dotted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dotted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auto="1"/>
      </top>
      <bottom/>
      <diagonal/>
    </border>
    <border>
      <left/>
      <right style="thin">
        <color indexed="64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auto="1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dotted">
        <color indexed="64"/>
      </right>
      <top style="thin">
        <color rgb="FFC00000"/>
      </top>
      <bottom/>
      <diagonal/>
    </border>
    <border>
      <left style="dotted">
        <color rgb="FFC00000"/>
      </left>
      <right/>
      <top/>
      <bottom style="thin">
        <color rgb="FFC00000"/>
      </bottom>
      <diagonal/>
    </border>
    <border>
      <left/>
      <right style="dotted">
        <color indexed="64"/>
      </right>
      <top/>
      <bottom style="thin">
        <color rgb="FFC00000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auto="1"/>
      </top>
      <bottom/>
      <diagonal/>
    </border>
    <border>
      <left/>
      <right style="dotted">
        <color indexed="64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mediumDashed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Dash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Dashed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 style="dotted">
        <color indexed="64"/>
      </left>
      <right/>
      <top style="thin">
        <color rgb="FFC00000"/>
      </top>
      <bottom/>
      <diagonal/>
    </border>
    <border>
      <left/>
      <right style="dotted">
        <color auto="1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C00000"/>
      </left>
      <right/>
      <top/>
      <bottom/>
      <diagonal/>
    </border>
    <border>
      <left style="dotted">
        <color rgb="FFC00000"/>
      </left>
      <right style="dotted">
        <color rgb="FFC00000"/>
      </right>
      <top/>
      <bottom/>
      <diagonal/>
    </border>
    <border>
      <left/>
      <right style="thin">
        <color rgb="FF660033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double">
        <color rgb="FF0000CC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theme="0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dotted">
        <color auto="1"/>
      </bottom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tted">
        <color rgb="FFC00000"/>
      </left>
      <right/>
      <top style="thin">
        <color indexed="64"/>
      </top>
      <bottom style="thin">
        <color indexed="64"/>
      </bottom>
      <diagonal/>
    </border>
    <border>
      <left style="dotted">
        <color rgb="FFC00000"/>
      </left>
      <right style="dotted">
        <color rgb="FFC00000"/>
      </right>
      <top style="thin">
        <color indexed="64"/>
      </top>
      <bottom style="thin">
        <color indexed="64"/>
      </bottom>
      <diagonal/>
    </border>
    <border>
      <left/>
      <right style="thin">
        <color rgb="FF660033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dotted">
        <color rgb="FFC00000"/>
      </left>
      <right/>
      <top style="thin">
        <color indexed="64"/>
      </top>
      <bottom/>
      <diagonal/>
    </border>
    <border>
      <left style="dotted">
        <color rgb="FFC00000"/>
      </left>
      <right style="dotted">
        <color rgb="FFC00000"/>
      </right>
      <top style="thin">
        <color indexed="64"/>
      </top>
      <bottom/>
      <diagonal/>
    </border>
    <border>
      <left/>
      <right style="thin">
        <color rgb="FF660033"/>
      </right>
      <top style="thin">
        <color indexed="64"/>
      </top>
      <bottom/>
      <diagonal/>
    </border>
    <border>
      <left style="dotted">
        <color rgb="FFC00000"/>
      </left>
      <right/>
      <top/>
      <bottom style="thin">
        <color indexed="64"/>
      </bottom>
      <diagonal/>
    </border>
    <border>
      <left style="dotted">
        <color rgb="FFC00000"/>
      </left>
      <right style="dotted">
        <color rgb="FFC00000"/>
      </right>
      <top/>
      <bottom style="thin">
        <color indexed="64"/>
      </bottom>
      <diagonal/>
    </border>
    <border>
      <left/>
      <right style="thin">
        <color rgb="FF660033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5">
    <xf numFmtId="0" fontId="0" fillId="0" borderId="0"/>
    <xf numFmtId="9" fontId="8" fillId="0" borderId="0" applyFont="0" applyFill="0" applyBorder="0" applyAlignment="0" applyProtection="0"/>
    <xf numFmtId="0" fontId="1" fillId="0" borderId="0"/>
    <xf numFmtId="0" fontId="3" fillId="0" borderId="0"/>
    <xf numFmtId="0" fontId="4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111" fillId="0" borderId="0"/>
    <xf numFmtId="0" fontId="112" fillId="0" borderId="0"/>
    <xf numFmtId="9" fontId="11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27">
    <xf numFmtId="0" fontId="0" fillId="0" borderId="0" xfId="0"/>
    <xf numFmtId="0" fontId="2" fillId="0" borderId="0" xfId="2" applyFont="1"/>
    <xf numFmtId="0" fontId="1" fillId="0" borderId="0" xfId="2"/>
    <xf numFmtId="9" fontId="6" fillId="6" borderId="9" xfId="5" applyFont="1" applyFill="1" applyBorder="1" applyAlignment="1">
      <alignment horizontal="center" vertical="center" readingOrder="1"/>
    </xf>
    <xf numFmtId="9" fontId="6" fillId="6" borderId="0" xfId="5" applyFont="1" applyFill="1" applyBorder="1" applyAlignment="1">
      <alignment horizontal="center" vertical="center" readingOrder="1"/>
    </xf>
    <xf numFmtId="0" fontId="5" fillId="3" borderId="12" xfId="4" applyFont="1" applyFill="1" applyBorder="1" applyAlignment="1">
      <alignment horizontal="center" vertical="top" wrapText="1"/>
    </xf>
    <xf numFmtId="0" fontId="12" fillId="4" borderId="0" xfId="3" applyFont="1" applyFill="1" applyBorder="1" applyAlignment="1">
      <alignment horizontal="center" vertical="center" readingOrder="2"/>
    </xf>
    <xf numFmtId="9" fontId="6" fillId="6" borderId="0" xfId="7" applyFont="1" applyFill="1" applyBorder="1" applyAlignment="1">
      <alignment horizontal="center" vertical="center" readingOrder="1"/>
    </xf>
    <xf numFmtId="0" fontId="3" fillId="0" borderId="0" xfId="3"/>
    <xf numFmtId="0" fontId="1" fillId="0" borderId="0" xfId="2" applyBorder="1"/>
    <xf numFmtId="165" fontId="1" fillId="0" borderId="0" xfId="2" applyNumberFormat="1" applyBorder="1"/>
    <xf numFmtId="9" fontId="6" fillId="6" borderId="9" xfId="7" applyFont="1" applyFill="1" applyBorder="1" applyAlignment="1">
      <alignment horizontal="center" vertical="center" readingOrder="1"/>
    </xf>
    <xf numFmtId="0" fontId="4" fillId="0" borderId="0" xfId="4" applyBorder="1"/>
    <xf numFmtId="164" fontId="10" fillId="4" borderId="9" xfId="3" applyNumberFormat="1" applyFont="1" applyFill="1" applyBorder="1" applyAlignment="1">
      <alignment horizontal="right" vertical="center" indent="1" readingOrder="2"/>
    </xf>
    <xf numFmtId="164" fontId="10" fillId="4" borderId="0" xfId="3" applyNumberFormat="1" applyFont="1" applyFill="1" applyBorder="1" applyAlignment="1">
      <alignment horizontal="right" vertical="center" indent="1" readingOrder="2"/>
    </xf>
    <xf numFmtId="3" fontId="10" fillId="4" borderId="0" xfId="3" applyNumberFormat="1" applyFont="1" applyFill="1" applyBorder="1" applyAlignment="1">
      <alignment horizontal="right" vertical="center" indent="1" readingOrder="2"/>
    </xf>
    <xf numFmtId="3" fontId="10" fillId="4" borderId="17" xfId="3" applyNumberFormat="1" applyFont="1" applyFill="1" applyBorder="1" applyAlignment="1">
      <alignment horizontal="right" vertical="center" indent="1" readingOrder="2"/>
    </xf>
    <xf numFmtId="3" fontId="10" fillId="4" borderId="24" xfId="3" applyNumberFormat="1" applyFont="1" applyFill="1" applyBorder="1" applyAlignment="1">
      <alignment horizontal="right" vertical="center" indent="1" readingOrder="2"/>
    </xf>
    <xf numFmtId="4" fontId="15" fillId="7" borderId="0" xfId="3" applyNumberFormat="1" applyFont="1" applyFill="1" applyBorder="1" applyAlignment="1">
      <alignment horizontal="center" vertical="center" shrinkToFit="1"/>
    </xf>
    <xf numFmtId="3" fontId="15" fillId="7" borderId="0" xfId="3" applyNumberFormat="1" applyFont="1" applyFill="1" applyBorder="1" applyAlignment="1">
      <alignment horizontal="center" vertical="center" shrinkToFit="1"/>
    </xf>
    <xf numFmtId="9" fontId="15" fillId="7" borderId="17" xfId="1" applyFont="1" applyFill="1" applyBorder="1" applyAlignment="1">
      <alignment horizontal="center" vertical="center"/>
    </xf>
    <xf numFmtId="3" fontId="17" fillId="2" borderId="19" xfId="3" applyNumberFormat="1" applyFont="1" applyFill="1" applyBorder="1" applyAlignment="1">
      <alignment horizontal="center" vertical="center" wrapText="1"/>
    </xf>
    <xf numFmtId="0" fontId="18" fillId="3" borderId="11" xfId="3" applyFont="1" applyFill="1" applyBorder="1" applyAlignment="1">
      <alignment horizontal="center" vertical="center" wrapText="1" readingOrder="2"/>
    </xf>
    <xf numFmtId="0" fontId="18" fillId="3" borderId="10" xfId="3" applyFont="1" applyFill="1" applyBorder="1" applyAlignment="1">
      <alignment horizontal="center" vertical="center" wrapText="1" readingOrder="2"/>
    </xf>
    <xf numFmtId="0" fontId="18" fillId="3" borderId="15" xfId="3" applyFont="1" applyFill="1" applyBorder="1" applyAlignment="1">
      <alignment horizontal="center" vertical="center" wrapText="1" readingOrder="2"/>
    </xf>
    <xf numFmtId="0" fontId="18" fillId="3" borderId="21" xfId="3" applyFont="1" applyFill="1" applyBorder="1" applyAlignment="1">
      <alignment horizontal="center" vertical="center" wrapText="1" readingOrder="2"/>
    </xf>
    <xf numFmtId="0" fontId="19" fillId="3" borderId="25" xfId="4" applyFont="1" applyFill="1" applyBorder="1" applyAlignment="1">
      <alignment horizontal="center" vertical="top" wrapText="1"/>
    </xf>
    <xf numFmtId="0" fontId="19" fillId="3" borderId="12" xfId="4" applyFont="1" applyFill="1" applyBorder="1" applyAlignment="1">
      <alignment horizontal="center" vertical="top" wrapText="1"/>
    </xf>
    <xf numFmtId="164" fontId="11" fillId="5" borderId="14" xfId="3" applyNumberFormat="1" applyFont="1" applyFill="1" applyBorder="1" applyAlignment="1">
      <alignment horizontal="right" vertical="center" indent="1" readingOrder="2"/>
    </xf>
    <xf numFmtId="3" fontId="11" fillId="5" borderId="14" xfId="3" applyNumberFormat="1" applyFont="1" applyFill="1" applyBorder="1" applyAlignment="1">
      <alignment horizontal="right" vertical="center" indent="1" readingOrder="2"/>
    </xf>
    <xf numFmtId="164" fontId="10" fillId="5" borderId="0" xfId="3" applyNumberFormat="1" applyFont="1" applyFill="1" applyBorder="1" applyAlignment="1">
      <alignment horizontal="right" vertical="center" indent="1" readingOrder="2"/>
    </xf>
    <xf numFmtId="3" fontId="10" fillId="5" borderId="0" xfId="3" applyNumberFormat="1" applyFont="1" applyFill="1" applyBorder="1" applyAlignment="1">
      <alignment horizontal="right" vertical="center" indent="1" readingOrder="2"/>
    </xf>
    <xf numFmtId="9" fontId="21" fillId="5" borderId="13" xfId="5" applyFont="1" applyFill="1" applyBorder="1" applyAlignment="1">
      <alignment horizontal="center" vertical="center" readingOrder="1"/>
    </xf>
    <xf numFmtId="9" fontId="21" fillId="5" borderId="14" xfId="5" applyFont="1" applyFill="1" applyBorder="1" applyAlignment="1">
      <alignment horizontal="center" vertical="center" readingOrder="1"/>
    </xf>
    <xf numFmtId="9" fontId="21" fillId="5" borderId="9" xfId="7" applyFont="1" applyFill="1" applyBorder="1" applyAlignment="1">
      <alignment horizontal="center" vertical="center" readingOrder="1"/>
    </xf>
    <xf numFmtId="9" fontId="21" fillId="5" borderId="0" xfId="7" applyFont="1" applyFill="1" applyBorder="1" applyAlignment="1">
      <alignment horizontal="center" vertical="center" readingOrder="1"/>
    </xf>
    <xf numFmtId="9" fontId="21" fillId="5" borderId="9" xfId="5" applyFont="1" applyFill="1" applyBorder="1" applyAlignment="1">
      <alignment horizontal="center" vertical="center" readingOrder="1"/>
    </xf>
    <xf numFmtId="9" fontId="21" fillId="5" borderId="0" xfId="5" applyFont="1" applyFill="1" applyBorder="1" applyAlignment="1">
      <alignment horizontal="center" vertical="center" readingOrder="1"/>
    </xf>
    <xf numFmtId="3" fontId="7" fillId="5" borderId="0" xfId="3" applyNumberFormat="1" applyFont="1" applyFill="1" applyBorder="1" applyAlignment="1">
      <alignment horizontal="center" vertical="center" shrinkToFit="1"/>
    </xf>
    <xf numFmtId="0" fontId="12" fillId="4" borderId="1" xfId="3" applyFont="1" applyFill="1" applyBorder="1" applyAlignment="1">
      <alignment horizontal="center" vertical="center" readingOrder="2"/>
    </xf>
    <xf numFmtId="3" fontId="17" fillId="2" borderId="0" xfId="3" applyNumberFormat="1" applyFont="1" applyFill="1" applyBorder="1" applyAlignment="1">
      <alignment horizontal="center" vertical="center" wrapText="1"/>
    </xf>
    <xf numFmtId="3" fontId="22" fillId="5" borderId="0" xfId="3" applyNumberFormat="1" applyFont="1" applyFill="1" applyBorder="1" applyAlignment="1">
      <alignment horizontal="center" vertical="center" shrinkToFit="1"/>
    </xf>
    <xf numFmtId="164" fontId="22" fillId="5" borderId="0" xfId="3" applyNumberFormat="1" applyFont="1" applyFill="1" applyBorder="1" applyAlignment="1">
      <alignment horizontal="center" vertical="center" shrinkToFit="1"/>
    </xf>
    <xf numFmtId="4" fontId="22" fillId="5" borderId="0" xfId="3" applyNumberFormat="1" applyFont="1" applyFill="1" applyBorder="1" applyAlignment="1">
      <alignment horizontal="center" vertical="center" shrinkToFit="1"/>
    </xf>
    <xf numFmtId="165" fontId="1" fillId="10" borderId="0" xfId="2" applyNumberFormat="1" applyFill="1" applyBorder="1"/>
    <xf numFmtId="165" fontId="1" fillId="0" borderId="0" xfId="2" applyNumberFormat="1" applyFill="1" applyBorder="1"/>
    <xf numFmtId="164" fontId="10" fillId="5" borderId="14" xfId="3" applyNumberFormat="1" applyFont="1" applyFill="1" applyBorder="1" applyAlignment="1">
      <alignment horizontal="right" vertical="center" indent="1" readingOrder="2"/>
    </xf>
    <xf numFmtId="3" fontId="10" fillId="5" borderId="14" xfId="3" applyNumberFormat="1" applyFont="1" applyFill="1" applyBorder="1" applyAlignment="1">
      <alignment horizontal="right" vertical="center" indent="1" readingOrder="2"/>
    </xf>
    <xf numFmtId="3" fontId="7" fillId="5" borderId="14" xfId="3" applyNumberFormat="1" applyFont="1" applyFill="1" applyBorder="1" applyAlignment="1">
      <alignment horizontal="center" vertical="center" shrinkToFit="1"/>
    </xf>
    <xf numFmtId="3" fontId="22" fillId="5" borderId="14" xfId="3" applyNumberFormat="1" applyFont="1" applyFill="1" applyBorder="1" applyAlignment="1">
      <alignment horizontal="center" vertical="center" shrinkToFit="1"/>
    </xf>
    <xf numFmtId="4" fontId="22" fillId="5" borderId="14" xfId="3" applyNumberFormat="1" applyFont="1" applyFill="1" applyBorder="1" applyAlignment="1">
      <alignment horizontal="center" vertical="center" shrinkToFit="1"/>
    </xf>
    <xf numFmtId="164" fontId="10" fillId="5" borderId="32" xfId="3" applyNumberFormat="1" applyFont="1" applyFill="1" applyBorder="1" applyAlignment="1">
      <alignment horizontal="right" vertical="center" indent="1" readingOrder="2"/>
    </xf>
    <xf numFmtId="9" fontId="21" fillId="5" borderId="33" xfId="7" applyFont="1" applyFill="1" applyBorder="1" applyAlignment="1">
      <alignment horizontal="center" vertical="center" readingOrder="1"/>
    </xf>
    <xf numFmtId="9" fontId="21" fillId="5" borderId="32" xfId="7" applyFont="1" applyFill="1" applyBorder="1" applyAlignment="1">
      <alignment horizontal="center" vertical="center" readingOrder="1"/>
    </xf>
    <xf numFmtId="3" fontId="10" fillId="5" borderId="32" xfId="3" applyNumberFormat="1" applyFont="1" applyFill="1" applyBorder="1" applyAlignment="1">
      <alignment horizontal="right" vertical="center" indent="1" readingOrder="2"/>
    </xf>
    <xf numFmtId="3" fontId="7" fillId="5" borderId="32" xfId="3" applyNumberFormat="1" applyFont="1" applyFill="1" applyBorder="1" applyAlignment="1">
      <alignment horizontal="center" vertical="center" shrinkToFit="1"/>
    </xf>
    <xf numFmtId="3" fontId="22" fillId="5" borderId="32" xfId="3" applyNumberFormat="1" applyFont="1" applyFill="1" applyBorder="1" applyAlignment="1">
      <alignment horizontal="center" vertical="center" shrinkToFit="1"/>
    </xf>
    <xf numFmtId="4" fontId="22" fillId="5" borderId="32" xfId="3" applyNumberFormat="1" applyFont="1" applyFill="1" applyBorder="1" applyAlignment="1">
      <alignment horizontal="center" vertical="center" shrinkToFit="1"/>
    </xf>
    <xf numFmtId="9" fontId="21" fillId="5" borderId="13" xfId="7" applyFont="1" applyFill="1" applyBorder="1" applyAlignment="1">
      <alignment horizontal="center" vertical="center" readingOrder="1"/>
    </xf>
    <xf numFmtId="9" fontId="21" fillId="5" borderId="14" xfId="7" applyFont="1" applyFill="1" applyBorder="1" applyAlignment="1">
      <alignment horizontal="center" vertical="center" readingOrder="1"/>
    </xf>
    <xf numFmtId="9" fontId="21" fillId="5" borderId="33" xfId="5" applyFont="1" applyFill="1" applyBorder="1" applyAlignment="1">
      <alignment horizontal="center" vertical="center" readingOrder="1"/>
    </xf>
    <xf numFmtId="9" fontId="21" fillId="5" borderId="32" xfId="5" applyFont="1" applyFill="1" applyBorder="1" applyAlignment="1">
      <alignment horizontal="center" vertical="center" readingOrder="1"/>
    </xf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166" fontId="27" fillId="0" borderId="40" xfId="0" applyNumberFormat="1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67" fontId="27" fillId="0" borderId="40" xfId="8" applyNumberFormat="1" applyFont="1" applyBorder="1" applyAlignment="1">
      <alignment horizontal="center" vertical="center"/>
    </xf>
    <xf numFmtId="167" fontId="27" fillId="0" borderId="41" xfId="8" applyNumberFormat="1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43" fontId="27" fillId="0" borderId="36" xfId="8" applyFont="1" applyBorder="1" applyAlignment="1">
      <alignment horizontal="center" vertical="center"/>
    </xf>
    <xf numFmtId="43" fontId="27" fillId="0" borderId="37" xfId="8" applyFont="1" applyBorder="1" applyAlignment="1">
      <alignment horizontal="center" vertical="center"/>
    </xf>
    <xf numFmtId="43" fontId="27" fillId="0" borderId="38" xfId="8" applyFont="1" applyBorder="1" applyAlignment="1">
      <alignment horizontal="center" vertical="center"/>
    </xf>
    <xf numFmtId="43" fontId="27" fillId="0" borderId="39" xfId="8" applyFont="1" applyBorder="1" applyAlignment="1">
      <alignment horizontal="center" vertical="center"/>
    </xf>
    <xf numFmtId="43" fontId="27" fillId="0" borderId="40" xfId="8" applyFont="1" applyBorder="1" applyAlignment="1">
      <alignment horizontal="center" vertical="center"/>
    </xf>
    <xf numFmtId="43" fontId="27" fillId="0" borderId="41" xfId="8" applyFont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167" fontId="27" fillId="0" borderId="46" xfId="8" applyNumberFormat="1" applyFont="1" applyBorder="1" applyAlignment="1">
      <alignment horizontal="center" vertical="center"/>
    </xf>
    <xf numFmtId="167" fontId="27" fillId="0" borderId="47" xfId="8" applyNumberFormat="1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43" fontId="27" fillId="0" borderId="45" xfId="8" applyFont="1" applyBorder="1" applyAlignment="1">
      <alignment horizontal="center" vertical="center"/>
    </xf>
    <xf numFmtId="43" fontId="27" fillId="0" borderId="46" xfId="8" applyFont="1" applyBorder="1" applyAlignment="1">
      <alignment horizontal="center" vertical="center"/>
    </xf>
    <xf numFmtId="43" fontId="27" fillId="0" borderId="47" xfId="8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1" fontId="28" fillId="13" borderId="40" xfId="0" applyNumberFormat="1" applyFont="1" applyFill="1" applyBorder="1" applyAlignment="1">
      <alignment horizontal="center" vertical="center"/>
    </xf>
    <xf numFmtId="0" fontId="28" fillId="13" borderId="40" xfId="0" applyFont="1" applyFill="1" applyBorder="1" applyAlignment="1">
      <alignment horizontal="center" vertical="center"/>
    </xf>
    <xf numFmtId="0" fontId="28" fillId="13" borderId="41" xfId="0" applyFont="1" applyFill="1" applyBorder="1" applyAlignment="1">
      <alignment horizontal="center" vertical="center"/>
    </xf>
    <xf numFmtId="1" fontId="28" fillId="10" borderId="40" xfId="0" applyNumberFormat="1" applyFont="1" applyFill="1" applyBorder="1" applyAlignment="1">
      <alignment horizontal="center" vertical="center"/>
    </xf>
    <xf numFmtId="0" fontId="28" fillId="10" borderId="40" xfId="0" applyFont="1" applyFill="1" applyBorder="1" applyAlignment="1">
      <alignment horizontal="center" vertical="center"/>
    </xf>
    <xf numFmtId="0" fontId="28" fillId="10" borderId="41" xfId="0" applyFont="1" applyFill="1" applyBorder="1" applyAlignment="1">
      <alignment horizontal="center" vertical="center"/>
    </xf>
    <xf numFmtId="43" fontId="23" fillId="0" borderId="40" xfId="0" applyNumberFormat="1" applyFont="1" applyBorder="1" applyAlignment="1">
      <alignment horizontal="center" vertical="center"/>
    </xf>
    <xf numFmtId="43" fontId="23" fillId="0" borderId="41" xfId="0" applyNumberFormat="1" applyFont="1" applyBorder="1" applyAlignment="1">
      <alignment horizontal="center" vertical="center"/>
    </xf>
    <xf numFmtId="43" fontId="23" fillId="0" borderId="46" xfId="0" applyNumberFormat="1" applyFont="1" applyBorder="1" applyAlignment="1">
      <alignment horizontal="center" vertical="center"/>
    </xf>
    <xf numFmtId="43" fontId="23" fillId="0" borderId="47" xfId="0" applyNumberFormat="1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7" fillId="16" borderId="40" xfId="0" applyFont="1" applyFill="1" applyBorder="1" applyAlignment="1">
      <alignment horizontal="center" vertical="center"/>
    </xf>
    <xf numFmtId="1" fontId="27" fillId="12" borderId="41" xfId="0" applyNumberFormat="1" applyFont="1" applyFill="1" applyBorder="1" applyAlignment="1">
      <alignment horizontal="center" vertical="center"/>
    </xf>
    <xf numFmtId="2" fontId="28" fillId="0" borderId="40" xfId="0" applyNumberFormat="1" applyFont="1" applyBorder="1" applyAlignment="1">
      <alignment horizontal="center" vertical="center"/>
    </xf>
    <xf numFmtId="2" fontId="28" fillId="0" borderId="41" xfId="0" applyNumberFormat="1" applyFont="1" applyBorder="1" applyAlignment="1">
      <alignment horizontal="center" vertical="center"/>
    </xf>
    <xf numFmtId="0" fontId="27" fillId="16" borderId="46" xfId="0" applyFont="1" applyFill="1" applyBorder="1" applyAlignment="1">
      <alignment horizontal="center" vertical="center"/>
    </xf>
    <xf numFmtId="1" fontId="27" fillId="12" borderId="47" xfId="0" applyNumberFormat="1" applyFont="1" applyFill="1" applyBorder="1" applyAlignment="1">
      <alignment horizontal="center" vertical="center"/>
    </xf>
    <xf numFmtId="43" fontId="23" fillId="0" borderId="0" xfId="8" applyFont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166" fontId="28" fillId="0" borderId="42" xfId="0" applyNumberFormat="1" applyFont="1" applyBorder="1" applyAlignment="1">
      <alignment horizontal="center" vertical="center"/>
    </xf>
    <xf numFmtId="166" fontId="28" fillId="0" borderId="43" xfId="0" applyNumberFormat="1" applyFont="1" applyBorder="1" applyAlignment="1">
      <alignment horizontal="center" vertical="center"/>
    </xf>
    <xf numFmtId="0" fontId="27" fillId="17" borderId="40" xfId="0" applyFont="1" applyFill="1" applyBorder="1" applyAlignment="1">
      <alignment horizontal="center" vertical="center"/>
    </xf>
    <xf numFmtId="2" fontId="29" fillId="0" borderId="40" xfId="0" applyNumberFormat="1" applyFont="1" applyBorder="1" applyAlignment="1">
      <alignment horizontal="center" vertical="center"/>
    </xf>
    <xf numFmtId="2" fontId="29" fillId="0" borderId="41" xfId="0" applyNumberFormat="1" applyFont="1" applyBorder="1" applyAlignment="1">
      <alignment horizontal="center" vertical="center"/>
    </xf>
    <xf numFmtId="0" fontId="27" fillId="17" borderId="46" xfId="0" applyFont="1" applyFill="1" applyBorder="1" applyAlignment="1">
      <alignment horizontal="center" vertical="center"/>
    </xf>
    <xf numFmtId="2" fontId="29" fillId="0" borderId="46" xfId="0" applyNumberFormat="1" applyFont="1" applyBorder="1" applyAlignment="1">
      <alignment horizontal="center" vertical="center"/>
    </xf>
    <xf numFmtId="2" fontId="29" fillId="0" borderId="47" xfId="0" applyNumberFormat="1" applyFont="1" applyBorder="1" applyAlignment="1">
      <alignment horizontal="center" vertical="center"/>
    </xf>
    <xf numFmtId="0" fontId="26" fillId="10" borderId="39" xfId="0" applyFont="1" applyFill="1" applyBorder="1" applyAlignment="1">
      <alignment horizontal="center" vertical="center"/>
    </xf>
    <xf numFmtId="0" fontId="26" fillId="10" borderId="40" xfId="0" applyFont="1" applyFill="1" applyBorder="1" applyAlignment="1">
      <alignment horizontal="center" vertical="center"/>
    </xf>
    <xf numFmtId="0" fontId="26" fillId="10" borderId="41" xfId="0" applyFont="1" applyFill="1" applyBorder="1" applyAlignment="1">
      <alignment horizontal="center" vertical="center"/>
    </xf>
    <xf numFmtId="0" fontId="30" fillId="5" borderId="27" xfId="3" applyFont="1" applyFill="1" applyBorder="1" applyAlignment="1">
      <alignment horizontal="center" vertical="center" readingOrder="2"/>
    </xf>
    <xf numFmtId="0" fontId="30" fillId="5" borderId="29" xfId="3" applyFont="1" applyFill="1" applyBorder="1" applyAlignment="1">
      <alignment horizontal="center" vertical="center" readingOrder="2"/>
    </xf>
    <xf numFmtId="0" fontId="30" fillId="5" borderId="30" xfId="3" applyFont="1" applyFill="1" applyBorder="1" applyAlignment="1">
      <alignment horizontal="center" vertical="center" readingOrder="2"/>
    </xf>
    <xf numFmtId="0" fontId="30" fillId="5" borderId="31" xfId="3" applyFont="1" applyFill="1" applyBorder="1" applyAlignment="1">
      <alignment horizontal="center" vertical="center" readingOrder="2"/>
    </xf>
    <xf numFmtId="3" fontId="23" fillId="0" borderId="0" xfId="0" applyNumberFormat="1" applyFont="1" applyAlignment="1">
      <alignment horizontal="center" vertical="center"/>
    </xf>
    <xf numFmtId="9" fontId="31" fillId="6" borderId="9" xfId="0" applyNumberFormat="1" applyFont="1" applyFill="1" applyBorder="1" applyAlignment="1">
      <alignment horizontal="center" vertical="center" readingOrder="1"/>
    </xf>
    <xf numFmtId="9" fontId="31" fillId="6" borderId="0" xfId="0" applyNumberFormat="1" applyFont="1" applyFill="1" applyAlignment="1">
      <alignment horizontal="center" vertical="center" readingOrder="1"/>
    </xf>
    <xf numFmtId="3" fontId="10" fillId="18" borderId="0" xfId="3" applyNumberFormat="1" applyFont="1" applyFill="1" applyBorder="1" applyAlignment="1">
      <alignment horizontal="right" vertical="center" indent="1" readingOrder="2"/>
    </xf>
    <xf numFmtId="3" fontId="17" fillId="2" borderId="1" xfId="3" applyNumberFormat="1" applyFont="1" applyFill="1" applyBorder="1" applyAlignment="1">
      <alignment horizontal="center" vertical="center" wrapText="1"/>
    </xf>
    <xf numFmtId="3" fontId="9" fillId="4" borderId="16" xfId="3" applyNumberFormat="1" applyFont="1" applyFill="1" applyBorder="1" applyAlignment="1">
      <alignment horizontal="right" vertical="center" indent="1" readingOrder="2"/>
    </xf>
    <xf numFmtId="3" fontId="9" fillId="4" borderId="17" xfId="3" applyNumberFormat="1" applyFont="1" applyFill="1" applyBorder="1" applyAlignment="1">
      <alignment horizontal="right" vertical="center" indent="1" readingOrder="2"/>
    </xf>
    <xf numFmtId="3" fontId="9" fillId="4" borderId="34" xfId="3" applyNumberFormat="1" applyFont="1" applyFill="1" applyBorder="1" applyAlignment="1">
      <alignment horizontal="right" vertical="center" indent="1" readingOrder="2"/>
    </xf>
    <xf numFmtId="9" fontId="21" fillId="5" borderId="54" xfId="5" applyFont="1" applyFill="1" applyBorder="1" applyAlignment="1">
      <alignment horizontal="center" vertical="center" readingOrder="1"/>
    </xf>
    <xf numFmtId="9" fontId="21" fillId="5" borderId="55" xfId="7" applyFont="1" applyFill="1" applyBorder="1" applyAlignment="1">
      <alignment horizontal="center" vertical="center" readingOrder="1"/>
    </xf>
    <xf numFmtId="9" fontId="21" fillId="5" borderId="55" xfId="5" applyFont="1" applyFill="1" applyBorder="1" applyAlignment="1">
      <alignment horizontal="center" vertical="center" readingOrder="1"/>
    </xf>
    <xf numFmtId="9" fontId="21" fillId="5" borderId="56" xfId="7" applyFont="1" applyFill="1" applyBorder="1" applyAlignment="1">
      <alignment horizontal="center" vertical="center" readingOrder="1"/>
    </xf>
    <xf numFmtId="9" fontId="21" fillId="5" borderId="54" xfId="7" applyFont="1" applyFill="1" applyBorder="1" applyAlignment="1">
      <alignment horizontal="center" vertical="center" readingOrder="1"/>
    </xf>
    <xf numFmtId="9" fontId="21" fillId="5" borderId="56" xfId="5" applyFont="1" applyFill="1" applyBorder="1" applyAlignment="1">
      <alignment horizontal="center" vertical="center" readingOrder="1"/>
    </xf>
    <xf numFmtId="0" fontId="18" fillId="3" borderId="6" xfId="3" applyFont="1" applyFill="1" applyBorder="1" applyAlignment="1">
      <alignment horizontal="center" vertical="center" wrapText="1" readingOrder="2"/>
    </xf>
    <xf numFmtId="3" fontId="32" fillId="5" borderId="23" xfId="3" applyNumberFormat="1" applyFont="1" applyFill="1" applyBorder="1" applyAlignment="1">
      <alignment horizontal="right" vertical="center" indent="1" readingOrder="2"/>
    </xf>
    <xf numFmtId="3" fontId="32" fillId="5" borderId="14" xfId="3" applyNumberFormat="1" applyFont="1" applyFill="1" applyBorder="1" applyAlignment="1">
      <alignment horizontal="right" vertical="center" indent="1" readingOrder="2"/>
    </xf>
    <xf numFmtId="3" fontId="32" fillId="5" borderId="24" xfId="3" applyNumberFormat="1" applyFont="1" applyFill="1" applyBorder="1" applyAlignment="1">
      <alignment horizontal="right" vertical="center" indent="1" readingOrder="2"/>
    </xf>
    <xf numFmtId="3" fontId="32" fillId="5" borderId="0" xfId="3" applyNumberFormat="1" applyFont="1" applyFill="1" applyBorder="1" applyAlignment="1">
      <alignment horizontal="right" vertical="center" indent="1" readingOrder="2"/>
    </xf>
    <xf numFmtId="3" fontId="32" fillId="5" borderId="35" xfId="3" applyNumberFormat="1" applyFont="1" applyFill="1" applyBorder="1" applyAlignment="1">
      <alignment horizontal="right" vertical="center" indent="1" readingOrder="2"/>
    </xf>
    <xf numFmtId="3" fontId="32" fillId="5" borderId="32" xfId="3" applyNumberFormat="1" applyFont="1" applyFill="1" applyBorder="1" applyAlignment="1">
      <alignment horizontal="right" vertical="center" indent="1" readingOrder="2"/>
    </xf>
    <xf numFmtId="9" fontId="33" fillId="5" borderId="17" xfId="1" applyFont="1" applyFill="1" applyBorder="1" applyAlignment="1">
      <alignment horizontal="center" vertical="center"/>
    </xf>
    <xf numFmtId="9" fontId="33" fillId="5" borderId="16" xfId="1" applyFont="1" applyFill="1" applyBorder="1" applyAlignment="1">
      <alignment horizontal="center" vertical="center"/>
    </xf>
    <xf numFmtId="9" fontId="33" fillId="5" borderId="34" xfId="1" applyFont="1" applyFill="1" applyBorder="1" applyAlignment="1">
      <alignment horizontal="center" vertical="center"/>
    </xf>
    <xf numFmtId="3" fontId="35" fillId="5" borderId="14" xfId="3" applyNumberFormat="1" applyFont="1" applyFill="1" applyBorder="1" applyAlignment="1">
      <alignment horizontal="right" vertical="center" indent="1" readingOrder="2"/>
    </xf>
    <xf numFmtId="164" fontId="15" fillId="5" borderId="0" xfId="3" applyNumberFormat="1" applyFont="1" applyFill="1" applyBorder="1" applyAlignment="1">
      <alignment horizontal="center" vertical="center" shrinkToFit="1"/>
    </xf>
    <xf numFmtId="164" fontId="15" fillId="5" borderId="14" xfId="3" applyNumberFormat="1" applyFont="1" applyFill="1" applyBorder="1" applyAlignment="1">
      <alignment horizontal="center" vertical="center" shrinkToFit="1"/>
    </xf>
    <xf numFmtId="164" fontId="15" fillId="5" borderId="32" xfId="3" applyNumberFormat="1" applyFont="1" applyFill="1" applyBorder="1" applyAlignment="1">
      <alignment horizontal="center" vertical="center" shrinkToFit="1"/>
    </xf>
    <xf numFmtId="3" fontId="35" fillId="5" borderId="0" xfId="3" applyNumberFormat="1" applyFont="1" applyFill="1" applyBorder="1" applyAlignment="1">
      <alignment horizontal="right" vertical="center" indent="1" readingOrder="2"/>
    </xf>
    <xf numFmtId="0" fontId="2" fillId="5" borderId="0" xfId="2" applyFont="1" applyFill="1"/>
    <xf numFmtId="0" fontId="1" fillId="5" borderId="0" xfId="2" applyFill="1"/>
    <xf numFmtId="0" fontId="36" fillId="5" borderId="0" xfId="2" applyFont="1" applyFill="1" applyAlignment="1">
      <alignment horizontal="right" vertical="center" indent="1"/>
    </xf>
    <xf numFmtId="0" fontId="30" fillId="19" borderId="31" xfId="3" applyFont="1" applyFill="1" applyBorder="1" applyAlignment="1">
      <alignment horizontal="center" vertical="center" readingOrder="2"/>
    </xf>
    <xf numFmtId="9" fontId="21" fillId="19" borderId="33" xfId="5" applyFont="1" applyFill="1" applyBorder="1" applyAlignment="1">
      <alignment horizontal="center" vertical="center" readingOrder="1"/>
    </xf>
    <xf numFmtId="9" fontId="21" fillId="19" borderId="32" xfId="5" applyFont="1" applyFill="1" applyBorder="1" applyAlignment="1">
      <alignment horizontal="center" vertical="center" readingOrder="1"/>
    </xf>
    <xf numFmtId="9" fontId="21" fillId="19" borderId="56" xfId="5" applyFont="1" applyFill="1" applyBorder="1" applyAlignment="1">
      <alignment horizontal="center" vertical="center" readingOrder="1"/>
    </xf>
    <xf numFmtId="3" fontId="32" fillId="19" borderId="35" xfId="3" applyNumberFormat="1" applyFont="1" applyFill="1" applyBorder="1" applyAlignment="1">
      <alignment horizontal="right" vertical="center" indent="1" readingOrder="2"/>
    </xf>
    <xf numFmtId="3" fontId="32" fillId="19" borderId="32" xfId="3" applyNumberFormat="1" applyFont="1" applyFill="1" applyBorder="1" applyAlignment="1">
      <alignment horizontal="right" vertical="center" indent="1" readingOrder="2"/>
    </xf>
    <xf numFmtId="9" fontId="33" fillId="19" borderId="34" xfId="1" applyFont="1" applyFill="1" applyBorder="1" applyAlignment="1">
      <alignment horizontal="center" vertical="center"/>
    </xf>
    <xf numFmtId="164" fontId="15" fillId="19" borderId="32" xfId="3" applyNumberFormat="1" applyFont="1" applyFill="1" applyBorder="1" applyAlignment="1">
      <alignment horizontal="center" vertical="center" shrinkToFit="1"/>
    </xf>
    <xf numFmtId="3" fontId="7" fillId="19" borderId="32" xfId="3" applyNumberFormat="1" applyFont="1" applyFill="1" applyBorder="1" applyAlignment="1">
      <alignment horizontal="center" vertical="center" shrinkToFit="1"/>
    </xf>
    <xf numFmtId="3" fontId="22" fillId="19" borderId="32" xfId="3" applyNumberFormat="1" applyFont="1" applyFill="1" applyBorder="1" applyAlignment="1">
      <alignment horizontal="center" vertical="center" shrinkToFit="1"/>
    </xf>
    <xf numFmtId="4" fontId="22" fillId="19" borderId="32" xfId="3" applyNumberFormat="1" applyFont="1" applyFill="1" applyBorder="1" applyAlignment="1">
      <alignment horizontal="center" vertical="center" shrinkToFit="1"/>
    </xf>
    <xf numFmtId="3" fontId="37" fillId="19" borderId="34" xfId="3" applyNumberFormat="1" applyFont="1" applyFill="1" applyBorder="1" applyAlignment="1">
      <alignment horizontal="center" vertical="center" readingOrder="2"/>
    </xf>
    <xf numFmtId="3" fontId="13" fillId="8" borderId="57" xfId="0" applyNumberFormat="1" applyFont="1" applyFill="1" applyBorder="1" applyAlignment="1">
      <alignment horizontal="center" vertical="center"/>
    </xf>
    <xf numFmtId="3" fontId="14" fillId="9" borderId="26" xfId="0" applyNumberFormat="1" applyFont="1" applyFill="1" applyBorder="1" applyAlignment="1">
      <alignment horizontal="center" vertical="center"/>
    </xf>
    <xf numFmtId="3" fontId="13" fillId="8" borderId="58" xfId="0" applyNumberFormat="1" applyFont="1" applyFill="1" applyBorder="1" applyAlignment="1">
      <alignment horizontal="center" vertical="center"/>
    </xf>
    <xf numFmtId="3" fontId="14" fillId="9" borderId="17" xfId="0" applyNumberFormat="1" applyFont="1" applyFill="1" applyBorder="1" applyAlignment="1">
      <alignment horizontal="center" vertical="center"/>
    </xf>
    <xf numFmtId="3" fontId="9" fillId="4" borderId="16" xfId="3" applyNumberFormat="1" applyFont="1" applyFill="1" applyBorder="1" applyAlignment="1">
      <alignment horizontal="right" vertical="center" indent="2" readingOrder="2"/>
    </xf>
    <xf numFmtId="3" fontId="9" fillId="4" borderId="17" xfId="3" applyNumberFormat="1" applyFont="1" applyFill="1" applyBorder="1" applyAlignment="1">
      <alignment horizontal="right" vertical="center" indent="2" readingOrder="2"/>
    </xf>
    <xf numFmtId="3" fontId="9" fillId="4" borderId="34" xfId="3" applyNumberFormat="1" applyFont="1" applyFill="1" applyBorder="1" applyAlignment="1">
      <alignment horizontal="right" vertical="center" indent="2" readingOrder="2"/>
    </xf>
    <xf numFmtId="3" fontId="41" fillId="5" borderId="24" xfId="3" applyNumberFormat="1" applyFont="1" applyFill="1" applyBorder="1" applyAlignment="1">
      <alignment horizontal="right" vertical="center" indent="1" readingOrder="2"/>
    </xf>
    <xf numFmtId="3" fontId="41" fillId="5" borderId="23" xfId="3" applyNumberFormat="1" applyFont="1" applyFill="1" applyBorder="1" applyAlignment="1">
      <alignment horizontal="right" vertical="center" indent="1" readingOrder="2"/>
    </xf>
    <xf numFmtId="3" fontId="41" fillId="5" borderId="0" xfId="3" applyNumberFormat="1" applyFont="1" applyFill="1" applyBorder="1" applyAlignment="1">
      <alignment horizontal="right" vertical="center" indent="1" readingOrder="2"/>
    </xf>
    <xf numFmtId="3" fontId="41" fillId="5" borderId="14" xfId="3" applyNumberFormat="1" applyFont="1" applyFill="1" applyBorder="1" applyAlignment="1">
      <alignment horizontal="right" vertical="center" indent="1" readingOrder="2"/>
    </xf>
    <xf numFmtId="0" fontId="27" fillId="17" borderId="39" xfId="0" applyFont="1" applyFill="1" applyBorder="1" applyAlignment="1">
      <alignment horizontal="center" vertical="center"/>
    </xf>
    <xf numFmtId="0" fontId="27" fillId="17" borderId="40" xfId="0" applyFont="1" applyFill="1" applyBorder="1" applyAlignment="1">
      <alignment horizontal="center" vertical="center"/>
    </xf>
    <xf numFmtId="0" fontId="27" fillId="17" borderId="45" xfId="0" applyFont="1" applyFill="1" applyBorder="1" applyAlignment="1">
      <alignment horizontal="center" vertical="center"/>
    </xf>
    <xf numFmtId="0" fontId="27" fillId="17" borderId="46" xfId="0" applyFont="1" applyFill="1" applyBorder="1" applyAlignment="1">
      <alignment horizontal="center" vertical="center"/>
    </xf>
    <xf numFmtId="0" fontId="27" fillId="16" borderId="36" xfId="0" applyFont="1" applyFill="1" applyBorder="1" applyAlignment="1">
      <alignment horizontal="center" vertical="center"/>
    </xf>
    <xf numFmtId="0" fontId="27" fillId="16" borderId="37" xfId="0" applyFont="1" applyFill="1" applyBorder="1" applyAlignment="1">
      <alignment horizontal="center" vertical="center"/>
    </xf>
    <xf numFmtId="0" fontId="27" fillId="16" borderId="38" xfId="0" applyFont="1" applyFill="1" applyBorder="1" applyAlignment="1">
      <alignment horizontal="center" vertical="center"/>
    </xf>
    <xf numFmtId="0" fontId="27" fillId="16" borderId="39" xfId="0" applyFont="1" applyFill="1" applyBorder="1" applyAlignment="1">
      <alignment horizontal="center" vertical="center"/>
    </xf>
    <xf numFmtId="0" fontId="27" fillId="16" borderId="40" xfId="0" applyFont="1" applyFill="1" applyBorder="1" applyAlignment="1">
      <alignment horizontal="center" vertical="center"/>
    </xf>
    <xf numFmtId="0" fontId="27" fillId="16" borderId="41" xfId="0" applyFont="1" applyFill="1" applyBorder="1" applyAlignment="1">
      <alignment horizontal="center" vertical="center"/>
    </xf>
    <xf numFmtId="0" fontId="27" fillId="16" borderId="45" xfId="0" applyFont="1" applyFill="1" applyBorder="1" applyAlignment="1">
      <alignment horizontal="center" vertical="center"/>
    </xf>
    <xf numFmtId="0" fontId="27" fillId="16" borderId="46" xfId="0" applyFont="1" applyFill="1" applyBorder="1" applyAlignment="1">
      <alignment horizontal="center" vertical="center"/>
    </xf>
    <xf numFmtId="0" fontId="27" fillId="17" borderId="36" xfId="0" applyFont="1" applyFill="1" applyBorder="1" applyAlignment="1">
      <alignment horizontal="center" vertical="center"/>
    </xf>
    <xf numFmtId="0" fontId="27" fillId="17" borderId="37" xfId="0" applyFont="1" applyFill="1" applyBorder="1" applyAlignment="1">
      <alignment horizontal="center" vertical="center"/>
    </xf>
    <xf numFmtId="0" fontId="27" fillId="17" borderId="38" xfId="0" applyFont="1" applyFill="1" applyBorder="1" applyAlignment="1">
      <alignment horizontal="center" vertical="center"/>
    </xf>
    <xf numFmtId="0" fontId="27" fillId="17" borderId="41" xfId="0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43" fillId="3" borderId="1" xfId="0" applyFont="1" applyFill="1" applyBorder="1" applyAlignment="1">
      <alignment horizontal="center" vertical="top" wrapText="1"/>
    </xf>
    <xf numFmtId="0" fontId="44" fillId="3" borderId="61" xfId="0" applyFont="1" applyFill="1" applyBorder="1" applyAlignment="1">
      <alignment horizontal="center" vertical="top" wrapText="1"/>
    </xf>
    <xf numFmtId="0" fontId="46" fillId="3" borderId="6" xfId="0" applyFont="1" applyFill="1" applyBorder="1" applyAlignment="1">
      <alignment horizontal="center" vertical="center"/>
    </xf>
    <xf numFmtId="0" fontId="47" fillId="3" borderId="62" xfId="0" applyFont="1" applyFill="1" applyBorder="1" applyAlignment="1">
      <alignment horizontal="center"/>
    </xf>
    <xf numFmtId="0" fontId="47" fillId="3" borderId="63" xfId="0" applyFont="1" applyFill="1" applyBorder="1" applyAlignment="1">
      <alignment horizontal="center"/>
    </xf>
    <xf numFmtId="0" fontId="29" fillId="3" borderId="1" xfId="8" applyNumberFormat="1" applyFont="1" applyFill="1" applyBorder="1" applyAlignment="1">
      <alignment horizontal="center" vertical="center"/>
    </xf>
    <xf numFmtId="3" fontId="29" fillId="5" borderId="3" xfId="0" applyNumberFormat="1" applyFont="1" applyFill="1" applyBorder="1" applyAlignment="1">
      <alignment horizontal="center" vertical="center"/>
    </xf>
    <xf numFmtId="166" fontId="49" fillId="5" borderId="9" xfId="0" applyNumberFormat="1" applyFont="1" applyFill="1" applyBorder="1" applyAlignment="1">
      <alignment horizontal="right" vertical="center" indent="1"/>
    </xf>
    <xf numFmtId="0" fontId="29" fillId="3" borderId="0" xfId="8" applyNumberFormat="1" applyFont="1" applyFill="1" applyAlignment="1">
      <alignment horizontal="center" vertical="center"/>
    </xf>
    <xf numFmtId="3" fontId="29" fillId="5" borderId="64" xfId="0" applyNumberFormat="1" applyFont="1" applyFill="1" applyBorder="1" applyAlignment="1">
      <alignment horizontal="center" vertical="center"/>
    </xf>
    <xf numFmtId="0" fontId="29" fillId="3" borderId="14" xfId="8" applyNumberFormat="1" applyFont="1" applyFill="1" applyBorder="1" applyAlignment="1">
      <alignment horizontal="center" vertical="center"/>
    </xf>
    <xf numFmtId="3" fontId="29" fillId="5" borderId="65" xfId="0" applyNumberFormat="1" applyFont="1" applyFill="1" applyBorder="1" applyAlignment="1">
      <alignment horizontal="center" vertical="center"/>
    </xf>
    <xf numFmtId="166" fontId="49" fillId="5" borderId="13" xfId="0" applyNumberFormat="1" applyFont="1" applyFill="1" applyBorder="1" applyAlignment="1">
      <alignment horizontal="right" vertical="center" indent="1"/>
    </xf>
    <xf numFmtId="0" fontId="29" fillId="3" borderId="0" xfId="8" applyNumberFormat="1" applyFont="1" applyFill="1" applyBorder="1" applyAlignment="1">
      <alignment horizontal="center" vertical="center"/>
    </xf>
    <xf numFmtId="0" fontId="29" fillId="3" borderId="32" xfId="8" applyNumberFormat="1" applyFont="1" applyFill="1" applyBorder="1" applyAlignment="1">
      <alignment horizontal="center" vertical="center"/>
    </xf>
    <xf numFmtId="3" fontId="29" fillId="5" borderId="66" xfId="0" applyNumberFormat="1" applyFont="1" applyFill="1" applyBorder="1" applyAlignment="1">
      <alignment horizontal="center" vertical="center"/>
    </xf>
    <xf numFmtId="166" fontId="49" fillId="5" borderId="33" xfId="0" applyNumberFormat="1" applyFont="1" applyFill="1" applyBorder="1" applyAlignment="1">
      <alignment horizontal="right" vertical="center" indent="1"/>
    </xf>
    <xf numFmtId="3" fontId="29" fillId="5" borderId="0" xfId="0" applyNumberFormat="1" applyFont="1" applyFill="1" applyAlignment="1">
      <alignment horizontal="center" vertical="center"/>
    </xf>
    <xf numFmtId="0" fontId="29" fillId="3" borderId="6" xfId="8" applyNumberFormat="1" applyFont="1" applyFill="1" applyBorder="1" applyAlignment="1">
      <alignment horizontal="center" vertical="center"/>
    </xf>
    <xf numFmtId="3" fontId="29" fillId="5" borderId="6" xfId="0" applyNumberFormat="1" applyFont="1" applyFill="1" applyBorder="1" applyAlignment="1">
      <alignment horizontal="center" vertical="center"/>
    </xf>
    <xf numFmtId="166" fontId="49" fillId="5" borderId="7" xfId="0" applyNumberFormat="1" applyFont="1" applyFill="1" applyBorder="1" applyAlignment="1">
      <alignment horizontal="right" vertical="center" indent="1"/>
    </xf>
    <xf numFmtId="0" fontId="50" fillId="16" borderId="6" xfId="3" applyFont="1" applyFill="1" applyBorder="1" applyAlignment="1">
      <alignment horizontal="center" vertical="center" shrinkToFit="1"/>
    </xf>
    <xf numFmtId="3" fontId="51" fillId="16" borderId="6" xfId="3" applyNumberFormat="1" applyFont="1" applyFill="1" applyBorder="1" applyAlignment="1">
      <alignment horizontal="center" vertical="center" shrinkToFit="1"/>
    </xf>
    <xf numFmtId="3" fontId="51" fillId="16" borderId="7" xfId="3" applyNumberFormat="1" applyFont="1" applyFill="1" applyBorder="1" applyAlignment="1">
      <alignment horizontal="center" vertical="center" shrinkToFit="1"/>
    </xf>
    <xf numFmtId="0" fontId="44" fillId="3" borderId="59" xfId="0" applyFont="1" applyFill="1" applyBorder="1" applyAlignment="1">
      <alignment horizontal="center" vertical="top" wrapText="1"/>
    </xf>
    <xf numFmtId="0" fontId="44" fillId="3" borderId="60" xfId="0" applyFont="1" applyFill="1" applyBorder="1" applyAlignment="1">
      <alignment horizontal="center" vertical="top" wrapText="1"/>
    </xf>
    <xf numFmtId="164" fontId="52" fillId="5" borderId="14" xfId="3" applyNumberFormat="1" applyFont="1" applyFill="1" applyBorder="1" applyAlignment="1">
      <alignment horizontal="right" vertical="center" indent="1" readingOrder="2"/>
    </xf>
    <xf numFmtId="164" fontId="52" fillId="5" borderId="0" xfId="3" applyNumberFormat="1" applyFont="1" applyFill="1" applyBorder="1" applyAlignment="1">
      <alignment horizontal="right" vertical="center" indent="1" readingOrder="2"/>
    </xf>
    <xf numFmtId="164" fontId="52" fillId="5" borderId="32" xfId="3" applyNumberFormat="1" applyFont="1" applyFill="1" applyBorder="1" applyAlignment="1">
      <alignment horizontal="right" vertical="center" indent="1" readingOrder="2"/>
    </xf>
    <xf numFmtId="3" fontId="52" fillId="5" borderId="14" xfId="3" applyNumberFormat="1" applyFont="1" applyFill="1" applyBorder="1" applyAlignment="1">
      <alignment horizontal="right" vertical="center" indent="1" readingOrder="2"/>
    </xf>
    <xf numFmtId="3" fontId="52" fillId="5" borderId="0" xfId="3" applyNumberFormat="1" applyFont="1" applyFill="1" applyBorder="1" applyAlignment="1">
      <alignment horizontal="right" vertical="center" indent="1" readingOrder="2"/>
    </xf>
    <xf numFmtId="3" fontId="52" fillId="5" borderId="32" xfId="3" applyNumberFormat="1" applyFont="1" applyFill="1" applyBorder="1" applyAlignment="1">
      <alignment horizontal="right" vertical="center" indent="1" readingOrder="2"/>
    </xf>
    <xf numFmtId="0" fontId="17" fillId="3" borderId="10" xfId="3" applyFont="1" applyFill="1" applyBorder="1" applyAlignment="1">
      <alignment horizontal="center" vertical="center" wrapText="1" readingOrder="2"/>
    </xf>
    <xf numFmtId="164" fontId="53" fillId="5" borderId="14" xfId="3" applyNumberFormat="1" applyFont="1" applyFill="1" applyBorder="1" applyAlignment="1">
      <alignment horizontal="right" vertical="center" indent="1" readingOrder="2"/>
    </xf>
    <xf numFmtId="164" fontId="53" fillId="5" borderId="0" xfId="3" applyNumberFormat="1" applyFont="1" applyFill="1" applyBorder="1" applyAlignment="1">
      <alignment horizontal="right" vertical="center" indent="1" readingOrder="2"/>
    </xf>
    <xf numFmtId="164" fontId="53" fillId="5" borderId="32" xfId="3" applyNumberFormat="1" applyFont="1" applyFill="1" applyBorder="1" applyAlignment="1">
      <alignment horizontal="right" vertical="center" indent="1" readingOrder="2"/>
    </xf>
    <xf numFmtId="3" fontId="53" fillId="5" borderId="14" xfId="3" applyNumberFormat="1" applyFont="1" applyFill="1" applyBorder="1" applyAlignment="1">
      <alignment horizontal="right" vertical="center" indent="1" readingOrder="2"/>
    </xf>
    <xf numFmtId="3" fontId="53" fillId="5" borderId="0" xfId="3" applyNumberFormat="1" applyFont="1" applyFill="1" applyBorder="1" applyAlignment="1">
      <alignment horizontal="right" vertical="center" indent="1" readingOrder="2"/>
    </xf>
    <xf numFmtId="3" fontId="53" fillId="5" borderId="32" xfId="3" applyNumberFormat="1" applyFont="1" applyFill="1" applyBorder="1" applyAlignment="1">
      <alignment horizontal="right" vertical="center" indent="1" readingOrder="2"/>
    </xf>
    <xf numFmtId="164" fontId="55" fillId="20" borderId="67" xfId="0" applyNumberFormat="1" applyFont="1" applyFill="1" applyBorder="1" applyAlignment="1">
      <alignment horizontal="right" vertical="center" indent="2"/>
    </xf>
    <xf numFmtId="164" fontId="55" fillId="20" borderId="68" xfId="0" applyNumberFormat="1" applyFont="1" applyFill="1" applyBorder="1" applyAlignment="1">
      <alignment horizontal="right" vertical="center" indent="2"/>
    </xf>
    <xf numFmtId="164" fontId="55" fillId="20" borderId="69" xfId="0" applyNumberFormat="1" applyFont="1" applyFill="1" applyBorder="1" applyAlignment="1">
      <alignment horizontal="right" vertical="center" indent="2"/>
    </xf>
    <xf numFmtId="168" fontId="56" fillId="5" borderId="6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57" fillId="3" borderId="1" xfId="0" applyFont="1" applyFill="1" applyBorder="1" applyAlignment="1">
      <alignment horizontal="center" vertical="center"/>
    </xf>
    <xf numFmtId="0" fontId="57" fillId="3" borderId="6" xfId="0" applyFont="1" applyFill="1" applyBorder="1" applyAlignment="1">
      <alignment horizontal="center" vertical="center"/>
    </xf>
    <xf numFmtId="0" fontId="19" fillId="21" borderId="70" xfId="0" applyFont="1" applyFill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2" fontId="20" fillId="22" borderId="71" xfId="0" applyNumberFormat="1" applyFont="1" applyFill="1" applyBorder="1" applyAlignment="1">
      <alignment horizontal="center" vertical="center"/>
    </xf>
    <xf numFmtId="2" fontId="58" fillId="23" borderId="0" xfId="9" applyNumberFormat="1" applyFont="1" applyFill="1" applyAlignment="1">
      <alignment horizontal="right" vertical="center" indent="1"/>
    </xf>
    <xf numFmtId="2" fontId="58" fillId="24" borderId="1" xfId="9" applyNumberFormat="1" applyFont="1" applyFill="1" applyBorder="1" applyAlignment="1">
      <alignment horizontal="right" vertical="center" indent="1"/>
    </xf>
    <xf numFmtId="2" fontId="58" fillId="24" borderId="0" xfId="9" applyNumberFormat="1" applyFont="1" applyFill="1" applyAlignment="1">
      <alignment horizontal="right" vertical="center" indent="1"/>
    </xf>
    <xf numFmtId="2" fontId="58" fillId="10" borderId="0" xfId="9" applyNumberFormat="1" applyFont="1" applyFill="1" applyAlignment="1">
      <alignment horizontal="right" vertical="center" indent="1"/>
    </xf>
    <xf numFmtId="2" fontId="58" fillId="17" borderId="1" xfId="9" applyNumberFormat="1" applyFont="1" applyFill="1" applyBorder="1" applyAlignment="1">
      <alignment horizontal="right" vertical="center" indent="1"/>
    </xf>
    <xf numFmtId="2" fontId="58" fillId="25" borderId="0" xfId="9" applyNumberFormat="1" applyFont="1" applyFill="1" applyAlignment="1">
      <alignment horizontal="right" vertical="center" indent="1"/>
    </xf>
    <xf numFmtId="2" fontId="58" fillId="26" borderId="0" xfId="9" applyNumberFormat="1" applyFont="1" applyFill="1" applyAlignment="1">
      <alignment horizontal="right" vertical="center" indent="1"/>
    </xf>
    <xf numFmtId="2" fontId="16" fillId="27" borderId="6" xfId="0" applyNumberFormat="1" applyFont="1" applyFill="1" applyBorder="1" applyAlignment="1">
      <alignment horizontal="right" vertical="center" indent="1"/>
    </xf>
    <xf numFmtId="0" fontId="59" fillId="5" borderId="0" xfId="0" applyFont="1" applyFill="1" applyAlignment="1">
      <alignment vertical="center"/>
    </xf>
    <xf numFmtId="0" fontId="60" fillId="5" borderId="0" xfId="0" applyFont="1" applyFill="1" applyAlignment="1">
      <alignment vertical="center"/>
    </xf>
    <xf numFmtId="168" fontId="62" fillId="3" borderId="1" xfId="10" applyNumberFormat="1" applyFont="1" applyFill="1" applyBorder="1" applyAlignment="1">
      <alignment horizontal="center" vertical="center" wrapText="1"/>
    </xf>
    <xf numFmtId="0" fontId="62" fillId="3" borderId="6" xfId="10" applyNumberFormat="1" applyFont="1" applyFill="1" applyBorder="1" applyAlignment="1">
      <alignment horizontal="center" vertical="center" wrapText="1"/>
    </xf>
    <xf numFmtId="0" fontId="14" fillId="22" borderId="0" xfId="9" applyFont="1" applyFill="1" applyAlignment="1">
      <alignment horizontal="right" vertical="center" indent="1"/>
    </xf>
    <xf numFmtId="0" fontId="18" fillId="5" borderId="0" xfId="0" applyFont="1" applyFill="1" applyAlignment="1">
      <alignment horizontal="center" vertical="center" shrinkToFit="1"/>
    </xf>
    <xf numFmtId="0" fontId="63" fillId="22" borderId="0" xfId="0" applyFont="1" applyFill="1" applyAlignment="1">
      <alignment horizontal="center" vertical="center"/>
    </xf>
    <xf numFmtId="0" fontId="64" fillId="22" borderId="0" xfId="9" applyFont="1" applyFill="1" applyAlignment="1">
      <alignment horizontal="right" vertical="center" indent="1"/>
    </xf>
    <xf numFmtId="2" fontId="51" fillId="22" borderId="1" xfId="9" applyNumberFormat="1" applyFont="1" applyFill="1" applyBorder="1" applyAlignment="1">
      <alignment horizontal="center" vertical="center" readingOrder="1"/>
    </xf>
    <xf numFmtId="0" fontId="14" fillId="23" borderId="0" xfId="9" applyFont="1" applyFill="1" applyAlignment="1">
      <alignment horizontal="right" vertical="center" indent="1"/>
    </xf>
    <xf numFmtId="0" fontId="63" fillId="23" borderId="0" xfId="0" applyFont="1" applyFill="1" applyAlignment="1">
      <alignment horizontal="center" vertical="center"/>
    </xf>
    <xf numFmtId="0" fontId="64" fillId="23" borderId="0" xfId="9" applyFont="1" applyFill="1" applyAlignment="1">
      <alignment horizontal="right" vertical="center" indent="1"/>
    </xf>
    <xf numFmtId="2" fontId="51" fillId="23" borderId="0" xfId="9" applyNumberFormat="1" applyFont="1" applyFill="1" applyAlignment="1">
      <alignment horizontal="center" vertical="center" readingOrder="1"/>
    </xf>
    <xf numFmtId="0" fontId="14" fillId="24" borderId="0" xfId="9" applyFont="1" applyFill="1" applyAlignment="1">
      <alignment horizontal="right" vertical="center" indent="1"/>
    </xf>
    <xf numFmtId="0" fontId="24" fillId="24" borderId="0" xfId="9" applyFont="1" applyFill="1" applyAlignment="1">
      <alignment horizontal="center" vertical="center"/>
    </xf>
    <xf numFmtId="0" fontId="64" fillId="24" borderId="0" xfId="9" applyFont="1" applyFill="1" applyAlignment="1">
      <alignment horizontal="right" vertical="center" indent="1"/>
    </xf>
    <xf numFmtId="2" fontId="51" fillId="24" borderId="0" xfId="9" applyNumberFormat="1" applyFont="1" applyFill="1" applyAlignment="1">
      <alignment horizontal="center" vertical="center" readingOrder="1"/>
    </xf>
    <xf numFmtId="0" fontId="14" fillId="10" borderId="0" xfId="9" applyFont="1" applyFill="1" applyAlignment="1">
      <alignment horizontal="right" vertical="center" indent="1"/>
    </xf>
    <xf numFmtId="0" fontId="24" fillId="10" borderId="0" xfId="9" applyFont="1" applyFill="1" applyAlignment="1">
      <alignment horizontal="center" vertical="center"/>
    </xf>
    <xf numFmtId="0" fontId="64" fillId="10" borderId="0" xfId="9" applyFont="1" applyFill="1" applyAlignment="1">
      <alignment horizontal="right" vertical="center" indent="1"/>
    </xf>
    <xf numFmtId="2" fontId="51" fillId="10" borderId="0" xfId="9" applyNumberFormat="1" applyFont="1" applyFill="1" applyAlignment="1">
      <alignment horizontal="center" vertical="center" readingOrder="1"/>
    </xf>
    <xf numFmtId="0" fontId="5" fillId="25" borderId="0" xfId="9" applyFont="1" applyFill="1" applyAlignment="1">
      <alignment horizontal="right" vertical="center" indent="1"/>
    </xf>
    <xf numFmtId="0" fontId="24" fillId="17" borderId="0" xfId="9" applyFont="1" applyFill="1" applyAlignment="1">
      <alignment horizontal="center" vertical="center"/>
    </xf>
    <xf numFmtId="0" fontId="64" fillId="17" borderId="0" xfId="9" applyFont="1" applyFill="1" applyAlignment="1">
      <alignment horizontal="right" vertical="center" indent="1"/>
    </xf>
    <xf numFmtId="2" fontId="51" fillId="17" borderId="0" xfId="9" applyNumberFormat="1" applyFont="1" applyFill="1" applyAlignment="1">
      <alignment horizontal="center" vertical="center" readingOrder="1"/>
    </xf>
    <xf numFmtId="0" fontId="24" fillId="25" borderId="0" xfId="9" applyFont="1" applyFill="1" applyAlignment="1">
      <alignment horizontal="center" vertical="center"/>
    </xf>
    <xf numFmtId="0" fontId="64" fillId="25" borderId="0" xfId="9" applyFont="1" applyFill="1" applyAlignment="1">
      <alignment horizontal="right" vertical="center" indent="1"/>
    </xf>
    <xf numFmtId="2" fontId="51" fillId="25" borderId="0" xfId="9" applyNumberFormat="1" applyFont="1" applyFill="1" applyAlignment="1">
      <alignment horizontal="center" vertical="center" readingOrder="1"/>
    </xf>
    <xf numFmtId="0" fontId="5" fillId="26" borderId="6" xfId="9" applyFont="1" applyFill="1" applyBorder="1" applyAlignment="1">
      <alignment horizontal="right" vertical="center" indent="1"/>
    </xf>
    <xf numFmtId="0" fontId="60" fillId="27" borderId="1" xfId="0" applyFont="1" applyFill="1" applyBorder="1" applyAlignment="1">
      <alignment horizontal="right" vertical="center" indent="1" readingOrder="2"/>
    </xf>
    <xf numFmtId="0" fontId="24" fillId="26" borderId="0" xfId="9" applyFont="1" applyFill="1" applyAlignment="1">
      <alignment horizontal="center" vertical="center"/>
    </xf>
    <xf numFmtId="0" fontId="64" fillId="26" borderId="0" xfId="9" applyFont="1" applyFill="1" applyAlignment="1">
      <alignment horizontal="right" vertical="center" indent="1"/>
    </xf>
    <xf numFmtId="2" fontId="51" fillId="26" borderId="0" xfId="9" applyNumberFormat="1" applyFont="1" applyFill="1" applyAlignment="1">
      <alignment horizontal="center" vertical="center" readingOrder="1"/>
    </xf>
    <xf numFmtId="0" fontId="60" fillId="27" borderId="6" xfId="0" applyFont="1" applyFill="1" applyBorder="1" applyAlignment="1">
      <alignment horizontal="right" vertical="center" indent="1" readingOrder="2"/>
    </xf>
    <xf numFmtId="0" fontId="63" fillId="27" borderId="0" xfId="0" applyFont="1" applyFill="1" applyAlignment="1">
      <alignment horizontal="center" vertical="center"/>
    </xf>
    <xf numFmtId="0" fontId="17" fillId="27" borderId="0" xfId="0" applyFont="1" applyFill="1" applyAlignment="1">
      <alignment horizontal="right" vertical="center" indent="1"/>
    </xf>
    <xf numFmtId="2" fontId="51" fillId="27" borderId="0" xfId="0" applyNumberFormat="1" applyFont="1" applyFill="1" applyAlignment="1">
      <alignment horizontal="center" vertical="center" readingOrder="1"/>
    </xf>
    <xf numFmtId="0" fontId="19" fillId="5" borderId="0" xfId="0" applyFont="1" applyFill="1" applyAlignment="1">
      <alignment horizontal="right" vertical="center"/>
    </xf>
    <xf numFmtId="0" fontId="63" fillId="7" borderId="6" xfId="0" applyFont="1" applyFill="1" applyBorder="1" applyAlignment="1">
      <alignment horizontal="center" vertical="center"/>
    </xf>
    <xf numFmtId="0" fontId="61" fillId="7" borderId="6" xfId="0" applyFont="1" applyFill="1" applyBorder="1" applyAlignment="1">
      <alignment horizontal="right" vertical="center" indent="1"/>
    </xf>
    <xf numFmtId="2" fontId="34" fillId="7" borderId="6" xfId="0" applyNumberFormat="1" applyFont="1" applyFill="1" applyBorder="1" applyAlignment="1">
      <alignment horizontal="center" vertical="center" readingOrder="1"/>
    </xf>
    <xf numFmtId="168" fontId="56" fillId="10" borderId="6" xfId="0" applyNumberFormat="1" applyFont="1" applyFill="1" applyBorder="1" applyAlignment="1">
      <alignment horizontal="right" vertical="center" indent="1"/>
    </xf>
    <xf numFmtId="0" fontId="0" fillId="10" borderId="0" xfId="0" applyFill="1"/>
    <xf numFmtId="164" fontId="66" fillId="29" borderId="72" xfId="0" applyNumberFormat="1" applyFont="1" applyFill="1" applyBorder="1" applyAlignment="1">
      <alignment horizontal="right" vertical="center" indent="2"/>
    </xf>
    <xf numFmtId="164" fontId="66" fillId="29" borderId="74" xfId="0" applyNumberFormat="1" applyFont="1" applyFill="1" applyBorder="1" applyAlignment="1">
      <alignment horizontal="right" vertical="center" indent="2"/>
    </xf>
    <xf numFmtId="164" fontId="66" fillId="29" borderId="75" xfId="0" applyNumberFormat="1" applyFont="1" applyFill="1" applyBorder="1" applyAlignment="1">
      <alignment horizontal="right" vertical="center" indent="2"/>
    </xf>
    <xf numFmtId="3" fontId="67" fillId="29" borderId="74" xfId="0" applyNumberFormat="1" applyFont="1" applyFill="1" applyBorder="1" applyAlignment="1">
      <alignment horizontal="right" vertical="center" indent="2"/>
    </xf>
    <xf numFmtId="0" fontId="68" fillId="30" borderId="76" xfId="0" applyFont="1" applyFill="1" applyBorder="1" applyAlignment="1">
      <alignment horizontal="center" vertical="center" wrapText="1"/>
    </xf>
    <xf numFmtId="0" fontId="68" fillId="30" borderId="73" xfId="0" applyFont="1" applyFill="1" applyBorder="1" applyAlignment="1">
      <alignment horizontal="center" vertical="center" wrapText="1"/>
    </xf>
    <xf numFmtId="166" fontId="49" fillId="5" borderId="0" xfId="0" applyNumberFormat="1" applyFont="1" applyFill="1" applyBorder="1" applyAlignment="1">
      <alignment horizontal="right" vertical="center" indent="1"/>
    </xf>
    <xf numFmtId="168" fontId="61" fillId="3" borderId="1" xfId="10" applyNumberFormat="1" applyFont="1" applyFill="1" applyBorder="1" applyAlignment="1">
      <alignment horizontal="center" vertical="center"/>
    </xf>
    <xf numFmtId="168" fontId="61" fillId="3" borderId="6" xfId="10" applyNumberFormat="1" applyFont="1" applyFill="1" applyBorder="1" applyAlignment="1">
      <alignment horizontal="center" vertical="center"/>
    </xf>
    <xf numFmtId="169" fontId="69" fillId="32" borderId="78" xfId="8" applyNumberFormat="1" applyFont="1" applyFill="1" applyBorder="1" applyAlignment="1" applyProtection="1">
      <alignment horizontal="center" vertical="center"/>
    </xf>
    <xf numFmtId="3" fontId="55" fillId="20" borderId="67" xfId="0" applyNumberFormat="1" applyFont="1" applyFill="1" applyBorder="1" applyAlignment="1">
      <alignment horizontal="center" vertical="center"/>
    </xf>
    <xf numFmtId="169" fontId="69" fillId="32" borderId="72" xfId="8" applyNumberFormat="1" applyFont="1" applyFill="1" applyBorder="1" applyAlignment="1" applyProtection="1">
      <alignment horizontal="center" vertical="center"/>
    </xf>
    <xf numFmtId="3" fontId="55" fillId="20" borderId="68" xfId="0" applyNumberFormat="1" applyFont="1" applyFill="1" applyBorder="1" applyAlignment="1">
      <alignment horizontal="center" vertical="center"/>
    </xf>
    <xf numFmtId="169" fontId="69" fillId="32" borderId="79" xfId="8" applyNumberFormat="1" applyFont="1" applyFill="1" applyBorder="1" applyAlignment="1" applyProtection="1">
      <alignment horizontal="center" vertical="center"/>
    </xf>
    <xf numFmtId="3" fontId="55" fillId="20" borderId="69" xfId="0" applyNumberFormat="1" applyFont="1" applyFill="1" applyBorder="1" applyAlignment="1">
      <alignment horizontal="center" vertical="center"/>
    </xf>
    <xf numFmtId="3" fontId="70" fillId="20" borderId="69" xfId="0" applyNumberFormat="1" applyFont="1" applyFill="1" applyBorder="1" applyAlignment="1">
      <alignment horizontal="right" vertical="center" indent="2"/>
    </xf>
    <xf numFmtId="169" fontId="69" fillId="32" borderId="76" xfId="8" applyNumberFormat="1" applyFont="1" applyFill="1" applyBorder="1" applyAlignment="1" applyProtection="1">
      <alignment horizontal="center" vertical="center"/>
    </xf>
    <xf numFmtId="169" fontId="71" fillId="33" borderId="76" xfId="8" applyNumberFormat="1" applyFont="1" applyFill="1" applyBorder="1" applyAlignment="1" applyProtection="1">
      <alignment horizontal="center" vertical="center"/>
    </xf>
    <xf numFmtId="169" fontId="71" fillId="33" borderId="77" xfId="8" applyNumberFormat="1" applyFont="1" applyFill="1" applyBorder="1" applyAlignment="1" applyProtection="1">
      <alignment horizontal="center" vertical="center"/>
    </xf>
    <xf numFmtId="170" fontId="27" fillId="0" borderId="40" xfId="8" applyNumberFormat="1" applyFont="1" applyBorder="1" applyAlignment="1">
      <alignment horizontal="center" vertical="center"/>
    </xf>
    <xf numFmtId="170" fontId="27" fillId="0" borderId="41" xfId="8" applyNumberFormat="1" applyFont="1" applyBorder="1" applyAlignment="1">
      <alignment horizontal="center" vertical="center"/>
    </xf>
    <xf numFmtId="170" fontId="27" fillId="0" borderId="46" xfId="8" applyNumberFormat="1" applyFont="1" applyBorder="1" applyAlignment="1">
      <alignment horizontal="center" vertical="center"/>
    </xf>
    <xf numFmtId="170" fontId="27" fillId="0" borderId="47" xfId="8" applyNumberFormat="1" applyFont="1" applyBorder="1" applyAlignment="1">
      <alignment horizontal="center" vertical="center"/>
    </xf>
    <xf numFmtId="43" fontId="29" fillId="0" borderId="40" xfId="0" applyNumberFormat="1" applyFont="1" applyBorder="1" applyAlignment="1">
      <alignment horizontal="center" vertical="center"/>
    </xf>
    <xf numFmtId="43" fontId="29" fillId="0" borderId="41" xfId="0" applyNumberFormat="1" applyFont="1" applyBorder="1" applyAlignment="1">
      <alignment horizontal="center" vertical="center"/>
    </xf>
    <xf numFmtId="167" fontId="29" fillId="0" borderId="40" xfId="0" applyNumberFormat="1" applyFont="1" applyBorder="1" applyAlignment="1">
      <alignment horizontal="center" vertical="center"/>
    </xf>
    <xf numFmtId="167" fontId="29" fillId="0" borderId="41" xfId="0" applyNumberFormat="1" applyFont="1" applyBorder="1" applyAlignment="1">
      <alignment horizontal="center" vertical="center"/>
    </xf>
    <xf numFmtId="43" fontId="29" fillId="0" borderId="46" xfId="0" applyNumberFormat="1" applyFont="1" applyBorder="1" applyAlignment="1">
      <alignment horizontal="center" vertical="center"/>
    </xf>
    <xf numFmtId="43" fontId="29" fillId="0" borderId="47" xfId="0" applyNumberFormat="1" applyFont="1" applyBorder="1" applyAlignment="1">
      <alignment horizontal="center" vertical="center"/>
    </xf>
    <xf numFmtId="167" fontId="29" fillId="0" borderId="46" xfId="0" applyNumberFormat="1" applyFont="1" applyBorder="1" applyAlignment="1">
      <alignment horizontal="center" vertical="center"/>
    </xf>
    <xf numFmtId="167" fontId="29" fillId="0" borderId="47" xfId="0" applyNumberFormat="1" applyFont="1" applyBorder="1" applyAlignment="1">
      <alignment horizontal="center" vertical="center"/>
    </xf>
    <xf numFmtId="2" fontId="28" fillId="0" borderId="42" xfId="0" applyNumberFormat="1" applyFont="1" applyBorder="1" applyAlignment="1">
      <alignment horizontal="center" vertical="center"/>
    </xf>
    <xf numFmtId="2" fontId="28" fillId="0" borderId="43" xfId="0" applyNumberFormat="1" applyFont="1" applyBorder="1" applyAlignment="1">
      <alignment horizontal="center" vertical="center"/>
    </xf>
    <xf numFmtId="0" fontId="28" fillId="0" borderId="80" xfId="0" applyFont="1" applyBorder="1" applyAlignment="1">
      <alignment horizontal="center" vertical="center"/>
    </xf>
    <xf numFmtId="0" fontId="1" fillId="0" borderId="0" xfId="2" applyAlignment="1">
      <alignment vertical="center"/>
    </xf>
    <xf numFmtId="3" fontId="10" fillId="19" borderId="32" xfId="3" applyNumberFormat="1" applyFont="1" applyFill="1" applyBorder="1" applyAlignment="1">
      <alignment horizontal="center" vertical="center" shrinkToFit="1" readingOrder="2"/>
    </xf>
    <xf numFmtId="164" fontId="20" fillId="19" borderId="32" xfId="3" applyNumberFormat="1" applyFont="1" applyFill="1" applyBorder="1" applyAlignment="1">
      <alignment horizontal="center" vertical="center" shrinkToFit="1" readingOrder="2"/>
    </xf>
    <xf numFmtId="164" fontId="10" fillId="19" borderId="32" xfId="3" applyNumberFormat="1" applyFont="1" applyFill="1" applyBorder="1" applyAlignment="1">
      <alignment horizontal="center" vertical="center" shrinkToFit="1" readingOrder="2"/>
    </xf>
    <xf numFmtId="3" fontId="35" fillId="5" borderId="32" xfId="3" applyNumberFormat="1" applyFont="1" applyFill="1" applyBorder="1" applyAlignment="1">
      <alignment horizontal="right" vertical="center" indent="1" readingOrder="2"/>
    </xf>
    <xf numFmtId="4" fontId="15" fillId="5" borderId="0" xfId="3" applyNumberFormat="1" applyFont="1" applyFill="1" applyBorder="1" applyAlignment="1">
      <alignment horizontal="center" vertical="center" shrinkToFit="1"/>
    </xf>
    <xf numFmtId="4" fontId="15" fillId="5" borderId="32" xfId="3" applyNumberFormat="1" applyFont="1" applyFill="1" applyBorder="1" applyAlignment="1">
      <alignment horizontal="center" vertical="center" shrinkToFit="1"/>
    </xf>
    <xf numFmtId="4" fontId="72" fillId="5" borderId="0" xfId="3" applyNumberFormat="1" applyFont="1" applyFill="1" applyBorder="1" applyAlignment="1">
      <alignment horizontal="center" vertical="center" shrinkToFit="1"/>
    </xf>
    <xf numFmtId="4" fontId="72" fillId="5" borderId="14" xfId="3" applyNumberFormat="1" applyFont="1" applyFill="1" applyBorder="1" applyAlignment="1">
      <alignment horizontal="center" vertical="center" shrinkToFit="1"/>
    </xf>
    <xf numFmtId="4" fontId="72" fillId="5" borderId="32" xfId="3" applyNumberFormat="1" applyFont="1" applyFill="1" applyBorder="1" applyAlignment="1">
      <alignment horizontal="center" vertical="center" shrinkToFit="1"/>
    </xf>
    <xf numFmtId="9" fontId="21" fillId="18" borderId="54" xfId="5" applyFont="1" applyFill="1" applyBorder="1" applyAlignment="1">
      <alignment horizontal="center" vertical="center" readingOrder="1"/>
    </xf>
    <xf numFmtId="9" fontId="21" fillId="18" borderId="13" xfId="5" applyFont="1" applyFill="1" applyBorder="1" applyAlignment="1">
      <alignment horizontal="center" vertical="center" readingOrder="1"/>
    </xf>
    <xf numFmtId="9" fontId="21" fillId="18" borderId="14" xfId="5" applyFont="1" applyFill="1" applyBorder="1" applyAlignment="1">
      <alignment horizontal="center" vertical="center" readingOrder="1"/>
    </xf>
    <xf numFmtId="3" fontId="1" fillId="0" borderId="0" xfId="2" applyNumberFormat="1" applyBorder="1"/>
    <xf numFmtId="3" fontId="20" fillId="19" borderId="32" xfId="3" applyNumberFormat="1" applyFont="1" applyFill="1" applyBorder="1" applyAlignment="1">
      <alignment horizontal="center" vertical="center" shrinkToFit="1" readingOrder="2"/>
    </xf>
    <xf numFmtId="3" fontId="41" fillId="5" borderId="35" xfId="3" applyNumberFormat="1" applyFont="1" applyFill="1" applyBorder="1" applyAlignment="1">
      <alignment horizontal="right" vertical="center" indent="1" readingOrder="2"/>
    </xf>
    <xf numFmtId="3" fontId="41" fillId="5" borderId="32" xfId="3" applyNumberFormat="1" applyFont="1" applyFill="1" applyBorder="1" applyAlignment="1">
      <alignment horizontal="right" vertical="center" indent="1" readingOrder="2"/>
    </xf>
    <xf numFmtId="3" fontId="34" fillId="5" borderId="0" xfId="3" applyNumberFormat="1" applyFont="1" applyFill="1" applyBorder="1" applyAlignment="1">
      <alignment horizontal="right" vertical="center" indent="1" shrinkToFit="1"/>
    </xf>
    <xf numFmtId="3" fontId="34" fillId="5" borderId="14" xfId="3" applyNumberFormat="1" applyFont="1" applyFill="1" applyBorder="1" applyAlignment="1">
      <alignment horizontal="right" vertical="center" indent="1" shrinkToFit="1"/>
    </xf>
    <xf numFmtId="3" fontId="34" fillId="5" borderId="32" xfId="3" applyNumberFormat="1" applyFont="1" applyFill="1" applyBorder="1" applyAlignment="1">
      <alignment horizontal="right" vertical="center" indent="1" shrinkToFit="1"/>
    </xf>
    <xf numFmtId="4" fontId="72" fillId="19" borderId="32" xfId="3" applyNumberFormat="1" applyFont="1" applyFill="1" applyBorder="1" applyAlignment="1">
      <alignment horizontal="center" vertical="center" shrinkToFit="1"/>
    </xf>
    <xf numFmtId="0" fontId="27" fillId="18" borderId="40" xfId="0" applyFont="1" applyFill="1" applyBorder="1" applyAlignment="1">
      <alignment horizontal="center" vertical="center"/>
    </xf>
    <xf numFmtId="166" fontId="27" fillId="18" borderId="41" xfId="0" applyNumberFormat="1" applyFont="1" applyFill="1" applyBorder="1" applyAlignment="1">
      <alignment horizontal="center" vertical="center"/>
    </xf>
    <xf numFmtId="166" fontId="27" fillId="18" borderId="40" xfId="0" applyNumberFormat="1" applyFont="1" applyFill="1" applyBorder="1" applyAlignment="1">
      <alignment horizontal="center" vertical="center"/>
    </xf>
    <xf numFmtId="1" fontId="28" fillId="13" borderId="41" xfId="0" applyNumberFormat="1" applyFont="1" applyFill="1" applyBorder="1" applyAlignment="1">
      <alignment horizontal="center" vertical="center"/>
    </xf>
    <xf numFmtId="164" fontId="54" fillId="0" borderId="0" xfId="0" applyNumberFormat="1" applyFont="1"/>
    <xf numFmtId="9" fontId="0" fillId="0" borderId="0" xfId="0" applyNumberFormat="1"/>
    <xf numFmtId="166" fontId="73" fillId="5" borderId="0" xfId="0" applyNumberFormat="1" applyFont="1" applyFill="1" applyBorder="1" applyAlignment="1">
      <alignment horizontal="right" vertical="center" indent="1"/>
    </xf>
    <xf numFmtId="3" fontId="74" fillId="19" borderId="32" xfId="3" applyNumberFormat="1" applyFont="1" applyFill="1" applyBorder="1" applyAlignment="1">
      <alignment horizontal="right" vertical="center" indent="1" readingOrder="2"/>
    </xf>
    <xf numFmtId="168" fontId="61" fillId="3" borderId="1" xfId="10" applyNumberFormat="1" applyFont="1" applyFill="1" applyBorder="1" applyAlignment="1">
      <alignment horizontal="center" vertical="center"/>
    </xf>
    <xf numFmtId="168" fontId="61" fillId="3" borderId="6" xfId="10" applyNumberFormat="1" applyFont="1" applyFill="1" applyBorder="1" applyAlignment="1">
      <alignment horizontal="center" vertical="center"/>
    </xf>
    <xf numFmtId="164" fontId="35" fillId="5" borderId="0" xfId="3" applyNumberFormat="1" applyFont="1" applyFill="1" applyBorder="1" applyAlignment="1">
      <alignment horizontal="right" vertical="center" indent="1" readingOrder="2"/>
    </xf>
    <xf numFmtId="168" fontId="61" fillId="3" borderId="1" xfId="10" applyNumberFormat="1" applyFont="1" applyFill="1" applyBorder="1" applyAlignment="1">
      <alignment horizontal="center" vertical="center"/>
    </xf>
    <xf numFmtId="168" fontId="61" fillId="3" borderId="6" xfId="10" applyNumberFormat="1" applyFont="1" applyFill="1" applyBorder="1" applyAlignment="1">
      <alignment horizontal="center" vertical="center"/>
    </xf>
    <xf numFmtId="3" fontId="66" fillId="29" borderId="74" xfId="0" applyNumberFormat="1" applyFont="1" applyFill="1" applyBorder="1" applyAlignment="1">
      <alignment horizontal="center" vertical="center"/>
    </xf>
    <xf numFmtId="0" fontId="75" fillId="28" borderId="40" xfId="0" applyFont="1" applyFill="1" applyBorder="1" applyAlignment="1">
      <alignment horizontal="center" vertical="center"/>
    </xf>
    <xf numFmtId="0" fontId="47" fillId="3" borderId="84" xfId="0" applyFont="1" applyFill="1" applyBorder="1" applyAlignment="1">
      <alignment horizontal="center"/>
    </xf>
    <xf numFmtId="166" fontId="49" fillId="5" borderId="14" xfId="0" applyNumberFormat="1" applyFont="1" applyFill="1" applyBorder="1" applyAlignment="1">
      <alignment horizontal="right" vertical="center" indent="1"/>
    </xf>
    <xf numFmtId="166" fontId="49" fillId="5" borderId="32" xfId="0" applyNumberFormat="1" applyFont="1" applyFill="1" applyBorder="1" applyAlignment="1">
      <alignment horizontal="right" vertical="center" indent="1"/>
    </xf>
    <xf numFmtId="166" fontId="49" fillId="5" borderId="6" xfId="0" applyNumberFormat="1" applyFont="1" applyFill="1" applyBorder="1" applyAlignment="1">
      <alignment horizontal="right" vertical="center" indent="1"/>
    </xf>
    <xf numFmtId="166" fontId="49" fillId="5" borderId="64" xfId="0" applyNumberFormat="1" applyFont="1" applyFill="1" applyBorder="1" applyAlignment="1">
      <alignment horizontal="right" vertical="center" indent="1"/>
    </xf>
    <xf numFmtId="166" fontId="49" fillId="5" borderId="65" xfId="0" applyNumberFormat="1" applyFont="1" applyFill="1" applyBorder="1" applyAlignment="1">
      <alignment horizontal="right" vertical="center" indent="1"/>
    </xf>
    <xf numFmtId="166" fontId="49" fillId="5" borderId="66" xfId="0" applyNumberFormat="1" applyFont="1" applyFill="1" applyBorder="1" applyAlignment="1">
      <alignment horizontal="right" vertical="center" indent="1"/>
    </xf>
    <xf numFmtId="166" fontId="49" fillId="5" borderId="8" xfId="0" applyNumberFormat="1" applyFont="1" applyFill="1" applyBorder="1" applyAlignment="1">
      <alignment horizontal="right" vertical="center" indent="1"/>
    </xf>
    <xf numFmtId="3" fontId="51" fillId="16" borderId="8" xfId="3" applyNumberFormat="1" applyFont="1" applyFill="1" applyBorder="1" applyAlignment="1">
      <alignment horizontal="center" vertical="center" shrinkToFit="1"/>
    </xf>
    <xf numFmtId="0" fontId="45" fillId="3" borderId="85" xfId="0" applyFont="1" applyFill="1" applyBorder="1" applyAlignment="1">
      <alignment horizontal="center" vertical="top" wrapText="1"/>
    </xf>
    <xf numFmtId="166" fontId="76" fillId="5" borderId="9" xfId="0" applyNumberFormat="1" applyFont="1" applyFill="1" applyBorder="1" applyAlignment="1">
      <alignment horizontal="right" vertical="center" indent="1"/>
    </xf>
    <xf numFmtId="166" fontId="76" fillId="5" borderId="0" xfId="0" applyNumberFormat="1" applyFont="1" applyFill="1" applyBorder="1" applyAlignment="1">
      <alignment horizontal="right" vertical="center" indent="1"/>
    </xf>
    <xf numFmtId="166" fontId="76" fillId="5" borderId="13" xfId="0" applyNumberFormat="1" applyFont="1" applyFill="1" applyBorder="1" applyAlignment="1">
      <alignment horizontal="right" vertical="center" indent="1"/>
    </xf>
    <xf numFmtId="166" fontId="76" fillId="5" borderId="14" xfId="0" applyNumberFormat="1" applyFont="1" applyFill="1" applyBorder="1" applyAlignment="1">
      <alignment horizontal="right" vertical="center" indent="1"/>
    </xf>
    <xf numFmtId="166" fontId="76" fillId="5" borderId="33" xfId="0" applyNumberFormat="1" applyFont="1" applyFill="1" applyBorder="1" applyAlignment="1">
      <alignment horizontal="right" vertical="center" indent="1"/>
    </xf>
    <xf numFmtId="166" fontId="76" fillId="5" borderId="32" xfId="0" applyNumberFormat="1" applyFont="1" applyFill="1" applyBorder="1" applyAlignment="1">
      <alignment horizontal="right" vertical="center" indent="1"/>
    </xf>
    <xf numFmtId="166" fontId="76" fillId="5" borderId="7" xfId="0" applyNumberFormat="1" applyFont="1" applyFill="1" applyBorder="1" applyAlignment="1">
      <alignment horizontal="right" vertical="center" indent="1"/>
    </xf>
    <xf numFmtId="166" fontId="76" fillId="5" borderId="6" xfId="0" applyNumberFormat="1" applyFont="1" applyFill="1" applyBorder="1" applyAlignment="1">
      <alignment horizontal="right" vertical="center" indent="1"/>
    </xf>
    <xf numFmtId="0" fontId="48" fillId="3" borderId="0" xfId="0" applyFont="1" applyFill="1" applyBorder="1" applyAlignment="1">
      <alignment horizontal="center" vertical="center" wrapText="1"/>
    </xf>
    <xf numFmtId="3" fontId="41" fillId="5" borderId="0" xfId="0" applyNumberFormat="1" applyFont="1" applyFill="1" applyBorder="1" applyAlignment="1">
      <alignment horizontal="right" vertical="center" indent="1"/>
    </xf>
    <xf numFmtId="2" fontId="29" fillId="10" borderId="41" xfId="0" applyNumberFormat="1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8" fillId="0" borderId="81" xfId="0" applyNumberFormat="1" applyFont="1" applyBorder="1" applyAlignment="1">
      <alignment horizontal="center" vertical="center" shrinkToFit="1"/>
    </xf>
    <xf numFmtId="3" fontId="78" fillId="0" borderId="82" xfId="0" applyNumberFormat="1" applyFont="1" applyBorder="1" applyAlignment="1">
      <alignment horizontal="center" vertical="center" shrinkToFit="1"/>
    </xf>
    <xf numFmtId="0" fontId="1" fillId="0" borderId="0" xfId="2" applyAlignment="1">
      <alignment shrinkToFit="1"/>
    </xf>
    <xf numFmtId="3" fontId="74" fillId="19" borderId="32" xfId="3" applyNumberFormat="1" applyFont="1" applyFill="1" applyBorder="1" applyAlignment="1">
      <alignment horizontal="right" vertical="center" shrinkToFit="1" readingOrder="2"/>
    </xf>
    <xf numFmtId="164" fontId="35" fillId="5" borderId="0" xfId="3" applyNumberFormat="1" applyFont="1" applyFill="1" applyBorder="1" applyAlignment="1">
      <alignment horizontal="right" vertical="center" shrinkToFit="1" readingOrder="2"/>
    </xf>
    <xf numFmtId="4" fontId="79" fillId="5" borderId="0" xfId="3" applyNumberFormat="1" applyFont="1" applyFill="1" applyBorder="1" applyAlignment="1">
      <alignment horizontal="center" vertical="center" shrinkToFit="1"/>
    </xf>
    <xf numFmtId="168" fontId="56" fillId="10" borderId="0" xfId="0" applyNumberFormat="1" applyFont="1" applyFill="1" applyBorder="1" applyAlignment="1">
      <alignment horizontal="right" vertical="center" indent="1"/>
    </xf>
    <xf numFmtId="0" fontId="0" fillId="10" borderId="0" xfId="0" applyFill="1" applyAlignment="1">
      <alignment horizontal="center" vertical="center"/>
    </xf>
    <xf numFmtId="0" fontId="39" fillId="34" borderId="18" xfId="3" applyFont="1" applyFill="1" applyBorder="1" applyAlignment="1">
      <alignment horizontal="center" vertical="center" wrapText="1" readingOrder="2"/>
    </xf>
    <xf numFmtId="3" fontId="81" fillId="5" borderId="14" xfId="3" applyNumberFormat="1" applyFont="1" applyFill="1" applyBorder="1" applyAlignment="1">
      <alignment horizontal="right" vertical="center" indent="1" readingOrder="2"/>
    </xf>
    <xf numFmtId="3" fontId="81" fillId="5" borderId="0" xfId="3" applyNumberFormat="1" applyFont="1" applyFill="1" applyBorder="1" applyAlignment="1">
      <alignment horizontal="right" vertical="center" indent="1" readingOrder="2"/>
    </xf>
    <xf numFmtId="3" fontId="81" fillId="5" borderId="32" xfId="3" applyNumberFormat="1" applyFont="1" applyFill="1" applyBorder="1" applyAlignment="1">
      <alignment horizontal="right" vertical="center" indent="1" readingOrder="2"/>
    </xf>
    <xf numFmtId="164" fontId="81" fillId="5" borderId="14" xfId="3" applyNumberFormat="1" applyFont="1" applyFill="1" applyBorder="1" applyAlignment="1">
      <alignment horizontal="right" vertical="center" indent="1" readingOrder="2"/>
    </xf>
    <xf numFmtId="164" fontId="81" fillId="5" borderId="0" xfId="3" applyNumberFormat="1" applyFont="1" applyFill="1" applyBorder="1" applyAlignment="1">
      <alignment horizontal="right" vertical="center" indent="1" readingOrder="2"/>
    </xf>
    <xf numFmtId="164" fontId="81" fillId="5" borderId="32" xfId="3" applyNumberFormat="1" applyFont="1" applyFill="1" applyBorder="1" applyAlignment="1">
      <alignment horizontal="right" vertical="center" indent="1" readingOrder="2"/>
    </xf>
    <xf numFmtId="0" fontId="17" fillId="36" borderId="10" xfId="3" applyFont="1" applyFill="1" applyBorder="1" applyAlignment="1">
      <alignment horizontal="center" vertical="center" wrapText="1" readingOrder="2"/>
    </xf>
    <xf numFmtId="0" fontId="18" fillId="36" borderId="10" xfId="3" applyFont="1" applyFill="1" applyBorder="1" applyAlignment="1">
      <alignment horizontal="center" vertical="center" wrapText="1" readingOrder="2"/>
    </xf>
    <xf numFmtId="0" fontId="17" fillId="36" borderId="6" xfId="3" applyFont="1" applyFill="1" applyBorder="1" applyAlignment="1">
      <alignment horizontal="center" vertical="center" wrapText="1" readingOrder="2"/>
    </xf>
    <xf numFmtId="0" fontId="18" fillId="36" borderId="6" xfId="3" applyFont="1" applyFill="1" applyBorder="1" applyAlignment="1">
      <alignment horizontal="center" vertical="center" wrapText="1" readingOrder="2"/>
    </xf>
    <xf numFmtId="0" fontId="18" fillId="36" borderId="21" xfId="3" applyFont="1" applyFill="1" applyBorder="1" applyAlignment="1">
      <alignment horizontal="center" vertical="center" wrapText="1" readingOrder="2"/>
    </xf>
    <xf numFmtId="0" fontId="19" fillId="36" borderId="25" xfId="4" applyFont="1" applyFill="1" applyBorder="1" applyAlignment="1">
      <alignment horizontal="center" vertical="top" wrapText="1"/>
    </xf>
    <xf numFmtId="0" fontId="19" fillId="36" borderId="12" xfId="4" applyFont="1" applyFill="1" applyBorder="1" applyAlignment="1">
      <alignment horizontal="center" vertical="top" wrapText="1"/>
    </xf>
    <xf numFmtId="3" fontId="9" fillId="34" borderId="16" xfId="3" applyNumberFormat="1" applyFont="1" applyFill="1" applyBorder="1" applyAlignment="1">
      <alignment horizontal="right" vertical="center" indent="1" readingOrder="2"/>
    </xf>
    <xf numFmtId="3" fontId="9" fillId="34" borderId="17" xfId="3" applyNumberFormat="1" applyFont="1" applyFill="1" applyBorder="1" applyAlignment="1">
      <alignment horizontal="right" vertical="center" indent="1" readingOrder="2"/>
    </xf>
    <xf numFmtId="3" fontId="9" fillId="34" borderId="34" xfId="3" applyNumberFormat="1" applyFont="1" applyFill="1" applyBorder="1" applyAlignment="1">
      <alignment horizontal="right" vertical="center" indent="1" readingOrder="2"/>
    </xf>
    <xf numFmtId="3" fontId="37" fillId="34" borderId="34" xfId="3" applyNumberFormat="1" applyFont="1" applyFill="1" applyBorder="1" applyAlignment="1">
      <alignment horizontal="center" vertical="center" readingOrder="2"/>
    </xf>
    <xf numFmtId="3" fontId="9" fillId="38" borderId="16" xfId="3" applyNumberFormat="1" applyFont="1" applyFill="1" applyBorder="1" applyAlignment="1">
      <alignment horizontal="right" vertical="center" indent="2" readingOrder="2"/>
    </xf>
    <xf numFmtId="3" fontId="9" fillId="38" borderId="17" xfId="3" applyNumberFormat="1" applyFont="1" applyFill="1" applyBorder="1" applyAlignment="1">
      <alignment horizontal="right" vertical="center" indent="2" readingOrder="2"/>
    </xf>
    <xf numFmtId="3" fontId="9" fillId="38" borderId="34" xfId="3" applyNumberFormat="1" applyFont="1" applyFill="1" applyBorder="1" applyAlignment="1">
      <alignment horizontal="right" vertical="center" indent="2" readingOrder="2"/>
    </xf>
    <xf numFmtId="3" fontId="37" fillId="38" borderId="34" xfId="3" applyNumberFormat="1" applyFont="1" applyFill="1" applyBorder="1" applyAlignment="1">
      <alignment horizontal="center" vertical="center" readingOrder="2"/>
    </xf>
    <xf numFmtId="0" fontId="1" fillId="5" borderId="0" xfId="2" applyFill="1" applyAlignment="1">
      <alignment shrinkToFit="1"/>
    </xf>
    <xf numFmtId="9" fontId="1" fillId="5" borderId="0" xfId="1" applyFont="1" applyFill="1"/>
    <xf numFmtId="9" fontId="59" fillId="5" borderId="9" xfId="7" applyFont="1" applyFill="1" applyBorder="1" applyAlignment="1">
      <alignment horizontal="center" vertical="center" readingOrder="1"/>
    </xf>
    <xf numFmtId="0" fontId="18" fillId="36" borderId="11" xfId="3" applyFont="1" applyFill="1" applyBorder="1" applyAlignment="1">
      <alignment horizontal="center" vertical="center" wrapText="1" readingOrder="2"/>
    </xf>
    <xf numFmtId="3" fontId="38" fillId="35" borderId="86" xfId="3" applyNumberFormat="1" applyFont="1" applyFill="1" applyBorder="1" applyAlignment="1">
      <alignment horizontal="center" vertical="center" wrapText="1"/>
    </xf>
    <xf numFmtId="9" fontId="21" fillId="18" borderId="65" xfId="5" applyFont="1" applyFill="1" applyBorder="1" applyAlignment="1">
      <alignment horizontal="center" vertical="center" readingOrder="1"/>
    </xf>
    <xf numFmtId="9" fontId="21" fillId="5" borderId="64" xfId="7" applyFont="1" applyFill="1" applyBorder="1" applyAlignment="1">
      <alignment horizontal="center" vertical="center" readingOrder="1"/>
    </xf>
    <xf numFmtId="9" fontId="21" fillId="5" borderId="65" xfId="5" applyFont="1" applyFill="1" applyBorder="1" applyAlignment="1">
      <alignment horizontal="center" vertical="center" readingOrder="1"/>
    </xf>
    <xf numFmtId="9" fontId="21" fillId="5" borderId="64" xfId="5" applyFont="1" applyFill="1" applyBorder="1" applyAlignment="1">
      <alignment horizontal="center" vertical="center" readingOrder="1"/>
    </xf>
    <xf numFmtId="9" fontId="21" fillId="5" borderId="66" xfId="7" applyFont="1" applyFill="1" applyBorder="1" applyAlignment="1">
      <alignment horizontal="center" vertical="center" readingOrder="1"/>
    </xf>
    <xf numFmtId="9" fontId="21" fillId="5" borderId="65" xfId="7" applyFont="1" applyFill="1" applyBorder="1" applyAlignment="1">
      <alignment horizontal="center" vertical="center" readingOrder="1"/>
    </xf>
    <xf numFmtId="9" fontId="21" fillId="5" borderId="66" xfId="5" applyFont="1" applyFill="1" applyBorder="1" applyAlignment="1">
      <alignment horizontal="center" vertical="center" readingOrder="1"/>
    </xf>
    <xf numFmtId="3" fontId="35" fillId="5" borderId="13" xfId="3" applyNumberFormat="1" applyFont="1" applyFill="1" applyBorder="1" applyAlignment="1">
      <alignment horizontal="center" vertical="center" readingOrder="2"/>
    </xf>
    <xf numFmtId="164" fontId="35" fillId="5" borderId="9" xfId="3" applyNumberFormat="1" applyFont="1" applyFill="1" applyBorder="1" applyAlignment="1">
      <alignment horizontal="center" vertical="center" readingOrder="2"/>
    </xf>
    <xf numFmtId="164" fontId="35" fillId="5" borderId="13" xfId="3" applyNumberFormat="1" applyFont="1" applyFill="1" applyBorder="1" applyAlignment="1">
      <alignment horizontal="center" vertical="center" readingOrder="2"/>
    </xf>
    <xf numFmtId="164" fontId="35" fillId="5" borderId="33" xfId="3" applyNumberFormat="1" applyFont="1" applyFill="1" applyBorder="1" applyAlignment="1">
      <alignment horizontal="center" vertical="center" readingOrder="2"/>
    </xf>
    <xf numFmtId="0" fontId="30" fillId="5" borderId="28" xfId="3" applyFont="1" applyFill="1" applyBorder="1" applyAlignment="1">
      <alignment horizontal="center" vertical="center" readingOrder="2"/>
    </xf>
    <xf numFmtId="164" fontId="81" fillId="5" borderId="6" xfId="3" applyNumberFormat="1" applyFont="1" applyFill="1" applyBorder="1" applyAlignment="1">
      <alignment horizontal="right" vertical="center" indent="1" readingOrder="2"/>
    </xf>
    <xf numFmtId="164" fontId="10" fillId="5" borderId="6" xfId="3" applyNumberFormat="1" applyFont="1" applyFill="1" applyBorder="1" applyAlignment="1">
      <alignment horizontal="right" vertical="center" indent="1" readingOrder="2"/>
    </xf>
    <xf numFmtId="3" fontId="10" fillId="5" borderId="6" xfId="3" applyNumberFormat="1" applyFont="1" applyFill="1" applyBorder="1" applyAlignment="1">
      <alignment horizontal="right" vertical="center" indent="1" readingOrder="2"/>
    </xf>
    <xf numFmtId="9" fontId="21" fillId="5" borderId="7" xfId="5" applyFont="1" applyFill="1" applyBorder="1" applyAlignment="1">
      <alignment horizontal="center" vertical="center" readingOrder="1"/>
    </xf>
    <xf numFmtId="9" fontId="21" fillId="5" borderId="6" xfId="5" applyFont="1" applyFill="1" applyBorder="1" applyAlignment="1">
      <alignment horizontal="center" vertical="center" readingOrder="1"/>
    </xf>
    <xf numFmtId="164" fontId="35" fillId="5" borderId="7" xfId="3" applyNumberFormat="1" applyFont="1" applyFill="1" applyBorder="1" applyAlignment="1">
      <alignment horizontal="center" vertical="center" readingOrder="2"/>
    </xf>
    <xf numFmtId="9" fontId="33" fillId="5" borderId="18" xfId="1" applyFont="1" applyFill="1" applyBorder="1" applyAlignment="1">
      <alignment horizontal="center" vertical="center"/>
    </xf>
    <xf numFmtId="3" fontId="34" fillId="5" borderId="6" xfId="3" applyNumberFormat="1" applyFont="1" applyFill="1" applyBorder="1" applyAlignment="1">
      <alignment horizontal="right" vertical="center" indent="1" shrinkToFit="1"/>
    </xf>
    <xf numFmtId="0" fontId="30" fillId="19" borderId="88" xfId="3" applyFont="1" applyFill="1" applyBorder="1" applyAlignment="1">
      <alignment horizontal="center" vertical="center" readingOrder="2"/>
    </xf>
    <xf numFmtId="3" fontId="20" fillId="19" borderId="49" xfId="3" applyNumberFormat="1" applyFont="1" applyFill="1" applyBorder="1" applyAlignment="1">
      <alignment horizontal="center" vertical="center" shrinkToFit="1" readingOrder="2"/>
    </xf>
    <xf numFmtId="3" fontId="10" fillId="19" borderId="49" xfId="3" applyNumberFormat="1" applyFont="1" applyFill="1" applyBorder="1" applyAlignment="1">
      <alignment horizontal="center" vertical="center" shrinkToFit="1" readingOrder="2"/>
    </xf>
    <xf numFmtId="3" fontId="10" fillId="19" borderId="89" xfId="3" applyNumberFormat="1" applyFont="1" applyFill="1" applyBorder="1" applyAlignment="1">
      <alignment horizontal="center" vertical="center" shrinkToFit="1" readingOrder="2"/>
    </xf>
    <xf numFmtId="3" fontId="35" fillId="19" borderId="89" xfId="3" applyNumberFormat="1" applyFont="1" applyFill="1" applyBorder="1" applyAlignment="1">
      <alignment horizontal="center" vertical="center" shrinkToFit="1" readingOrder="2"/>
    </xf>
    <xf numFmtId="3" fontId="10" fillId="19" borderId="91" xfId="3" applyNumberFormat="1" applyFont="1" applyFill="1" applyBorder="1" applyAlignment="1">
      <alignment horizontal="center" vertical="center" shrinkToFit="1" readingOrder="2"/>
    </xf>
    <xf numFmtId="3" fontId="32" fillId="19" borderId="71" xfId="3" applyNumberFormat="1" applyFont="1" applyFill="1" applyBorder="1" applyAlignment="1">
      <alignment horizontal="right" vertical="center" indent="1" readingOrder="2"/>
    </xf>
    <xf numFmtId="3" fontId="32" fillId="19" borderId="49" xfId="3" applyNumberFormat="1" applyFont="1" applyFill="1" applyBorder="1" applyAlignment="1">
      <alignment horizontal="right" vertical="center" indent="1" readingOrder="2"/>
    </xf>
    <xf numFmtId="9" fontId="33" fillId="19" borderId="90" xfId="1" applyFont="1" applyFill="1" applyBorder="1" applyAlignment="1">
      <alignment horizontal="center" vertical="center"/>
    </xf>
    <xf numFmtId="4" fontId="72" fillId="19" borderId="49" xfId="3" applyNumberFormat="1" applyFont="1" applyFill="1" applyBorder="1" applyAlignment="1">
      <alignment horizontal="center" vertical="center" shrinkToFit="1"/>
    </xf>
    <xf numFmtId="3" fontId="7" fillId="19" borderId="49" xfId="3" applyNumberFormat="1" applyFont="1" applyFill="1" applyBorder="1" applyAlignment="1">
      <alignment horizontal="center" vertical="center" shrinkToFit="1"/>
    </xf>
    <xf numFmtId="3" fontId="37" fillId="34" borderId="90" xfId="3" applyNumberFormat="1" applyFont="1" applyFill="1" applyBorder="1" applyAlignment="1">
      <alignment horizontal="center" vertical="center" readingOrder="2"/>
    </xf>
    <xf numFmtId="3" fontId="37" fillId="38" borderId="90" xfId="3" applyNumberFormat="1" applyFont="1" applyFill="1" applyBorder="1" applyAlignment="1">
      <alignment horizontal="center" vertical="center" readingOrder="2"/>
    </xf>
    <xf numFmtId="164" fontId="9" fillId="38" borderId="18" xfId="3" applyNumberFormat="1" applyFont="1" applyFill="1" applyBorder="1" applyAlignment="1">
      <alignment horizontal="right" vertical="center" indent="2" readingOrder="2"/>
    </xf>
    <xf numFmtId="164" fontId="9" fillId="38" borderId="17" xfId="3" applyNumberFormat="1" applyFont="1" applyFill="1" applyBorder="1" applyAlignment="1">
      <alignment horizontal="right" vertical="center" indent="2" readingOrder="2"/>
    </xf>
    <xf numFmtId="3" fontId="34" fillId="5" borderId="92" xfId="0" applyNumberFormat="1" applyFont="1" applyFill="1" applyBorder="1" applyAlignment="1">
      <alignment horizontal="right" vertical="center" indent="1" shrinkToFit="1"/>
    </xf>
    <xf numFmtId="3" fontId="34" fillId="5" borderId="0" xfId="0" applyNumberFormat="1" applyFont="1" applyFill="1" applyAlignment="1">
      <alignment horizontal="right" vertical="center" indent="1" shrinkToFit="1"/>
    </xf>
    <xf numFmtId="3" fontId="34" fillId="5" borderId="93" xfId="0" applyNumberFormat="1" applyFont="1" applyFill="1" applyBorder="1" applyAlignment="1">
      <alignment horizontal="right" vertical="center" indent="1" shrinkToFit="1"/>
    </xf>
    <xf numFmtId="3" fontId="34" fillId="5" borderId="64" xfId="0" applyNumberFormat="1" applyFont="1" applyFill="1" applyBorder="1" applyAlignment="1">
      <alignment horizontal="right" vertical="center" indent="1" shrinkToFit="1"/>
    </xf>
    <xf numFmtId="164" fontId="51" fillId="5" borderId="0" xfId="0" applyNumberFormat="1" applyFont="1" applyFill="1" applyAlignment="1">
      <alignment horizontal="center" vertical="center"/>
    </xf>
    <xf numFmtId="164" fontId="51" fillId="5" borderId="94" xfId="0" applyNumberFormat="1" applyFont="1" applyFill="1" applyBorder="1" applyAlignment="1">
      <alignment horizontal="center" vertical="center"/>
    </xf>
    <xf numFmtId="0" fontId="45" fillId="3" borderId="60" xfId="0" applyFont="1" applyFill="1" applyBorder="1" applyAlignment="1">
      <alignment horizontal="center" vertical="top" wrapText="1"/>
    </xf>
    <xf numFmtId="2" fontId="51" fillId="5" borderId="94" xfId="0" applyNumberFormat="1" applyFont="1" applyFill="1" applyBorder="1" applyAlignment="1">
      <alignment horizontal="center" vertical="center"/>
    </xf>
    <xf numFmtId="164" fontId="9" fillId="34" borderId="17" xfId="3" applyNumberFormat="1" applyFont="1" applyFill="1" applyBorder="1" applyAlignment="1">
      <alignment horizontal="right" vertical="center" indent="1" readingOrder="2"/>
    </xf>
    <xf numFmtId="164" fontId="9" fillId="34" borderId="18" xfId="3" applyNumberFormat="1" applyFont="1" applyFill="1" applyBorder="1" applyAlignment="1">
      <alignment horizontal="right" vertical="center" indent="1" readingOrder="2"/>
    </xf>
    <xf numFmtId="164" fontId="41" fillId="5" borderId="24" xfId="3" applyNumberFormat="1" applyFont="1" applyFill="1" applyBorder="1" applyAlignment="1">
      <alignment horizontal="right" vertical="center" indent="1" readingOrder="2"/>
    </xf>
    <xf numFmtId="164" fontId="41" fillId="5" borderId="0" xfId="3" applyNumberFormat="1" applyFont="1" applyFill="1" applyBorder="1" applyAlignment="1">
      <alignment horizontal="right" vertical="center" indent="1" readingOrder="2"/>
    </xf>
    <xf numFmtId="164" fontId="41" fillId="5" borderId="87" xfId="3" applyNumberFormat="1" applyFont="1" applyFill="1" applyBorder="1" applyAlignment="1">
      <alignment horizontal="right" vertical="center" indent="1" readingOrder="2"/>
    </xf>
    <xf numFmtId="164" fontId="41" fillId="5" borderId="6" xfId="3" applyNumberFormat="1" applyFont="1" applyFill="1" applyBorder="1" applyAlignment="1">
      <alignment horizontal="right" vertical="center" indent="1" readingOrder="2"/>
    </xf>
    <xf numFmtId="0" fontId="83" fillId="0" borderId="0" xfId="3" applyFont="1" applyAlignment="1">
      <alignment horizontal="center" vertical="center" readingOrder="2"/>
    </xf>
    <xf numFmtId="0" fontId="83" fillId="0" borderId="0" xfId="3" applyFont="1" applyAlignment="1">
      <alignment horizontal="right" vertical="center" readingOrder="2"/>
    </xf>
    <xf numFmtId="0" fontId="83" fillId="0" borderId="0" xfId="3" applyFont="1" applyAlignment="1">
      <alignment horizontal="left" vertical="center" readingOrder="2"/>
    </xf>
    <xf numFmtId="0" fontId="84" fillId="0" borderId="0" xfId="3" applyFont="1" applyAlignment="1">
      <alignment horizontal="center" vertical="center" readingOrder="2"/>
    </xf>
    <xf numFmtId="0" fontId="85" fillId="0" borderId="0" xfId="0" applyFont="1" applyAlignment="1">
      <alignment horizontal="right" vertical="center"/>
    </xf>
    <xf numFmtId="0" fontId="86" fillId="0" borderId="0" xfId="0" applyFont="1" applyAlignment="1">
      <alignment horizontal="left" vertical="center" readingOrder="2"/>
    </xf>
    <xf numFmtId="0" fontId="84" fillId="0" borderId="0" xfId="3" applyFont="1" applyAlignment="1">
      <alignment horizontal="left" vertical="center" readingOrder="2"/>
    </xf>
    <xf numFmtId="0" fontId="84" fillId="0" borderId="0" xfId="3" applyFont="1" applyAlignment="1">
      <alignment horizontal="center" vertical="center"/>
    </xf>
    <xf numFmtId="0" fontId="88" fillId="3" borderId="57" xfId="0" applyFont="1" applyFill="1" applyBorder="1" applyAlignment="1">
      <alignment horizontal="center" vertical="center"/>
    </xf>
    <xf numFmtId="0" fontId="88" fillId="3" borderId="96" xfId="0" applyFont="1" applyFill="1" applyBorder="1" applyAlignment="1">
      <alignment horizontal="center" vertical="center"/>
    </xf>
    <xf numFmtId="0" fontId="88" fillId="3" borderId="2" xfId="0" applyFont="1" applyFill="1" applyBorder="1" applyAlignment="1">
      <alignment horizontal="center" vertical="center"/>
    </xf>
    <xf numFmtId="0" fontId="88" fillId="3" borderId="1" xfId="0" applyFont="1" applyFill="1" applyBorder="1" applyAlignment="1">
      <alignment vertical="center"/>
    </xf>
    <xf numFmtId="0" fontId="88" fillId="3" borderId="0" xfId="0" applyFont="1" applyFill="1" applyAlignment="1">
      <alignment horizontal="center" vertical="center"/>
    </xf>
    <xf numFmtId="0" fontId="0" fillId="16" borderId="0" xfId="0" applyFill="1" applyAlignment="1">
      <alignment horizontal="left" vertical="center"/>
    </xf>
    <xf numFmtId="0" fontId="0" fillId="16" borderId="0" xfId="0" applyFill="1" applyAlignment="1">
      <alignment horizontal="center" vertical="center"/>
    </xf>
    <xf numFmtId="9" fontId="84" fillId="0" borderId="0" xfId="3" applyNumberFormat="1" applyFont="1" applyAlignment="1">
      <alignment horizontal="center" vertical="center"/>
    </xf>
    <xf numFmtId="0" fontId="90" fillId="3" borderId="97" xfId="3" applyFont="1" applyFill="1" applyBorder="1" applyAlignment="1">
      <alignment horizontal="center" vertical="center"/>
    </xf>
    <xf numFmtId="0" fontId="90" fillId="3" borderId="98" xfId="3" applyFont="1" applyFill="1" applyBorder="1" applyAlignment="1">
      <alignment horizontal="center" vertical="center"/>
    </xf>
    <xf numFmtId="0" fontId="90" fillId="3" borderId="7" xfId="3" applyFont="1" applyFill="1" applyBorder="1" applyAlignment="1">
      <alignment horizontal="center" vertical="center"/>
    </xf>
    <xf numFmtId="0" fontId="88" fillId="3" borderId="6" xfId="0" applyFont="1" applyFill="1" applyBorder="1" applyAlignment="1">
      <alignment vertical="center"/>
    </xf>
    <xf numFmtId="0" fontId="91" fillId="3" borderId="0" xfId="3" applyFont="1" applyFill="1" applyAlignment="1">
      <alignment horizontal="center" vertical="center"/>
    </xf>
    <xf numFmtId="0" fontId="92" fillId="22" borderId="21" xfId="9" applyFont="1" applyFill="1" applyBorder="1" applyAlignment="1">
      <alignment horizontal="center" vertical="center" wrapText="1"/>
    </xf>
    <xf numFmtId="0" fontId="92" fillId="25" borderId="10" xfId="9" applyFont="1" applyFill="1" applyBorder="1" applyAlignment="1">
      <alignment horizontal="center" vertical="center" wrapText="1"/>
    </xf>
    <xf numFmtId="0" fontId="92" fillId="26" borderId="10" xfId="9" applyFont="1" applyFill="1" applyBorder="1" applyAlignment="1">
      <alignment horizontal="center" vertical="center" wrapText="1"/>
    </xf>
    <xf numFmtId="0" fontId="93" fillId="27" borderId="10" xfId="0" applyFont="1" applyFill="1" applyBorder="1" applyAlignment="1">
      <alignment horizontal="center" vertical="center" wrapText="1"/>
    </xf>
    <xf numFmtId="0" fontId="94" fillId="3" borderId="11" xfId="0" applyFont="1" applyFill="1" applyBorder="1" applyAlignment="1">
      <alignment horizontal="center" vertical="center" wrapText="1"/>
    </xf>
    <xf numFmtId="171" fontId="84" fillId="0" borderId="0" xfId="3" applyNumberFormat="1" applyFont="1" applyAlignment="1">
      <alignment horizontal="center" vertical="center"/>
    </xf>
    <xf numFmtId="49" fontId="96" fillId="5" borderId="3" xfId="3" applyNumberFormat="1" applyFont="1" applyFill="1" applyBorder="1" applyAlignment="1">
      <alignment horizontal="center" vertical="center"/>
    </xf>
    <xf numFmtId="0" fontId="84" fillId="5" borderId="3" xfId="3" applyFont="1" applyFill="1" applyBorder="1" applyAlignment="1">
      <alignment horizontal="right" vertical="center" indent="1" readingOrder="2"/>
    </xf>
    <xf numFmtId="3" fontId="49" fillId="5" borderId="1" xfId="3" applyNumberFormat="1" applyFont="1" applyFill="1" applyBorder="1" applyAlignment="1">
      <alignment horizontal="right" vertical="center" indent="1"/>
    </xf>
    <xf numFmtId="164" fontId="98" fillId="0" borderId="0" xfId="3" applyNumberFormat="1" applyFont="1" applyAlignment="1">
      <alignment horizontal="right" vertical="center" indent="1"/>
    </xf>
    <xf numFmtId="0" fontId="0" fillId="0" borderId="0" xfId="0" applyAlignment="1">
      <alignment horizontal="left" vertical="center"/>
    </xf>
    <xf numFmtId="171" fontId="54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96" fillId="5" borderId="65" xfId="3" applyNumberFormat="1" applyFont="1" applyFill="1" applyBorder="1" applyAlignment="1">
      <alignment horizontal="center" vertical="center"/>
    </xf>
    <xf numFmtId="0" fontId="84" fillId="5" borderId="65" xfId="3" applyFont="1" applyFill="1" applyBorder="1" applyAlignment="1">
      <alignment horizontal="right" vertical="center" indent="1" readingOrder="2"/>
    </xf>
    <xf numFmtId="3" fontId="99" fillId="5" borderId="14" xfId="3" applyNumberFormat="1" applyFont="1" applyFill="1" applyBorder="1" applyAlignment="1">
      <alignment horizontal="right" vertical="center" indent="1"/>
    </xf>
    <xf numFmtId="49" fontId="96" fillId="5" borderId="66" xfId="3" applyNumberFormat="1" applyFont="1" applyFill="1" applyBorder="1" applyAlignment="1">
      <alignment horizontal="center" vertical="center"/>
    </xf>
    <xf numFmtId="0" fontId="84" fillId="5" borderId="66" xfId="3" applyFont="1" applyFill="1" applyBorder="1" applyAlignment="1">
      <alignment horizontal="right" vertical="center" indent="1" readingOrder="2"/>
    </xf>
    <xf numFmtId="3" fontId="99" fillId="5" borderId="32" xfId="3" applyNumberFormat="1" applyFont="1" applyFill="1" applyBorder="1" applyAlignment="1">
      <alignment horizontal="right" vertical="center" indent="1"/>
    </xf>
    <xf numFmtId="49" fontId="96" fillId="5" borderId="10" xfId="3" applyNumberFormat="1" applyFont="1" applyFill="1" applyBorder="1" applyAlignment="1">
      <alignment horizontal="center" vertical="center"/>
    </xf>
    <xf numFmtId="49" fontId="96" fillId="5" borderId="86" xfId="3" applyNumberFormat="1" applyFont="1" applyFill="1" applyBorder="1" applyAlignment="1">
      <alignment horizontal="center" vertical="center"/>
    </xf>
    <xf numFmtId="0" fontId="84" fillId="5" borderId="86" xfId="3" applyFont="1" applyFill="1" applyBorder="1" applyAlignment="1">
      <alignment horizontal="right" vertical="center" indent="1" readingOrder="2"/>
    </xf>
    <xf numFmtId="3" fontId="99" fillId="5" borderId="10" xfId="3" applyNumberFormat="1" applyFont="1" applyFill="1" applyBorder="1" applyAlignment="1">
      <alignment horizontal="right" vertical="center" indent="1"/>
    </xf>
    <xf numFmtId="3" fontId="99" fillId="5" borderId="1" xfId="3" applyNumberFormat="1" applyFont="1" applyFill="1" applyBorder="1" applyAlignment="1">
      <alignment horizontal="right" vertical="center" indent="1"/>
    </xf>
    <xf numFmtId="3" fontId="99" fillId="5" borderId="95" xfId="3" applyNumberFormat="1" applyFont="1" applyFill="1" applyBorder="1" applyAlignment="1">
      <alignment horizontal="right" vertical="center" indent="1"/>
    </xf>
    <xf numFmtId="49" fontId="96" fillId="5" borderId="64" xfId="3" applyNumberFormat="1" applyFont="1" applyFill="1" applyBorder="1" applyAlignment="1">
      <alignment horizontal="center" vertical="center"/>
    </xf>
    <xf numFmtId="0" fontId="84" fillId="5" borderId="64" xfId="3" applyFont="1" applyFill="1" applyBorder="1" applyAlignment="1">
      <alignment horizontal="right" vertical="center" indent="1" readingOrder="2"/>
    </xf>
    <xf numFmtId="3" fontId="99" fillId="5" borderId="0" xfId="3" applyNumberFormat="1" applyFont="1" applyFill="1" applyAlignment="1">
      <alignment horizontal="right" vertical="center" indent="1"/>
    </xf>
    <xf numFmtId="3" fontId="99" fillId="5" borderId="24" xfId="3" applyNumberFormat="1" applyFont="1" applyFill="1" applyBorder="1" applyAlignment="1">
      <alignment horizontal="right" vertical="center" indent="1"/>
    </xf>
    <xf numFmtId="0" fontId="84" fillId="0" borderId="100" xfId="3" applyFont="1" applyBorder="1" applyAlignment="1">
      <alignment horizontal="center" vertical="center"/>
    </xf>
    <xf numFmtId="0" fontId="84" fillId="10" borderId="100" xfId="3" applyFont="1" applyFill="1" applyBorder="1" applyAlignment="1">
      <alignment horizontal="right" vertical="center" indent="1" readingOrder="2"/>
    </xf>
    <xf numFmtId="3" fontId="36" fillId="18" borderId="87" xfId="5" applyNumberFormat="1" applyFont="1" applyFill="1" applyBorder="1" applyAlignment="1">
      <alignment horizontal="right" vertical="center" shrinkToFit="1" readingOrder="2"/>
    </xf>
    <xf numFmtId="3" fontId="36" fillId="18" borderId="6" xfId="5" applyNumberFormat="1" applyFont="1" applyFill="1" applyBorder="1" applyAlignment="1">
      <alignment horizontal="right" vertical="center" shrinkToFit="1" readingOrder="2"/>
    </xf>
    <xf numFmtId="3" fontId="32" fillId="5" borderId="101" xfId="5" applyNumberFormat="1" applyFont="1" applyFill="1" applyBorder="1" applyAlignment="1">
      <alignment horizontal="right" vertical="center" indent="1" shrinkToFit="1" readingOrder="2"/>
    </xf>
    <xf numFmtId="3" fontId="97" fillId="0" borderId="0" xfId="3" applyNumberFormat="1" applyFont="1" applyAlignment="1">
      <alignment horizontal="center" vertical="center"/>
    </xf>
    <xf numFmtId="49" fontId="96" fillId="5" borderId="102" xfId="3" applyNumberFormat="1" applyFont="1" applyFill="1" applyBorder="1" applyAlignment="1">
      <alignment horizontal="center" vertical="center"/>
    </xf>
    <xf numFmtId="49" fontId="96" fillId="5" borderId="103" xfId="3" applyNumberFormat="1" applyFont="1" applyFill="1" applyBorder="1" applyAlignment="1">
      <alignment horizontal="center" vertical="center"/>
    </xf>
    <xf numFmtId="0" fontId="84" fillId="5" borderId="103" xfId="3" applyFont="1" applyFill="1" applyBorder="1" applyAlignment="1">
      <alignment horizontal="right" vertical="center" indent="1" readingOrder="2"/>
    </xf>
    <xf numFmtId="3" fontId="99" fillId="5" borderId="102" xfId="3" applyNumberFormat="1" applyFont="1" applyFill="1" applyBorder="1" applyAlignment="1">
      <alignment horizontal="right" vertical="center" indent="1"/>
    </xf>
    <xf numFmtId="0" fontId="84" fillId="0" borderId="105" xfId="3" applyFont="1" applyBorder="1" applyAlignment="1">
      <alignment horizontal="right" vertical="center" indent="1" readingOrder="2"/>
    </xf>
    <xf numFmtId="0" fontId="84" fillId="0" borderId="100" xfId="3" applyFont="1" applyBorder="1" applyAlignment="1">
      <alignment horizontal="right" vertical="center" indent="1" readingOrder="2"/>
    </xf>
    <xf numFmtId="49" fontId="96" fillId="5" borderId="8" xfId="3" applyNumberFormat="1" applyFont="1" applyFill="1" applyBorder="1" applyAlignment="1">
      <alignment horizontal="center" vertical="center"/>
    </xf>
    <xf numFmtId="0" fontId="84" fillId="5" borderId="8" xfId="3" applyFont="1" applyFill="1" applyBorder="1" applyAlignment="1">
      <alignment horizontal="right" vertical="center" indent="1" readingOrder="2"/>
    </xf>
    <xf numFmtId="3" fontId="99" fillId="5" borderId="6" xfId="3" applyNumberFormat="1" applyFont="1" applyFill="1" applyBorder="1" applyAlignment="1">
      <alignment horizontal="right" vertical="center" indent="1"/>
    </xf>
    <xf numFmtId="3" fontId="99" fillId="5" borderId="87" xfId="3" applyNumberFormat="1" applyFont="1" applyFill="1" applyBorder="1" applyAlignment="1">
      <alignment horizontal="right" vertical="center" indent="1"/>
    </xf>
    <xf numFmtId="0" fontId="84" fillId="5" borderId="27" xfId="3" applyFont="1" applyFill="1" applyBorder="1" applyAlignment="1">
      <alignment horizontal="right" vertical="center" indent="1" readingOrder="2"/>
    </xf>
    <xf numFmtId="0" fontId="84" fillId="0" borderId="105" xfId="3" applyFont="1" applyBorder="1" applyAlignment="1">
      <alignment horizontal="center" vertical="center"/>
    </xf>
    <xf numFmtId="0" fontId="84" fillId="15" borderId="100" xfId="3" applyFont="1" applyFill="1" applyBorder="1" applyAlignment="1">
      <alignment horizontal="right" vertical="center" indent="1" readingOrder="2"/>
    </xf>
    <xf numFmtId="0" fontId="84" fillId="0" borderId="107" xfId="3" applyFont="1" applyBorder="1" applyAlignment="1">
      <alignment horizontal="right" vertical="center" indent="1" readingOrder="2"/>
    </xf>
    <xf numFmtId="0" fontId="84" fillId="0" borderId="54" xfId="3" applyFont="1" applyBorder="1" applyAlignment="1">
      <alignment horizontal="right" vertical="center" indent="1" readingOrder="2"/>
    </xf>
    <xf numFmtId="3" fontId="99" fillId="5" borderId="5" xfId="3" applyNumberFormat="1" applyFont="1" applyFill="1" applyBorder="1" applyAlignment="1">
      <alignment horizontal="right" vertical="center" indent="1"/>
    </xf>
    <xf numFmtId="0" fontId="84" fillId="0" borderId="107" xfId="3" applyFont="1" applyBorder="1" applyAlignment="1">
      <alignment horizontal="center" vertical="center"/>
    </xf>
    <xf numFmtId="3" fontId="99" fillId="5" borderId="33" xfId="3" applyNumberFormat="1" applyFont="1" applyFill="1" applyBorder="1" applyAlignment="1">
      <alignment horizontal="right" vertical="center" indent="1"/>
    </xf>
    <xf numFmtId="3" fontId="100" fillId="5" borderId="95" xfId="3" applyNumberFormat="1" applyFont="1" applyFill="1" applyBorder="1" applyAlignment="1">
      <alignment horizontal="right" vertical="center" indent="1"/>
    </xf>
    <xf numFmtId="3" fontId="100" fillId="5" borderId="1" xfId="3" applyNumberFormat="1" applyFont="1" applyFill="1" applyBorder="1" applyAlignment="1">
      <alignment horizontal="right" vertical="center" indent="1"/>
    </xf>
    <xf numFmtId="164" fontId="101" fillId="0" borderId="0" xfId="3" applyNumberFormat="1" applyFont="1" applyAlignment="1">
      <alignment horizontal="right" vertical="center" indent="1"/>
    </xf>
    <xf numFmtId="3" fontId="100" fillId="5" borderId="24" xfId="3" applyNumberFormat="1" applyFont="1" applyFill="1" applyBorder="1" applyAlignment="1">
      <alignment horizontal="right" vertical="center" indent="1"/>
    </xf>
    <xf numFmtId="3" fontId="100" fillId="5" borderId="0" xfId="3" applyNumberFormat="1" applyFont="1" applyFill="1" applyAlignment="1">
      <alignment horizontal="right" vertical="center" indent="1"/>
    </xf>
    <xf numFmtId="3" fontId="100" fillId="5" borderId="87" xfId="3" applyNumberFormat="1" applyFont="1" applyFill="1" applyBorder="1" applyAlignment="1">
      <alignment horizontal="right" vertical="center" indent="1"/>
    </xf>
    <xf numFmtId="3" fontId="100" fillId="5" borderId="6" xfId="3" applyNumberFormat="1" applyFont="1" applyFill="1" applyBorder="1" applyAlignment="1">
      <alignment horizontal="right" vertical="center" indent="1"/>
    </xf>
    <xf numFmtId="0" fontId="84" fillId="0" borderId="58" xfId="3" applyFont="1" applyBorder="1" applyAlignment="1">
      <alignment horizontal="center" vertical="center"/>
    </xf>
    <xf numFmtId="0" fontId="84" fillId="0" borderId="55" xfId="3" applyFont="1" applyBorder="1" applyAlignment="1">
      <alignment horizontal="center" vertical="center"/>
    </xf>
    <xf numFmtId="0" fontId="84" fillId="0" borderId="55" xfId="3" applyFont="1" applyBorder="1" applyAlignment="1">
      <alignment horizontal="right" vertical="center" indent="1" readingOrder="2"/>
    </xf>
    <xf numFmtId="164" fontId="102" fillId="0" borderId="24" xfId="3" applyNumberFormat="1" applyFont="1" applyBorder="1" applyAlignment="1">
      <alignment horizontal="right" vertical="center" indent="1"/>
    </xf>
    <xf numFmtId="164" fontId="102" fillId="0" borderId="0" xfId="3" applyNumberFormat="1" applyFont="1" applyAlignment="1">
      <alignment horizontal="right" vertical="center" indent="1"/>
    </xf>
    <xf numFmtId="0" fontId="50" fillId="16" borderId="57" xfId="3" applyFont="1" applyFill="1" applyBorder="1" applyAlignment="1">
      <alignment horizontal="center" vertical="center" shrinkToFit="1"/>
    </xf>
    <xf numFmtId="0" fontId="50" fillId="16" borderId="96" xfId="3" applyFont="1" applyFill="1" applyBorder="1" applyAlignment="1">
      <alignment horizontal="center" vertical="center" shrinkToFit="1"/>
    </xf>
    <xf numFmtId="0" fontId="50" fillId="16" borderId="96" xfId="3" applyFont="1" applyFill="1" applyBorder="1" applyAlignment="1">
      <alignment horizontal="right" vertical="center" shrinkToFit="1" readingOrder="2"/>
    </xf>
    <xf numFmtId="3" fontId="50" fillId="16" borderId="95" xfId="3" applyNumberFormat="1" applyFont="1" applyFill="1" applyBorder="1" applyAlignment="1">
      <alignment horizontal="center" vertical="center" shrinkToFit="1"/>
    </xf>
    <xf numFmtId="3" fontId="50" fillId="16" borderId="1" xfId="3" applyNumberFormat="1" applyFont="1" applyFill="1" applyBorder="1" applyAlignment="1">
      <alignment horizontal="center" vertical="center" shrinkToFit="1"/>
    </xf>
    <xf numFmtId="3" fontId="85" fillId="16" borderId="26" xfId="3" applyNumberFormat="1" applyFont="1" applyFill="1" applyBorder="1" applyAlignment="1">
      <alignment horizontal="left" vertical="center"/>
    </xf>
    <xf numFmtId="3" fontId="85" fillId="16" borderId="26" xfId="3" applyNumberFormat="1" applyFont="1" applyFill="1" applyBorder="1" applyAlignment="1">
      <alignment horizontal="center" vertical="center"/>
    </xf>
    <xf numFmtId="0" fontId="50" fillId="41" borderId="58" xfId="3" applyFont="1" applyFill="1" applyBorder="1" applyAlignment="1">
      <alignment horizontal="center" vertical="center" shrinkToFit="1"/>
    </xf>
    <xf numFmtId="0" fontId="50" fillId="41" borderId="55" xfId="3" applyFont="1" applyFill="1" applyBorder="1" applyAlignment="1">
      <alignment horizontal="center" vertical="center" shrinkToFit="1"/>
    </xf>
    <xf numFmtId="0" fontId="103" fillId="41" borderId="55" xfId="3" applyFont="1" applyFill="1" applyBorder="1" applyAlignment="1">
      <alignment horizontal="right" vertical="center" shrinkToFit="1" readingOrder="2"/>
    </xf>
    <xf numFmtId="3" fontId="103" fillId="41" borderId="24" xfId="3" applyNumberFormat="1" applyFont="1" applyFill="1" applyBorder="1" applyAlignment="1">
      <alignment horizontal="center" vertical="center" shrinkToFit="1"/>
    </xf>
    <xf numFmtId="3" fontId="103" fillId="41" borderId="0" xfId="3" applyNumberFormat="1" applyFont="1" applyFill="1" applyAlignment="1">
      <alignment horizontal="center" vertical="center" shrinkToFit="1"/>
    </xf>
    <xf numFmtId="3" fontId="85" fillId="16" borderId="17" xfId="3" applyNumberFormat="1" applyFont="1" applyFill="1" applyBorder="1" applyAlignment="1">
      <alignment horizontal="left" vertical="center"/>
    </xf>
    <xf numFmtId="3" fontId="85" fillId="16" borderId="17" xfId="3" applyNumberFormat="1" applyFont="1" applyFill="1" applyBorder="1" applyAlignment="1">
      <alignment horizontal="center" vertical="center"/>
    </xf>
    <xf numFmtId="0" fontId="50" fillId="16" borderId="58" xfId="3" applyFont="1" applyFill="1" applyBorder="1" applyAlignment="1">
      <alignment horizontal="center" vertical="center" shrinkToFit="1"/>
    </xf>
    <xf numFmtId="0" fontId="50" fillId="16" borderId="55" xfId="3" applyFont="1" applyFill="1" applyBorder="1" applyAlignment="1">
      <alignment horizontal="center" vertical="center" shrinkToFit="1"/>
    </xf>
    <xf numFmtId="0" fontId="103" fillId="16" borderId="55" xfId="3" applyFont="1" applyFill="1" applyBorder="1" applyAlignment="1">
      <alignment horizontal="right" vertical="center" shrinkToFit="1" readingOrder="2"/>
    </xf>
    <xf numFmtId="3" fontId="103" fillId="16" borderId="24" xfId="3" applyNumberFormat="1" applyFont="1" applyFill="1" applyBorder="1" applyAlignment="1">
      <alignment horizontal="center" vertical="center" shrinkToFit="1"/>
    </xf>
    <xf numFmtId="3" fontId="103" fillId="16" borderId="0" xfId="3" applyNumberFormat="1" applyFont="1" applyFill="1" applyAlignment="1">
      <alignment horizontal="center" vertical="center" shrinkToFit="1"/>
    </xf>
    <xf numFmtId="0" fontId="50" fillId="16" borderId="97" xfId="3" applyFont="1" applyFill="1" applyBorder="1" applyAlignment="1">
      <alignment horizontal="center" vertical="center" shrinkToFit="1"/>
    </xf>
    <xf numFmtId="0" fontId="50" fillId="16" borderId="98" xfId="3" applyFont="1" applyFill="1" applyBorder="1" applyAlignment="1">
      <alignment horizontal="center" vertical="center" shrinkToFit="1"/>
    </xf>
    <xf numFmtId="0" fontId="50" fillId="16" borderId="98" xfId="3" applyFont="1" applyFill="1" applyBorder="1" applyAlignment="1">
      <alignment horizontal="right" vertical="center" shrinkToFit="1" readingOrder="2"/>
    </xf>
    <xf numFmtId="3" fontId="50" fillId="16" borderId="87" xfId="3" applyNumberFormat="1" applyFont="1" applyFill="1" applyBorder="1" applyAlignment="1">
      <alignment horizontal="center" vertical="center" shrinkToFit="1"/>
    </xf>
    <xf numFmtId="3" fontId="50" fillId="16" borderId="6" xfId="3" applyNumberFormat="1" applyFont="1" applyFill="1" applyBorder="1" applyAlignment="1">
      <alignment horizontal="center" vertical="center" shrinkToFit="1"/>
    </xf>
    <xf numFmtId="3" fontId="85" fillId="16" borderId="18" xfId="3" applyNumberFormat="1" applyFont="1" applyFill="1" applyBorder="1" applyAlignment="1">
      <alignment horizontal="left" vertical="center"/>
    </xf>
    <xf numFmtId="3" fontId="85" fillId="16" borderId="18" xfId="3" applyNumberFormat="1" applyFont="1" applyFill="1" applyBorder="1" applyAlignment="1">
      <alignment horizontal="center" vertical="center"/>
    </xf>
    <xf numFmtId="0" fontId="104" fillId="16" borderId="1" xfId="3" applyFont="1" applyFill="1" applyBorder="1" applyAlignment="1">
      <alignment horizontal="left"/>
    </xf>
    <xf numFmtId="0" fontId="84" fillId="0" borderId="0" xfId="3" applyFont="1" applyAlignment="1">
      <alignment horizontal="left" vertical="center"/>
    </xf>
    <xf numFmtId="0" fontId="104" fillId="16" borderId="0" xfId="3" applyFont="1" applyFill="1" applyAlignment="1">
      <alignment horizontal="left"/>
    </xf>
    <xf numFmtId="0" fontId="104" fillId="16" borderId="6" xfId="3" applyFont="1" applyFill="1" applyBorder="1" applyAlignment="1">
      <alignment horizontal="left"/>
    </xf>
    <xf numFmtId="0" fontId="84" fillId="0" borderId="0" xfId="3" applyFont="1" applyAlignment="1">
      <alignment horizontal="right" vertical="center" indent="1" readingOrder="2"/>
    </xf>
    <xf numFmtId="4" fontId="102" fillId="0" borderId="102" xfId="3" applyNumberFormat="1" applyFont="1" applyBorder="1" applyAlignment="1">
      <alignment horizontal="right" vertical="center" indent="1"/>
    </xf>
    <xf numFmtId="4" fontId="102" fillId="0" borderId="0" xfId="3" applyNumberFormat="1" applyFont="1" applyAlignment="1">
      <alignment horizontal="right" vertical="center" indent="1"/>
    </xf>
    <xf numFmtId="164" fontId="97" fillId="0" borderId="22" xfId="3" applyNumberFormat="1" applyFont="1" applyBorder="1" applyAlignment="1">
      <alignment horizontal="right" vertical="center" indent="1"/>
    </xf>
    <xf numFmtId="164" fontId="97" fillId="0" borderId="5" xfId="3" applyNumberFormat="1" applyFont="1" applyBorder="1" applyAlignment="1">
      <alignment horizontal="right" vertical="center" indent="1"/>
    </xf>
    <xf numFmtId="164" fontId="99" fillId="0" borderId="5" xfId="3" applyNumberFormat="1" applyFont="1" applyBorder="1" applyAlignment="1">
      <alignment horizontal="right" vertical="center" indent="1"/>
    </xf>
    <xf numFmtId="164" fontId="99" fillId="0" borderId="22" xfId="3" applyNumberFormat="1" applyFont="1" applyBorder="1" applyAlignment="1">
      <alignment horizontal="right" vertical="center" indent="1"/>
    </xf>
    <xf numFmtId="164" fontId="97" fillId="0" borderId="99" xfId="3" applyNumberFormat="1" applyFont="1" applyBorder="1" applyAlignment="1">
      <alignment horizontal="right" vertical="center" indent="1"/>
    </xf>
    <xf numFmtId="164" fontId="97" fillId="0" borderId="102" xfId="3" applyNumberFormat="1" applyFont="1" applyBorder="1" applyAlignment="1">
      <alignment horizontal="right" vertical="center" indent="1"/>
    </xf>
    <xf numFmtId="164" fontId="99" fillId="0" borderId="102" xfId="3" applyNumberFormat="1" applyFont="1" applyBorder="1" applyAlignment="1">
      <alignment horizontal="right" vertical="center" indent="1"/>
    </xf>
    <xf numFmtId="164" fontId="99" fillId="0" borderId="99" xfId="3" applyNumberFormat="1" applyFont="1" applyBorder="1" applyAlignment="1">
      <alignment horizontal="right" vertical="center" indent="1"/>
    </xf>
    <xf numFmtId="0" fontId="84" fillId="0" borderId="113" xfId="3" applyFont="1" applyBorder="1" applyAlignment="1">
      <alignment horizontal="center" vertical="center"/>
    </xf>
    <xf numFmtId="0" fontId="84" fillId="0" borderId="114" xfId="3" applyFont="1" applyBorder="1" applyAlignment="1">
      <alignment horizontal="center" vertical="center"/>
    </xf>
    <xf numFmtId="0" fontId="84" fillId="0" borderId="114" xfId="3" applyFont="1" applyBorder="1" applyAlignment="1">
      <alignment horizontal="right" vertical="center" indent="1" readingOrder="2"/>
    </xf>
    <xf numFmtId="164" fontId="97" fillId="0" borderId="71" xfId="3" applyNumberFormat="1" applyFont="1" applyBorder="1" applyAlignment="1">
      <alignment horizontal="right" vertical="center" indent="1"/>
    </xf>
    <xf numFmtId="164" fontId="97" fillId="0" borderId="49" xfId="3" applyNumberFormat="1" applyFont="1" applyBorder="1" applyAlignment="1">
      <alignment horizontal="right" vertical="center" indent="1"/>
    </xf>
    <xf numFmtId="164" fontId="99" fillId="0" borderId="49" xfId="3" applyNumberFormat="1" applyFont="1" applyBorder="1" applyAlignment="1">
      <alignment horizontal="right" vertical="center" indent="1"/>
    </xf>
    <xf numFmtId="164" fontId="99" fillId="0" borderId="71" xfId="3" applyNumberFormat="1" applyFont="1" applyBorder="1" applyAlignment="1">
      <alignment horizontal="right" vertical="center" indent="1"/>
    </xf>
    <xf numFmtId="0" fontId="85" fillId="0" borderId="0" xfId="0" applyFont="1" applyAlignment="1">
      <alignment horizontal="left" vertical="center" indent="2"/>
    </xf>
    <xf numFmtId="0" fontId="18" fillId="5" borderId="0" xfId="0" applyFont="1" applyFill="1" applyAlignment="1">
      <alignment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91" fillId="3" borderId="7" xfId="3" applyFont="1" applyFill="1" applyBorder="1" applyAlignment="1">
      <alignment horizontal="center" vertical="center"/>
    </xf>
    <xf numFmtId="0" fontId="91" fillId="3" borderId="6" xfId="3" applyFont="1" applyFill="1" applyBorder="1" applyAlignment="1">
      <alignment horizontal="center" vertical="center"/>
    </xf>
    <xf numFmtId="166" fontId="97" fillId="5" borderId="0" xfId="0" applyNumberFormat="1" applyFont="1" applyFill="1" applyAlignment="1">
      <alignment horizontal="left" vertical="center" indent="2"/>
    </xf>
    <xf numFmtId="166" fontId="105" fillId="0" borderId="0" xfId="3" applyNumberFormat="1" applyFont="1" applyAlignment="1">
      <alignment horizontal="right" vertical="center" indent="1"/>
    </xf>
    <xf numFmtId="166" fontId="97" fillId="5" borderId="14" xfId="0" applyNumberFormat="1" applyFont="1" applyFill="1" applyBorder="1" applyAlignment="1">
      <alignment horizontal="left" vertical="center" indent="2"/>
    </xf>
    <xf numFmtId="166" fontId="97" fillId="5" borderId="32" xfId="0" applyNumberFormat="1" applyFont="1" applyFill="1" applyBorder="1" applyAlignment="1">
      <alignment horizontal="left" vertical="center" indent="2"/>
    </xf>
    <xf numFmtId="168" fontId="29" fillId="3" borderId="0" xfId="8" applyNumberFormat="1" applyFont="1" applyFill="1" applyAlignment="1">
      <alignment horizontal="right" vertical="center"/>
    </xf>
    <xf numFmtId="3" fontId="29" fillId="5" borderId="8" xfId="0" applyNumberFormat="1" applyFont="1" applyFill="1" applyBorder="1" applyAlignment="1">
      <alignment horizontal="center" vertical="center"/>
    </xf>
    <xf numFmtId="0" fontId="50" fillId="16" borderId="49" xfId="3" applyFont="1" applyFill="1" applyBorder="1" applyAlignment="1">
      <alignment horizontal="center" vertical="center" shrinkToFit="1"/>
    </xf>
    <xf numFmtId="3" fontId="50" fillId="16" borderId="49" xfId="3" applyNumberFormat="1" applyFont="1" applyFill="1" applyBorder="1" applyAlignment="1">
      <alignment horizontal="center" vertical="center" shrinkToFit="1"/>
    </xf>
    <xf numFmtId="3" fontId="50" fillId="16" borderId="89" xfId="3" applyNumberFormat="1" applyFont="1" applyFill="1" applyBorder="1" applyAlignment="1">
      <alignment horizontal="center" vertical="center" shrinkToFit="1"/>
    </xf>
    <xf numFmtId="4" fontId="106" fillId="5" borderId="0" xfId="3" applyNumberFormat="1" applyFont="1" applyFill="1" applyBorder="1" applyAlignment="1">
      <alignment horizontal="center" vertical="center" shrinkToFit="1"/>
    </xf>
    <xf numFmtId="4" fontId="106" fillId="5" borderId="14" xfId="3" applyNumberFormat="1" applyFont="1" applyFill="1" applyBorder="1" applyAlignment="1">
      <alignment horizontal="center" vertical="center" shrinkToFit="1"/>
    </xf>
    <xf numFmtId="4" fontId="106" fillId="5" borderId="32" xfId="3" applyNumberFormat="1" applyFont="1" applyFill="1" applyBorder="1" applyAlignment="1">
      <alignment horizontal="center" vertical="center" shrinkToFit="1"/>
    </xf>
    <xf numFmtId="0" fontId="88" fillId="39" borderId="104" xfId="0" applyFont="1" applyFill="1" applyBorder="1" applyAlignment="1">
      <alignment horizontal="right" vertical="center" indent="1"/>
    </xf>
    <xf numFmtId="0" fontId="88" fillId="40" borderId="29" xfId="0" applyFont="1" applyFill="1" applyBorder="1" applyAlignment="1">
      <alignment horizontal="right" vertical="center" indent="1"/>
    </xf>
    <xf numFmtId="0" fontId="88" fillId="39" borderId="106" xfId="0" applyFont="1" applyFill="1" applyBorder="1" applyAlignment="1">
      <alignment horizontal="right" vertical="center" indent="1"/>
    </xf>
    <xf numFmtId="0" fontId="88" fillId="39" borderId="27" xfId="0" applyFont="1" applyFill="1" applyBorder="1" applyAlignment="1">
      <alignment horizontal="right" vertical="center" indent="1"/>
    </xf>
    <xf numFmtId="0" fontId="88" fillId="39" borderId="31" xfId="0" applyFont="1" applyFill="1" applyBorder="1" applyAlignment="1">
      <alignment horizontal="right" vertical="center" indent="1"/>
    </xf>
    <xf numFmtId="0" fontId="88" fillId="40" borderId="30" xfId="0" applyFont="1" applyFill="1" applyBorder="1" applyAlignment="1">
      <alignment horizontal="right" vertical="center" indent="1"/>
    </xf>
    <xf numFmtId="0" fontId="88" fillId="40" borderId="31" xfId="0" applyFont="1" applyFill="1" applyBorder="1" applyAlignment="1">
      <alignment horizontal="right" vertical="center" indent="1"/>
    </xf>
    <xf numFmtId="0" fontId="88" fillId="40" borderId="28" xfId="0" applyFont="1" applyFill="1" applyBorder="1" applyAlignment="1">
      <alignment horizontal="right" vertical="center" indent="1"/>
    </xf>
    <xf numFmtId="0" fontId="88" fillId="40" borderId="104" xfId="0" applyFont="1" applyFill="1" applyBorder="1" applyAlignment="1">
      <alignment horizontal="right" vertical="center" indent="1"/>
    </xf>
    <xf numFmtId="0" fontId="88" fillId="40" borderId="106" xfId="0" applyFont="1" applyFill="1" applyBorder="1" applyAlignment="1">
      <alignment horizontal="right" vertical="center" indent="1"/>
    </xf>
    <xf numFmtId="0" fontId="88" fillId="40" borderId="108" xfId="0" applyFont="1" applyFill="1" applyBorder="1" applyAlignment="1">
      <alignment horizontal="right" vertical="center" indent="1"/>
    </xf>
    <xf numFmtId="0" fontId="88" fillId="39" borderId="109" xfId="0" applyFont="1" applyFill="1" applyBorder="1" applyAlignment="1">
      <alignment horizontal="right" vertical="center" indent="1"/>
    </xf>
    <xf numFmtId="0" fontId="88" fillId="5" borderId="0" xfId="0" applyFont="1" applyFill="1" applyAlignment="1">
      <alignment horizontal="right" vertical="center" indent="1"/>
    </xf>
    <xf numFmtId="0" fontId="88" fillId="39" borderId="108" xfId="0" applyFont="1" applyFill="1" applyBorder="1" applyAlignment="1">
      <alignment horizontal="right" vertical="center" indent="1"/>
    </xf>
    <xf numFmtId="0" fontId="88" fillId="40" borderId="110" xfId="0" applyFont="1" applyFill="1" applyBorder="1" applyAlignment="1">
      <alignment horizontal="right" vertical="center" indent="1"/>
    </xf>
    <xf numFmtId="167" fontId="107" fillId="42" borderId="117" xfId="8" applyNumberFormat="1" applyFont="1" applyFill="1" applyBorder="1" applyAlignment="1">
      <alignment vertical="center"/>
    </xf>
    <xf numFmtId="0" fontId="0" fillId="3" borderId="49" xfId="0" applyFill="1" applyBorder="1"/>
    <xf numFmtId="3" fontId="34" fillId="3" borderId="118" xfId="0" applyNumberFormat="1" applyFont="1" applyFill="1" applyBorder="1" applyAlignment="1">
      <alignment horizontal="right" vertical="center" indent="1" shrinkToFit="1"/>
    </xf>
    <xf numFmtId="3" fontId="34" fillId="3" borderId="49" xfId="0" applyNumberFormat="1" applyFont="1" applyFill="1" applyBorder="1" applyAlignment="1">
      <alignment horizontal="right" vertical="center" indent="1" shrinkToFit="1"/>
    </xf>
    <xf numFmtId="3" fontId="34" fillId="3" borderId="119" xfId="0" applyNumberFormat="1" applyFont="1" applyFill="1" applyBorder="1" applyAlignment="1">
      <alignment horizontal="right" vertical="center" indent="1" shrinkToFit="1"/>
    </xf>
    <xf numFmtId="3" fontId="34" fillId="3" borderId="91" xfId="0" applyNumberFormat="1" applyFont="1" applyFill="1" applyBorder="1" applyAlignment="1">
      <alignment horizontal="right" vertical="center" indent="1" shrinkToFit="1"/>
    </xf>
    <xf numFmtId="164" fontId="51" fillId="3" borderId="49" xfId="0" applyNumberFormat="1" applyFont="1" applyFill="1" applyBorder="1" applyAlignment="1">
      <alignment horizontal="center" vertical="center"/>
    </xf>
    <xf numFmtId="164" fontId="51" fillId="3" borderId="120" xfId="0" applyNumberFormat="1" applyFont="1" applyFill="1" applyBorder="1" applyAlignment="1">
      <alignment horizontal="center" vertical="center"/>
    </xf>
    <xf numFmtId="2" fontId="51" fillId="3" borderId="120" xfId="0" applyNumberFormat="1" applyFont="1" applyFill="1" applyBorder="1" applyAlignment="1">
      <alignment horizontal="center" vertical="center"/>
    </xf>
    <xf numFmtId="166" fontId="49" fillId="3" borderId="49" xfId="0" applyNumberFormat="1" applyFont="1" applyFill="1" applyBorder="1" applyAlignment="1">
      <alignment horizontal="right" vertical="center" indent="1"/>
    </xf>
    <xf numFmtId="3" fontId="41" fillId="3" borderId="49" xfId="0" applyNumberFormat="1" applyFont="1" applyFill="1" applyBorder="1" applyAlignment="1">
      <alignment horizontal="right" vertical="center" indent="1"/>
    </xf>
    <xf numFmtId="4" fontId="79" fillId="3" borderId="49" xfId="3" applyNumberFormat="1" applyFont="1" applyFill="1" applyBorder="1" applyAlignment="1">
      <alignment horizontal="center" vertical="center" shrinkToFit="1"/>
    </xf>
    <xf numFmtId="37" fontId="108" fillId="11" borderId="115" xfId="8" applyNumberFormat="1" applyFont="1" applyFill="1" applyBorder="1" applyAlignment="1">
      <alignment vertical="center"/>
    </xf>
    <xf numFmtId="37" fontId="108" fillId="43" borderId="115" xfId="8" applyNumberFormat="1" applyFont="1" applyFill="1" applyBorder="1" applyAlignment="1">
      <alignment vertical="center"/>
    </xf>
    <xf numFmtId="37" fontId="108" fillId="11" borderId="116" xfId="8" applyNumberFormat="1" applyFont="1" applyFill="1" applyBorder="1" applyAlignment="1">
      <alignment vertical="center"/>
    </xf>
    <xf numFmtId="37" fontId="108" fillId="43" borderId="116" xfId="8" applyNumberFormat="1" applyFont="1" applyFill="1" applyBorder="1" applyAlignment="1">
      <alignment vertical="center"/>
    </xf>
    <xf numFmtId="37" fontId="108" fillId="11" borderId="117" xfId="8" applyNumberFormat="1" applyFont="1" applyFill="1" applyBorder="1" applyAlignment="1">
      <alignment vertical="center"/>
    </xf>
    <xf numFmtId="37" fontId="108" fillId="43" borderId="117" xfId="8" applyNumberFormat="1" applyFont="1" applyFill="1" applyBorder="1" applyAlignment="1">
      <alignment vertical="center"/>
    </xf>
    <xf numFmtId="37" fontId="108" fillId="11" borderId="116" xfId="8" applyNumberFormat="1" applyFont="1" applyFill="1" applyBorder="1" applyAlignment="1">
      <alignment horizontal="center" vertical="center" wrapText="1"/>
    </xf>
    <xf numFmtId="37" fontId="108" fillId="43" borderId="116" xfId="8" applyNumberFormat="1" applyFont="1" applyFill="1" applyBorder="1" applyAlignment="1">
      <alignment horizontal="center" vertical="center" wrapText="1"/>
    </xf>
    <xf numFmtId="167" fontId="108" fillId="34" borderId="121" xfId="8" applyNumberFormat="1" applyFont="1" applyFill="1" applyBorder="1"/>
    <xf numFmtId="167" fontId="108" fillId="34" borderId="41" xfId="8" applyNumberFormat="1" applyFont="1" applyFill="1" applyBorder="1"/>
    <xf numFmtId="167" fontId="108" fillId="34" borderId="47" xfId="8" applyNumberFormat="1" applyFont="1" applyFill="1" applyBorder="1"/>
    <xf numFmtId="167" fontId="108" fillId="10" borderId="47" xfId="8" applyNumberFormat="1" applyFont="1" applyFill="1" applyBorder="1"/>
    <xf numFmtId="9" fontId="21" fillId="18" borderId="9" xfId="7" applyFont="1" applyFill="1" applyBorder="1" applyAlignment="1">
      <alignment horizontal="center" vertical="center" readingOrder="1"/>
    </xf>
    <xf numFmtId="0" fontId="21" fillId="18" borderId="9" xfId="7" applyNumberFormat="1" applyFont="1" applyFill="1" applyBorder="1" applyAlignment="1">
      <alignment horizontal="center" vertical="center" readingOrder="1"/>
    </xf>
    <xf numFmtId="0" fontId="18" fillId="5" borderId="0" xfId="0" applyFont="1" applyFill="1" applyAlignment="1">
      <alignment horizontal="right" vertical="center" indent="1" readingOrder="2"/>
    </xf>
    <xf numFmtId="0" fontId="16" fillId="3" borderId="1" xfId="0" applyFont="1" applyFill="1" applyBorder="1" applyAlignment="1">
      <alignment horizontal="center" vertical="center" wrapText="1" readingOrder="2"/>
    </xf>
    <xf numFmtId="0" fontId="82" fillId="3" borderId="1" xfId="0" applyFont="1" applyFill="1" applyBorder="1" applyAlignment="1">
      <alignment horizontal="center" vertical="center" wrapText="1"/>
    </xf>
    <xf numFmtId="0" fontId="44" fillId="3" borderId="122" xfId="0" applyFont="1" applyFill="1" applyBorder="1" applyAlignment="1">
      <alignment horizontal="center" vertical="top" wrapText="1"/>
    </xf>
    <xf numFmtId="0" fontId="44" fillId="3" borderId="1" xfId="0" applyFont="1" applyFill="1" applyBorder="1" applyAlignment="1">
      <alignment horizontal="center" vertical="top" wrapText="1"/>
    </xf>
    <xf numFmtId="0" fontId="44" fillId="3" borderId="123" xfId="0" applyFont="1" applyFill="1" applyBorder="1" applyAlignment="1">
      <alignment horizontal="center" vertical="top" wrapText="1"/>
    </xf>
    <xf numFmtId="0" fontId="44" fillId="3" borderId="3" xfId="0" applyFont="1" applyFill="1" applyBorder="1" applyAlignment="1">
      <alignment horizontal="center" vertical="top" wrapText="1"/>
    </xf>
    <xf numFmtId="0" fontId="45" fillId="3" borderId="1" xfId="0" applyFont="1" applyFill="1" applyBorder="1" applyAlignment="1">
      <alignment horizontal="center" vertical="top" wrapText="1"/>
    </xf>
    <xf numFmtId="0" fontId="45" fillId="3" borderId="124" xfId="0" applyFont="1" applyFill="1" applyBorder="1" applyAlignment="1">
      <alignment horizontal="center" vertical="top" wrapText="1"/>
    </xf>
    <xf numFmtId="0" fontId="16" fillId="3" borderId="6" xfId="0" applyFont="1" applyFill="1" applyBorder="1" applyAlignment="1">
      <alignment horizontal="center" vertical="center" wrapText="1" readingOrder="2"/>
    </xf>
    <xf numFmtId="0" fontId="27" fillId="3" borderId="6" xfId="0" applyFont="1" applyFill="1" applyBorder="1" applyAlignment="1">
      <alignment horizontal="center" vertical="center" wrapText="1"/>
    </xf>
    <xf numFmtId="0" fontId="47" fillId="3" borderId="125" xfId="0" applyFont="1" applyFill="1" applyBorder="1" applyAlignment="1">
      <alignment horizontal="center"/>
    </xf>
    <xf numFmtId="0" fontId="47" fillId="3" borderId="6" xfId="0" applyFont="1" applyFill="1" applyBorder="1" applyAlignment="1">
      <alignment horizontal="center"/>
    </xf>
    <xf numFmtId="0" fontId="47" fillId="3" borderId="126" xfId="0" applyFont="1" applyFill="1" applyBorder="1" applyAlignment="1">
      <alignment horizontal="center"/>
    </xf>
    <xf numFmtId="0" fontId="47" fillId="3" borderId="8" xfId="0" applyFont="1" applyFill="1" applyBorder="1" applyAlignment="1">
      <alignment horizontal="center"/>
    </xf>
    <xf numFmtId="0" fontId="48" fillId="3" borderId="6" xfId="0" applyFont="1" applyFill="1" applyBorder="1" applyAlignment="1">
      <alignment horizontal="center"/>
    </xf>
    <xf numFmtId="0" fontId="48" fillId="3" borderId="127" xfId="0" applyFont="1" applyFill="1" applyBorder="1" applyAlignment="1">
      <alignment horizontal="center" wrapText="1"/>
    </xf>
    <xf numFmtId="0" fontId="48" fillId="3" borderId="127" xfId="0" applyFont="1" applyFill="1" applyBorder="1" applyAlignment="1">
      <alignment horizontal="center"/>
    </xf>
    <xf numFmtId="0" fontId="48" fillId="3" borderId="6" xfId="0" applyFont="1" applyFill="1" applyBorder="1" applyAlignment="1">
      <alignment horizontal="center" vertical="center" wrapText="1"/>
    </xf>
    <xf numFmtId="164" fontId="106" fillId="5" borderId="14" xfId="3" applyNumberFormat="1" applyFont="1" applyFill="1" applyBorder="1" applyAlignment="1">
      <alignment horizontal="center" vertical="center" shrinkToFit="1"/>
    </xf>
    <xf numFmtId="164" fontId="106" fillId="5" borderId="0" xfId="3" applyNumberFormat="1" applyFont="1" applyFill="1" applyBorder="1" applyAlignment="1">
      <alignment horizontal="center" vertical="center" shrinkToFit="1"/>
    </xf>
    <xf numFmtId="164" fontId="106" fillId="5" borderId="32" xfId="3" applyNumberFormat="1" applyFont="1" applyFill="1" applyBorder="1" applyAlignment="1">
      <alignment horizontal="center" vertical="center" shrinkToFit="1"/>
    </xf>
    <xf numFmtId="0" fontId="19" fillId="3" borderId="128" xfId="4" applyFont="1" applyFill="1" applyBorder="1" applyAlignment="1">
      <alignment horizontal="center" vertical="top" wrapText="1"/>
    </xf>
    <xf numFmtId="4" fontId="106" fillId="5" borderId="29" xfId="3" applyNumberFormat="1" applyFont="1" applyFill="1" applyBorder="1" applyAlignment="1">
      <alignment horizontal="center" vertical="center" shrinkToFit="1"/>
    </xf>
    <xf numFmtId="4" fontId="106" fillId="5" borderId="30" xfId="3" applyNumberFormat="1" applyFont="1" applyFill="1" applyBorder="1" applyAlignment="1">
      <alignment horizontal="center" vertical="center" shrinkToFit="1"/>
    </xf>
    <xf numFmtId="4" fontId="106" fillId="5" borderId="31" xfId="3" applyNumberFormat="1" applyFont="1" applyFill="1" applyBorder="1" applyAlignment="1">
      <alignment horizontal="center" vertical="center" shrinkToFit="1"/>
    </xf>
    <xf numFmtId="164" fontId="106" fillId="5" borderId="30" xfId="3" applyNumberFormat="1" applyFont="1" applyFill="1" applyBorder="1" applyAlignment="1">
      <alignment horizontal="center" vertical="center" shrinkToFit="1"/>
    </xf>
    <xf numFmtId="164" fontId="106" fillId="5" borderId="29" xfId="3" applyNumberFormat="1" applyFont="1" applyFill="1" applyBorder="1" applyAlignment="1">
      <alignment horizontal="center" vertical="center" shrinkToFit="1"/>
    </xf>
    <xf numFmtId="164" fontId="106" fillId="5" borderId="31" xfId="3" applyNumberFormat="1" applyFont="1" applyFill="1" applyBorder="1" applyAlignment="1">
      <alignment horizontal="center" vertical="center" shrinkToFit="1"/>
    </xf>
    <xf numFmtId="4" fontId="72" fillId="19" borderId="31" xfId="3" applyNumberFormat="1" applyFont="1" applyFill="1" applyBorder="1" applyAlignment="1">
      <alignment horizontal="center" vertical="center" shrinkToFit="1"/>
    </xf>
    <xf numFmtId="1" fontId="1" fillId="0" borderId="0" xfId="2" applyNumberFormat="1" applyBorder="1" applyAlignment="1">
      <alignment horizontal="right" indent="2"/>
    </xf>
    <xf numFmtId="1" fontId="1" fillId="0" borderId="0" xfId="2" applyNumberFormat="1" applyBorder="1" applyAlignment="1">
      <alignment horizontal="right" vertical="center" indent="2"/>
    </xf>
    <xf numFmtId="9" fontId="1" fillId="5" borderId="0" xfId="2" applyNumberFormat="1" applyFill="1"/>
    <xf numFmtId="0" fontId="27" fillId="10" borderId="39" xfId="0" applyFont="1" applyFill="1" applyBorder="1" applyAlignment="1">
      <alignment horizontal="center" vertical="center"/>
    </xf>
    <xf numFmtId="166" fontId="27" fillId="10" borderId="40" xfId="0" applyNumberFormat="1" applyFont="1" applyFill="1" applyBorder="1" applyAlignment="1">
      <alignment horizontal="center" vertical="center"/>
    </xf>
    <xf numFmtId="0" fontId="27" fillId="10" borderId="40" xfId="0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167" fontId="27" fillId="10" borderId="40" xfId="8" applyNumberFormat="1" applyFont="1" applyFill="1" applyBorder="1" applyAlignment="1">
      <alignment horizontal="center" vertical="center"/>
    </xf>
    <xf numFmtId="167" fontId="27" fillId="10" borderId="41" xfId="8" applyNumberFormat="1" applyFont="1" applyFill="1" applyBorder="1" applyAlignment="1">
      <alignment horizontal="center" vertical="center"/>
    </xf>
    <xf numFmtId="170" fontId="27" fillId="10" borderId="40" xfId="8" applyNumberFormat="1" applyFont="1" applyFill="1" applyBorder="1" applyAlignment="1">
      <alignment horizontal="center" vertical="center"/>
    </xf>
    <xf numFmtId="170" fontId="27" fillId="10" borderId="41" xfId="8" applyNumberFormat="1" applyFont="1" applyFill="1" applyBorder="1" applyAlignment="1">
      <alignment horizontal="center" vertical="center"/>
    </xf>
    <xf numFmtId="164" fontId="35" fillId="5" borderId="0" xfId="3" applyNumberFormat="1" applyFont="1" applyFill="1" applyBorder="1" applyAlignment="1">
      <alignment horizontal="center" vertical="center" shrinkToFit="1" readingOrder="2"/>
    </xf>
    <xf numFmtId="3" fontId="110" fillId="0" borderId="0" xfId="0" applyNumberFormat="1" applyFont="1" applyAlignment="1">
      <alignment horizontal="center" vertical="center" shrinkToFit="1"/>
    </xf>
    <xf numFmtId="9" fontId="59" fillId="5" borderId="5" xfId="7" applyFont="1" applyFill="1" applyBorder="1" applyAlignment="1">
      <alignment horizontal="center" vertical="center" readingOrder="1"/>
    </xf>
    <xf numFmtId="172" fontId="84" fillId="0" borderId="0" xfId="3" applyNumberFormat="1" applyFont="1" applyAlignment="1">
      <alignment horizontal="center" vertical="center"/>
    </xf>
    <xf numFmtId="3" fontId="9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0" fontId="63" fillId="0" borderId="0" xfId="2" applyFont="1"/>
    <xf numFmtId="0" fontId="19" fillId="7" borderId="1" xfId="11" applyFont="1" applyFill="1" applyBorder="1" applyAlignment="1">
      <alignment horizontal="center" wrapText="1"/>
    </xf>
    <xf numFmtId="0" fontId="18" fillId="0" borderId="0" xfId="11" applyFont="1" applyAlignment="1">
      <alignment vertical="center"/>
    </xf>
    <xf numFmtId="0" fontId="111" fillId="0" borderId="0" xfId="11"/>
    <xf numFmtId="0" fontId="113" fillId="7" borderId="32" xfId="12" applyFont="1" applyFill="1" applyBorder="1" applyAlignment="1">
      <alignment horizontal="center" vertical="center"/>
    </xf>
    <xf numFmtId="0" fontId="115" fillId="7" borderId="0" xfId="12" applyFont="1" applyFill="1" applyAlignment="1">
      <alignment horizontal="center" vertical="center"/>
    </xf>
    <xf numFmtId="0" fontId="116" fillId="7" borderId="0" xfId="12" applyFont="1" applyFill="1" applyAlignment="1">
      <alignment horizontal="center" vertical="center"/>
    </xf>
    <xf numFmtId="0" fontId="119" fillId="7" borderId="6" xfId="11" applyFont="1" applyFill="1" applyBorder="1" applyAlignment="1">
      <alignment horizontal="center" vertical="center"/>
    </xf>
    <xf numFmtId="0" fontId="121" fillId="5" borderId="49" xfId="12" applyFont="1" applyFill="1" applyBorder="1" applyAlignment="1">
      <alignment horizontal="center" vertical="center"/>
    </xf>
    <xf numFmtId="166" fontId="121" fillId="5" borderId="49" xfId="12" applyNumberFormat="1" applyFont="1" applyFill="1" applyBorder="1" applyAlignment="1">
      <alignment horizontal="center" vertical="center"/>
    </xf>
    <xf numFmtId="9" fontId="122" fillId="45" borderId="49" xfId="13" applyFont="1" applyFill="1" applyBorder="1" applyAlignment="1">
      <alignment horizontal="center" vertical="center"/>
    </xf>
    <xf numFmtId="4" fontId="123" fillId="45" borderId="49" xfId="12" applyNumberFormat="1" applyFont="1" applyFill="1" applyBorder="1" applyAlignment="1">
      <alignment horizontal="center" vertical="center"/>
    </xf>
    <xf numFmtId="166" fontId="121" fillId="5" borderId="0" xfId="12" applyNumberFormat="1" applyFont="1" applyFill="1" applyAlignment="1">
      <alignment horizontal="center" vertical="center"/>
    </xf>
    <xf numFmtId="9" fontId="122" fillId="45" borderId="0" xfId="13" applyFont="1" applyFill="1" applyBorder="1" applyAlignment="1">
      <alignment horizontal="center" vertical="center"/>
    </xf>
    <xf numFmtId="4" fontId="123" fillId="45" borderId="0" xfId="12" applyNumberFormat="1" applyFont="1" applyFill="1" applyAlignment="1">
      <alignment horizontal="center" vertical="center"/>
    </xf>
    <xf numFmtId="0" fontId="18" fillId="7" borderId="0" xfId="11" applyFont="1" applyFill="1" applyAlignment="1">
      <alignment horizontal="center" vertical="center" wrapText="1"/>
    </xf>
    <xf numFmtId="0" fontId="18" fillId="7" borderId="24" xfId="11" applyFont="1" applyFill="1" applyBorder="1" applyAlignment="1">
      <alignment horizontal="center" vertical="center" wrapText="1"/>
    </xf>
    <xf numFmtId="0" fontId="18" fillId="7" borderId="29" xfId="11" applyFont="1" applyFill="1" applyBorder="1" applyAlignment="1">
      <alignment horizontal="center" vertical="center" wrapText="1"/>
    </xf>
    <xf numFmtId="9" fontId="18" fillId="0" borderId="0" xfId="11" applyNumberFormat="1" applyFont="1" applyAlignment="1">
      <alignment horizontal="right" vertical="center" indent="1"/>
    </xf>
    <xf numFmtId="4" fontId="123" fillId="45" borderId="0" xfId="12" applyNumberFormat="1" applyFont="1" applyFill="1" applyAlignment="1">
      <alignment horizontal="right" vertical="center" indent="1"/>
    </xf>
    <xf numFmtId="173" fontId="18" fillId="0" borderId="24" xfId="11" applyNumberFormat="1" applyFont="1" applyBorder="1" applyAlignment="1">
      <alignment horizontal="right" vertical="center" indent="1"/>
    </xf>
    <xf numFmtId="173" fontId="18" fillId="0" borderId="29" xfId="11" applyNumberFormat="1" applyFont="1" applyBorder="1" applyAlignment="1">
      <alignment horizontal="right" vertical="center" indent="1"/>
    </xf>
    <xf numFmtId="166" fontId="18" fillId="0" borderId="0" xfId="11" applyNumberFormat="1" applyFont="1" applyAlignment="1">
      <alignment horizontal="center" vertical="center"/>
    </xf>
    <xf numFmtId="166" fontId="124" fillId="0" borderId="0" xfId="11" applyNumberFormat="1" applyFont="1" applyAlignment="1">
      <alignment horizontal="center" vertical="center"/>
    </xf>
    <xf numFmtId="0" fontId="4" fillId="0" borderId="0" xfId="4"/>
    <xf numFmtId="0" fontId="2" fillId="3" borderId="0" xfId="4" applyFont="1" applyFill="1" applyAlignment="1">
      <alignment horizontal="right" vertical="center" indent="1" readingOrder="2"/>
    </xf>
    <xf numFmtId="0" fontId="43" fillId="0" borderId="0" xfId="4" applyFont="1" applyAlignment="1">
      <alignment horizontal="right" vertical="center" indent="1" readingOrder="2"/>
    </xf>
    <xf numFmtId="3" fontId="55" fillId="0" borderId="0" xfId="3" applyNumberFormat="1" applyFont="1" applyAlignment="1">
      <alignment vertical="center" shrinkToFit="1"/>
    </xf>
    <xf numFmtId="3" fontId="4" fillId="0" borderId="0" xfId="4" applyNumberFormat="1"/>
    <xf numFmtId="3" fontId="32" fillId="0" borderId="0" xfId="3" applyNumberFormat="1" applyFont="1" applyAlignment="1">
      <alignment vertical="center" shrinkToFit="1"/>
    </xf>
    <xf numFmtId="9" fontId="32" fillId="0" borderId="0" xfId="14" applyFont="1" applyAlignment="1">
      <alignment vertical="center" shrinkToFit="1"/>
    </xf>
    <xf numFmtId="3" fontId="56" fillId="0" borderId="0" xfId="3" applyNumberFormat="1" applyFont="1" applyAlignment="1">
      <alignment vertical="center" shrinkToFit="1"/>
    </xf>
    <xf numFmtId="0" fontId="0" fillId="5" borderId="0" xfId="0" applyFill="1"/>
    <xf numFmtId="0" fontId="0" fillId="5" borderId="0" xfId="0" applyFill="1" applyAlignment="1">
      <alignment horizontal="left"/>
    </xf>
    <xf numFmtId="0" fontId="19" fillId="0" borderId="0" xfId="0" applyFont="1" applyAlignment="1">
      <alignment horizontal="right" vertical="center" indent="1"/>
    </xf>
    <xf numFmtId="0" fontId="19" fillId="5" borderId="0" xfId="0" applyFont="1" applyFill="1" applyAlignment="1">
      <alignment horizontal="right" vertical="center" indent="1"/>
    </xf>
    <xf numFmtId="0" fontId="19" fillId="3" borderId="1" xfId="0" applyFont="1" applyFill="1" applyBorder="1" applyAlignment="1">
      <alignment vertical="center"/>
    </xf>
    <xf numFmtId="0" fontId="17" fillId="3" borderId="96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9" fillId="3" borderId="32" xfId="0" applyFont="1" applyFill="1" applyBorder="1" applyAlignment="1">
      <alignment horizontal="center" vertical="top" wrapText="1"/>
    </xf>
    <xf numFmtId="0" fontId="19" fillId="3" borderId="33" xfId="0" applyFont="1" applyFill="1" applyBorder="1" applyAlignment="1">
      <alignment horizontal="center" vertical="top" wrapText="1"/>
    </xf>
    <xf numFmtId="0" fontId="19" fillId="3" borderId="66" xfId="0" applyFont="1" applyFill="1" applyBorder="1" applyAlignment="1">
      <alignment horizontal="center" vertical="top" wrapText="1"/>
    </xf>
    <xf numFmtId="0" fontId="19" fillId="3" borderId="56" xfId="0" applyFont="1" applyFill="1" applyBorder="1" applyAlignment="1">
      <alignment horizontal="center" vertical="top" wrapText="1"/>
    </xf>
    <xf numFmtId="9" fontId="126" fillId="3" borderId="0" xfId="5" applyFont="1" applyFill="1" applyBorder="1" applyAlignment="1">
      <alignment horizontal="center" vertical="center" readingOrder="1"/>
    </xf>
    <xf numFmtId="9" fontId="126" fillId="3" borderId="9" xfId="5" applyFont="1" applyFill="1" applyBorder="1" applyAlignment="1">
      <alignment horizontal="center" vertical="center" readingOrder="1"/>
    </xf>
    <xf numFmtId="9" fontId="126" fillId="3" borderId="64" xfId="5" applyFont="1" applyFill="1" applyBorder="1" applyAlignment="1">
      <alignment horizontal="center" vertical="center" readingOrder="1"/>
    </xf>
    <xf numFmtId="9" fontId="127" fillId="3" borderId="9" xfId="5" applyFont="1" applyFill="1" applyBorder="1" applyAlignment="1">
      <alignment horizontal="center" vertical="center" readingOrder="1"/>
    </xf>
    <xf numFmtId="9" fontId="127" fillId="3" borderId="0" xfId="5" applyFont="1" applyFill="1" applyBorder="1" applyAlignment="1">
      <alignment horizontal="center" vertical="center" readingOrder="1"/>
    </xf>
    <xf numFmtId="9" fontId="127" fillId="3" borderId="64" xfId="5" applyFont="1" applyFill="1" applyBorder="1" applyAlignment="1">
      <alignment horizontal="center" vertical="center" readingOrder="1"/>
    </xf>
    <xf numFmtId="9" fontId="127" fillId="3" borderId="55" xfId="5" applyFont="1" applyFill="1" applyBorder="1" applyAlignment="1">
      <alignment horizontal="center" vertical="center" readingOrder="1"/>
    </xf>
    <xf numFmtId="9" fontId="126" fillId="3" borderId="6" xfId="5" applyFont="1" applyFill="1" applyBorder="1" applyAlignment="1">
      <alignment horizontal="center" vertical="center" readingOrder="1"/>
    </xf>
    <xf numFmtId="9" fontId="126" fillId="3" borderId="7" xfId="5" applyFont="1" applyFill="1" applyBorder="1" applyAlignment="1">
      <alignment horizontal="center" vertical="center" readingOrder="1"/>
    </xf>
    <xf numFmtId="9" fontId="126" fillId="3" borderId="8" xfId="5" applyFont="1" applyFill="1" applyBorder="1" applyAlignment="1">
      <alignment horizontal="center" vertical="center" readingOrder="1"/>
    </xf>
    <xf numFmtId="9" fontId="130" fillId="3" borderId="7" xfId="5" applyFont="1" applyFill="1" applyBorder="1" applyAlignment="1">
      <alignment horizontal="center" vertical="center" readingOrder="1"/>
    </xf>
    <xf numFmtId="9" fontId="130" fillId="3" borderId="6" xfId="5" applyFont="1" applyFill="1" applyBorder="1" applyAlignment="1">
      <alignment horizontal="center" vertical="center" readingOrder="1"/>
    </xf>
    <xf numFmtId="9" fontId="130" fillId="3" borderId="8" xfId="5" applyFont="1" applyFill="1" applyBorder="1" applyAlignment="1">
      <alignment horizontal="center" vertical="center" readingOrder="1"/>
    </xf>
    <xf numFmtId="9" fontId="130" fillId="3" borderId="98" xfId="5" applyFont="1" applyFill="1" applyBorder="1" applyAlignment="1">
      <alignment horizontal="center" vertical="center" readingOrder="1"/>
    </xf>
    <xf numFmtId="0" fontId="18" fillId="7" borderId="0" xfId="0" applyFont="1" applyFill="1" applyAlignment="1">
      <alignment horizontal="right" vertical="center" indent="1"/>
    </xf>
    <xf numFmtId="3" fontId="131" fillId="5" borderId="9" xfId="0" applyNumberFormat="1" applyFont="1" applyFill="1" applyBorder="1" applyAlignment="1">
      <alignment horizontal="center" vertical="center"/>
    </xf>
    <xf numFmtId="3" fontId="100" fillId="5" borderId="0" xfId="0" applyNumberFormat="1" applyFont="1" applyFill="1" applyAlignment="1">
      <alignment horizontal="center" vertical="center"/>
    </xf>
    <xf numFmtId="3" fontId="131" fillId="18" borderId="9" xfId="0" applyNumberFormat="1" applyFont="1" applyFill="1" applyBorder="1" applyAlignment="1">
      <alignment horizontal="center" vertical="center"/>
    </xf>
    <xf numFmtId="173" fontId="132" fillId="5" borderId="1" xfId="5" applyNumberFormat="1" applyFont="1" applyFill="1" applyBorder="1" applyAlignment="1">
      <alignment horizontal="center" vertical="center" readingOrder="1"/>
    </xf>
    <xf numFmtId="164" fontId="133" fillId="5" borderId="9" xfId="0" applyNumberFormat="1" applyFont="1" applyFill="1" applyBorder="1" applyAlignment="1">
      <alignment horizontal="center" vertical="center"/>
    </xf>
    <xf numFmtId="1" fontId="9" fillId="5" borderId="0" xfId="0" applyNumberFormat="1" applyFont="1" applyFill="1" applyAlignment="1">
      <alignment horizontal="center" vertical="center"/>
    </xf>
    <xf numFmtId="2" fontId="51" fillId="5" borderId="64" xfId="0" applyNumberFormat="1" applyFont="1" applyFill="1" applyBorder="1" applyAlignment="1">
      <alignment horizontal="center" vertical="center"/>
    </xf>
    <xf numFmtId="3" fontId="134" fillId="18" borderId="55" xfId="0" applyNumberFormat="1" applyFont="1" applyFill="1" applyBorder="1" applyAlignment="1">
      <alignment horizontal="center" vertical="center"/>
    </xf>
    <xf numFmtId="3" fontId="100" fillId="5" borderId="9" xfId="0" applyNumberFormat="1" applyFont="1" applyFill="1" applyBorder="1" applyAlignment="1">
      <alignment horizontal="center" vertical="center"/>
    </xf>
    <xf numFmtId="3" fontId="97" fillId="5" borderId="64" xfId="0" applyNumberFormat="1" applyFont="1" applyFill="1" applyBorder="1" applyAlignment="1">
      <alignment horizontal="center" vertical="center"/>
    </xf>
    <xf numFmtId="9" fontId="131" fillId="18" borderId="1" xfId="5" applyFont="1" applyFill="1" applyBorder="1" applyAlignment="1">
      <alignment horizontal="center" vertical="center"/>
    </xf>
    <xf numFmtId="2" fontId="36" fillId="46" borderId="1" xfId="9" applyNumberFormat="1" applyFont="1" applyFill="1" applyBorder="1" applyAlignment="1">
      <alignment horizontal="center" vertical="center"/>
    </xf>
    <xf numFmtId="173" fontId="132" fillId="5" borderId="0" xfId="5" applyNumberFormat="1" applyFont="1" applyFill="1" applyBorder="1" applyAlignment="1">
      <alignment horizontal="center" vertical="center" readingOrder="1"/>
    </xf>
    <xf numFmtId="9" fontId="131" fillId="18" borderId="0" xfId="5" applyFont="1" applyFill="1" applyBorder="1" applyAlignment="1">
      <alignment horizontal="center" vertical="center"/>
    </xf>
    <xf numFmtId="2" fontId="36" fillId="46" borderId="0" xfId="9" applyNumberFormat="1" applyFont="1" applyFill="1" applyAlignment="1">
      <alignment horizontal="center" vertical="center"/>
    </xf>
    <xf numFmtId="0" fontId="0" fillId="7" borderId="14" xfId="0" applyFill="1" applyBorder="1"/>
    <xf numFmtId="3" fontId="131" fillId="5" borderId="13" xfId="0" applyNumberFormat="1" applyFont="1" applyFill="1" applyBorder="1" applyAlignment="1">
      <alignment horizontal="center" vertical="center"/>
    </xf>
    <xf numFmtId="3" fontId="100" fillId="5" borderId="14" xfId="0" applyNumberFormat="1" applyFont="1" applyFill="1" applyBorder="1" applyAlignment="1">
      <alignment horizontal="center" vertical="center"/>
    </xf>
    <xf numFmtId="3" fontId="36" fillId="5" borderId="13" xfId="0" applyNumberFormat="1" applyFont="1" applyFill="1" applyBorder="1" applyAlignment="1">
      <alignment horizontal="center" vertical="center"/>
    </xf>
    <xf numFmtId="9" fontId="131" fillId="18" borderId="14" xfId="5" applyFont="1" applyFill="1" applyBorder="1" applyAlignment="1">
      <alignment horizontal="center" vertical="center"/>
    </xf>
    <xf numFmtId="164" fontId="133" fillId="5" borderId="13" xfId="0" applyNumberFormat="1" applyFont="1" applyFill="1" applyBorder="1" applyAlignment="1">
      <alignment horizontal="center" vertical="center"/>
    </xf>
    <xf numFmtId="1" fontId="135" fillId="18" borderId="14" xfId="0" applyNumberFormat="1" applyFont="1" applyFill="1" applyBorder="1" applyAlignment="1">
      <alignment horizontal="center" vertical="center"/>
    </xf>
    <xf numFmtId="2" fontId="51" fillId="5" borderId="65" xfId="0" applyNumberFormat="1" applyFont="1" applyFill="1" applyBorder="1" applyAlignment="1">
      <alignment horizontal="center" vertical="center"/>
    </xf>
    <xf numFmtId="3" fontId="32" fillId="5" borderId="54" xfId="0" applyNumberFormat="1" applyFont="1" applyFill="1" applyBorder="1" applyAlignment="1">
      <alignment horizontal="center" vertical="center"/>
    </xf>
    <xf numFmtId="3" fontId="100" fillId="5" borderId="13" xfId="0" applyNumberFormat="1" applyFont="1" applyFill="1" applyBorder="1" applyAlignment="1">
      <alignment horizontal="center" vertical="center"/>
    </xf>
    <xf numFmtId="3" fontId="97" fillId="5" borderId="65" xfId="0" applyNumberFormat="1" applyFont="1" applyFill="1" applyBorder="1" applyAlignment="1">
      <alignment horizontal="center" vertical="center"/>
    </xf>
    <xf numFmtId="0" fontId="0" fillId="7" borderId="0" xfId="0" applyFill="1"/>
    <xf numFmtId="3" fontId="36" fillId="5" borderId="9" xfId="0" applyNumberFormat="1" applyFont="1" applyFill="1" applyBorder="1" applyAlignment="1">
      <alignment horizontal="center" vertical="center"/>
    </xf>
    <xf numFmtId="1" fontId="135" fillId="18" borderId="0" xfId="0" applyNumberFormat="1" applyFont="1" applyFill="1" applyAlignment="1">
      <alignment horizontal="center" vertical="center"/>
    </xf>
    <xf numFmtId="2" fontId="51" fillId="5" borderId="8" xfId="0" applyNumberFormat="1" applyFont="1" applyFill="1" applyBorder="1" applyAlignment="1">
      <alignment horizontal="center" vertical="center"/>
    </xf>
    <xf numFmtId="3" fontId="32" fillId="5" borderId="55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right" vertical="center" indent="1"/>
    </xf>
    <xf numFmtId="164" fontId="131" fillId="5" borderId="2" xfId="0" applyNumberFormat="1" applyFont="1" applyFill="1" applyBorder="1" applyAlignment="1">
      <alignment horizontal="center" vertical="center"/>
    </xf>
    <xf numFmtId="3" fontId="100" fillId="5" borderId="1" xfId="0" applyNumberFormat="1" applyFont="1" applyFill="1" applyBorder="1" applyAlignment="1">
      <alignment horizontal="center" vertical="center"/>
    </xf>
    <xf numFmtId="3" fontId="131" fillId="18" borderId="2" xfId="0" applyNumberFormat="1" applyFont="1" applyFill="1" applyBorder="1" applyAlignment="1">
      <alignment horizontal="center" vertical="center"/>
    </xf>
    <xf numFmtId="164" fontId="133" fillId="5" borderId="2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2" fontId="51" fillId="5" borderId="3" xfId="0" applyNumberFormat="1" applyFont="1" applyFill="1" applyBorder="1" applyAlignment="1">
      <alignment horizontal="center" vertical="center"/>
    </xf>
    <xf numFmtId="3" fontId="134" fillId="18" borderId="96" xfId="0" applyNumberFormat="1" applyFont="1" applyFill="1" applyBorder="1" applyAlignment="1">
      <alignment horizontal="center" vertical="center"/>
    </xf>
    <xf numFmtId="3" fontId="100" fillId="5" borderId="2" xfId="0" applyNumberFormat="1" applyFont="1" applyFill="1" applyBorder="1" applyAlignment="1">
      <alignment horizontal="center" vertical="center"/>
    </xf>
    <xf numFmtId="3" fontId="97" fillId="5" borderId="3" xfId="0" applyNumberFormat="1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right" vertical="center" indent="1"/>
    </xf>
    <xf numFmtId="3" fontId="131" fillId="5" borderId="7" xfId="0" applyNumberFormat="1" applyFont="1" applyFill="1" applyBorder="1" applyAlignment="1">
      <alignment horizontal="center" vertical="center"/>
    </xf>
    <xf numFmtId="164" fontId="100" fillId="5" borderId="6" xfId="0" applyNumberFormat="1" applyFont="1" applyFill="1" applyBorder="1" applyAlignment="1">
      <alignment horizontal="center" vertical="center"/>
    </xf>
    <xf numFmtId="173" fontId="134" fillId="18" borderId="6" xfId="5" applyNumberFormat="1" applyFont="1" applyFill="1" applyBorder="1" applyAlignment="1">
      <alignment horizontal="center" vertical="center" readingOrder="1"/>
    </xf>
    <xf numFmtId="164" fontId="133" fillId="5" borderId="7" xfId="0" applyNumberFormat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 vertical="center"/>
    </xf>
    <xf numFmtId="3" fontId="134" fillId="43" borderId="98" xfId="0" applyNumberFormat="1" applyFont="1" applyFill="1" applyBorder="1" applyAlignment="1">
      <alignment horizontal="center" vertical="center"/>
    </xf>
    <xf numFmtId="3" fontId="100" fillId="5" borderId="7" xfId="0" applyNumberFormat="1" applyFont="1" applyFill="1" applyBorder="1" applyAlignment="1">
      <alignment horizontal="center" vertical="center"/>
    </xf>
    <xf numFmtId="3" fontId="97" fillId="5" borderId="8" xfId="0" applyNumberFormat="1" applyFont="1" applyFill="1" applyBorder="1" applyAlignment="1">
      <alignment horizontal="center" vertical="center"/>
    </xf>
    <xf numFmtId="3" fontId="100" fillId="5" borderId="6" xfId="0" applyNumberFormat="1" applyFont="1" applyFill="1" applyBorder="1" applyAlignment="1">
      <alignment horizontal="center" vertical="center"/>
    </xf>
    <xf numFmtId="9" fontId="131" fillId="18" borderId="6" xfId="5" applyFont="1" applyFill="1" applyBorder="1" applyAlignment="1">
      <alignment horizontal="center" vertical="center"/>
    </xf>
    <xf numFmtId="2" fontId="36" fillId="46" borderId="6" xfId="9" applyNumberFormat="1" applyFont="1" applyFill="1" applyBorder="1" applyAlignment="1">
      <alignment horizontal="center" vertical="center"/>
    </xf>
    <xf numFmtId="0" fontId="0" fillId="3" borderId="129" xfId="0" applyFill="1" applyBorder="1"/>
    <xf numFmtId="9" fontId="126" fillId="3" borderId="13" xfId="5" applyFont="1" applyFill="1" applyBorder="1" applyAlignment="1">
      <alignment horizontal="center" vertical="center" readingOrder="1"/>
    </xf>
    <xf numFmtId="9" fontId="126" fillId="3" borderId="65" xfId="5" applyFont="1" applyFill="1" applyBorder="1" applyAlignment="1">
      <alignment horizontal="center" vertical="center" readingOrder="1"/>
    </xf>
    <xf numFmtId="9" fontId="136" fillId="3" borderId="55" xfId="5" applyFont="1" applyFill="1" applyBorder="1" applyAlignment="1">
      <alignment horizontal="center" vertical="center" readingOrder="1"/>
    </xf>
    <xf numFmtId="9" fontId="137" fillId="3" borderId="0" xfId="5" applyFont="1" applyFill="1" applyBorder="1" applyAlignment="1">
      <alignment horizontal="center" vertical="center" readingOrder="1"/>
    </xf>
    <xf numFmtId="9" fontId="127" fillId="3" borderId="6" xfId="5" applyFont="1" applyFill="1" applyBorder="1" applyAlignment="1">
      <alignment horizontal="center" vertical="center" readingOrder="1"/>
    </xf>
    <xf numFmtId="9" fontId="127" fillId="3" borderId="7" xfId="5" applyFont="1" applyFill="1" applyBorder="1" applyAlignment="1">
      <alignment horizontal="center" vertical="center" readingOrder="1"/>
    </xf>
    <xf numFmtId="9" fontId="136" fillId="3" borderId="98" xfId="5" applyFont="1" applyFill="1" applyBorder="1" applyAlignment="1">
      <alignment horizontal="center" vertical="center" readingOrder="1"/>
    </xf>
    <xf numFmtId="9" fontId="127" fillId="3" borderId="8" xfId="5" applyFont="1" applyFill="1" applyBorder="1" applyAlignment="1">
      <alignment horizontal="center" vertical="center" readingOrder="1"/>
    </xf>
    <xf numFmtId="9" fontId="126" fillId="3" borderId="98" xfId="5" applyFont="1" applyFill="1" applyBorder="1" applyAlignment="1">
      <alignment horizontal="center" vertical="center" readingOrder="1"/>
    </xf>
    <xf numFmtId="166" fontId="6" fillId="46" borderId="0" xfId="5" applyNumberFormat="1" applyFont="1" applyFill="1" applyBorder="1" applyAlignment="1">
      <alignment horizontal="center" vertical="center" readingOrder="1"/>
    </xf>
    <xf numFmtId="0" fontId="138" fillId="43" borderId="9" xfId="9" applyFont="1" applyFill="1" applyBorder="1" applyAlignment="1">
      <alignment horizontal="center" vertical="center"/>
    </xf>
    <xf numFmtId="0" fontId="131" fillId="46" borderId="64" xfId="9" applyFont="1" applyFill="1" applyBorder="1" applyAlignment="1">
      <alignment horizontal="center" vertical="center"/>
    </xf>
    <xf numFmtId="0" fontId="131" fillId="18" borderId="9" xfId="0" applyFont="1" applyFill="1" applyBorder="1" applyAlignment="1">
      <alignment horizontal="center" vertical="center" readingOrder="1"/>
    </xf>
    <xf numFmtId="0" fontId="131" fillId="18" borderId="0" xfId="9" applyFont="1" applyFill="1" applyAlignment="1">
      <alignment horizontal="center" vertical="center"/>
    </xf>
    <xf numFmtId="2" fontId="98" fillId="18" borderId="0" xfId="9" applyNumberFormat="1" applyFont="1" applyFill="1" applyAlignment="1">
      <alignment horizontal="center" vertical="center"/>
    </xf>
    <xf numFmtId="2" fontId="140" fillId="5" borderId="55" xfId="9" applyNumberFormat="1" applyFont="1" applyFill="1" applyBorder="1" applyAlignment="1">
      <alignment horizontal="center" vertical="center"/>
    </xf>
    <xf numFmtId="166" fontId="131" fillId="47" borderId="0" xfId="5" applyNumberFormat="1" applyFont="1" applyFill="1" applyBorder="1" applyAlignment="1">
      <alignment horizontal="center" vertical="center" readingOrder="1"/>
    </xf>
    <xf numFmtId="166" fontId="131" fillId="18" borderId="0" xfId="5" applyNumberFormat="1" applyFont="1" applyFill="1" applyBorder="1" applyAlignment="1">
      <alignment horizontal="center" vertical="center" readingOrder="1"/>
    </xf>
    <xf numFmtId="9" fontId="131" fillId="34" borderId="9" xfId="5" applyFont="1" applyFill="1" applyBorder="1" applyAlignment="1">
      <alignment horizontal="center" vertical="center" readingOrder="1"/>
    </xf>
    <xf numFmtId="9" fontId="131" fillId="34" borderId="0" xfId="5" applyFont="1" applyFill="1" applyBorder="1" applyAlignment="1">
      <alignment horizontal="center" vertical="center" readingOrder="1"/>
    </xf>
    <xf numFmtId="9" fontId="131" fillId="47" borderId="9" xfId="5" applyFont="1" applyFill="1" applyBorder="1" applyAlignment="1">
      <alignment horizontal="center" vertical="center" readingOrder="1"/>
    </xf>
    <xf numFmtId="9" fontId="131" fillId="43" borderId="0" xfId="5" applyFont="1" applyFill="1" applyBorder="1" applyAlignment="1">
      <alignment horizontal="center" vertical="center" readingOrder="1"/>
    </xf>
    <xf numFmtId="173" fontId="36" fillId="18" borderId="9" xfId="5" applyNumberFormat="1" applyFont="1" applyFill="1" applyBorder="1" applyAlignment="1">
      <alignment horizontal="center" vertical="center" readingOrder="1"/>
    </xf>
    <xf numFmtId="0" fontId="131" fillId="18" borderId="0" xfId="5" applyNumberFormat="1" applyFont="1" applyFill="1" applyBorder="1" applyAlignment="1">
      <alignment horizontal="center" vertical="center" readingOrder="1"/>
    </xf>
    <xf numFmtId="2" fontId="140" fillId="5" borderId="9" xfId="9" applyNumberFormat="1" applyFont="1" applyFill="1" applyBorder="1" applyAlignment="1">
      <alignment horizontal="center" vertical="center"/>
    </xf>
    <xf numFmtId="1" fontId="9" fillId="5" borderId="0" xfId="5" applyNumberFormat="1" applyFont="1" applyFill="1" applyBorder="1" applyAlignment="1">
      <alignment horizontal="center" vertical="center" readingOrder="1"/>
    </xf>
    <xf numFmtId="2" fontId="51" fillId="5" borderId="64" xfId="9" applyNumberFormat="1" applyFont="1" applyFill="1" applyBorder="1" applyAlignment="1">
      <alignment horizontal="center" vertical="center"/>
    </xf>
    <xf numFmtId="3" fontId="141" fillId="5" borderId="55" xfId="9" applyNumberFormat="1" applyFont="1" applyFill="1" applyBorder="1" applyAlignment="1">
      <alignment horizontal="center" vertical="center"/>
    </xf>
    <xf numFmtId="166" fontId="6" fillId="46" borderId="14" xfId="5" applyNumberFormat="1" applyFont="1" applyFill="1" applyBorder="1" applyAlignment="1">
      <alignment horizontal="center" vertical="center" readingOrder="1"/>
    </xf>
    <xf numFmtId="0" fontId="138" fillId="43" borderId="13" xfId="9" applyFont="1" applyFill="1" applyBorder="1" applyAlignment="1">
      <alignment horizontal="center" vertical="center"/>
    </xf>
    <xf numFmtId="0" fontId="131" fillId="46" borderId="65" xfId="9" applyFont="1" applyFill="1" applyBorder="1" applyAlignment="1">
      <alignment horizontal="center" vertical="center"/>
    </xf>
    <xf numFmtId="0" fontId="131" fillId="18" borderId="13" xfId="0" applyFont="1" applyFill="1" applyBorder="1" applyAlignment="1">
      <alignment horizontal="center" vertical="center" readingOrder="1"/>
    </xf>
    <xf numFmtId="0" fontId="131" fillId="18" borderId="14" xfId="9" applyFont="1" applyFill="1" applyBorder="1" applyAlignment="1">
      <alignment horizontal="center" vertical="center"/>
    </xf>
    <xf numFmtId="2" fontId="36" fillId="46" borderId="14" xfId="9" applyNumberFormat="1" applyFont="1" applyFill="1" applyBorder="1" applyAlignment="1">
      <alignment horizontal="center" vertical="center"/>
    </xf>
    <xf numFmtId="2" fontId="98" fillId="18" borderId="14" xfId="9" applyNumberFormat="1" applyFont="1" applyFill="1" applyBorder="1" applyAlignment="1">
      <alignment horizontal="center" vertical="center"/>
    </xf>
    <xf numFmtId="2" fontId="140" fillId="5" borderId="54" xfId="9" applyNumberFormat="1" applyFont="1" applyFill="1" applyBorder="1" applyAlignment="1">
      <alignment horizontal="center" vertical="center"/>
    </xf>
    <xf numFmtId="166" fontId="131" fillId="47" borderId="14" xfId="5" applyNumberFormat="1" applyFont="1" applyFill="1" applyBorder="1" applyAlignment="1">
      <alignment horizontal="center" vertical="center" readingOrder="1"/>
    </xf>
    <xf numFmtId="166" fontId="131" fillId="18" borderId="14" xfId="5" applyNumberFormat="1" applyFont="1" applyFill="1" applyBorder="1" applyAlignment="1">
      <alignment horizontal="center" vertical="center" readingOrder="1"/>
    </xf>
    <xf numFmtId="9" fontId="131" fillId="34" borderId="13" xfId="5" applyFont="1" applyFill="1" applyBorder="1" applyAlignment="1">
      <alignment horizontal="center" vertical="center" readingOrder="1"/>
    </xf>
    <xf numFmtId="9" fontId="131" fillId="34" borderId="14" xfId="5" applyFont="1" applyFill="1" applyBorder="1" applyAlignment="1">
      <alignment horizontal="center" vertical="center" readingOrder="1"/>
    </xf>
    <xf numFmtId="9" fontId="131" fillId="47" borderId="13" xfId="5" applyFont="1" applyFill="1" applyBorder="1" applyAlignment="1">
      <alignment horizontal="center" vertical="center" readingOrder="1"/>
    </xf>
    <xf numFmtId="9" fontId="131" fillId="43" borderId="14" xfId="5" applyFont="1" applyFill="1" applyBorder="1" applyAlignment="1">
      <alignment horizontal="center" vertical="center" readingOrder="1"/>
    </xf>
    <xf numFmtId="173" fontId="36" fillId="18" borderId="13" xfId="5" applyNumberFormat="1" applyFont="1" applyFill="1" applyBorder="1" applyAlignment="1">
      <alignment horizontal="center" vertical="center" readingOrder="1"/>
    </xf>
    <xf numFmtId="0" fontId="131" fillId="18" borderId="14" xfId="5" applyNumberFormat="1" applyFont="1" applyFill="1" applyBorder="1" applyAlignment="1">
      <alignment horizontal="center" vertical="center" readingOrder="1"/>
    </xf>
    <xf numFmtId="2" fontId="140" fillId="5" borderId="13" xfId="9" applyNumberFormat="1" applyFont="1" applyFill="1" applyBorder="1" applyAlignment="1">
      <alignment horizontal="center" vertical="center"/>
    </xf>
    <xf numFmtId="1" fontId="9" fillId="5" borderId="14" xfId="5" applyNumberFormat="1" applyFont="1" applyFill="1" applyBorder="1" applyAlignment="1">
      <alignment horizontal="center" vertical="center" readingOrder="1"/>
    </xf>
    <xf numFmtId="2" fontId="51" fillId="5" borderId="65" xfId="9" applyNumberFormat="1" applyFont="1" applyFill="1" applyBorder="1" applyAlignment="1">
      <alignment horizontal="center" vertical="center"/>
    </xf>
    <xf numFmtId="3" fontId="141" fillId="5" borderId="54" xfId="9" applyNumberFormat="1" applyFont="1" applyFill="1" applyBorder="1" applyAlignment="1">
      <alignment horizontal="center" vertical="center"/>
    </xf>
    <xf numFmtId="0" fontId="0" fillId="0" borderId="14" xfId="0" applyBorder="1"/>
    <xf numFmtId="166" fontId="6" fillId="46" borderId="32" xfId="5" applyNumberFormat="1" applyFont="1" applyFill="1" applyBorder="1" applyAlignment="1">
      <alignment horizontal="center" vertical="center" readingOrder="1"/>
    </xf>
    <xf numFmtId="0" fontId="138" fillId="43" borderId="33" xfId="9" applyFont="1" applyFill="1" applyBorder="1" applyAlignment="1">
      <alignment horizontal="center" vertical="center"/>
    </xf>
    <xf numFmtId="0" fontId="131" fillId="46" borderId="66" xfId="9" applyFont="1" applyFill="1" applyBorder="1" applyAlignment="1">
      <alignment horizontal="center" vertical="center"/>
    </xf>
    <xf numFmtId="0" fontId="131" fillId="18" borderId="33" xfId="0" applyFont="1" applyFill="1" applyBorder="1" applyAlignment="1">
      <alignment horizontal="center" vertical="center" readingOrder="1"/>
    </xf>
    <xf numFmtId="0" fontId="131" fillId="18" borderId="32" xfId="9" applyFont="1" applyFill="1" applyBorder="1" applyAlignment="1">
      <alignment horizontal="center" vertical="center"/>
    </xf>
    <xf numFmtId="2" fontId="36" fillId="46" borderId="32" xfId="9" applyNumberFormat="1" applyFont="1" applyFill="1" applyBorder="1" applyAlignment="1">
      <alignment horizontal="center" vertical="center"/>
    </xf>
    <xf numFmtId="2" fontId="98" fillId="18" borderId="32" xfId="9" applyNumberFormat="1" applyFont="1" applyFill="1" applyBorder="1" applyAlignment="1">
      <alignment horizontal="center" vertical="center"/>
    </xf>
    <xf numFmtId="2" fontId="140" fillId="5" borderId="56" xfId="9" applyNumberFormat="1" applyFont="1" applyFill="1" applyBorder="1" applyAlignment="1">
      <alignment horizontal="center" vertical="center"/>
    </xf>
    <xf numFmtId="166" fontId="131" fillId="47" borderId="32" xfId="5" applyNumberFormat="1" applyFont="1" applyFill="1" applyBorder="1" applyAlignment="1">
      <alignment horizontal="center" vertical="center" readingOrder="1"/>
    </xf>
    <xf numFmtId="166" fontId="131" fillId="18" borderId="32" xfId="5" applyNumberFormat="1" applyFont="1" applyFill="1" applyBorder="1" applyAlignment="1">
      <alignment horizontal="center" vertical="center" readingOrder="1"/>
    </xf>
    <xf numFmtId="9" fontId="131" fillId="34" borderId="33" xfId="5" applyFont="1" applyFill="1" applyBorder="1" applyAlignment="1">
      <alignment horizontal="center" vertical="center" readingOrder="1"/>
    </xf>
    <xf numFmtId="9" fontId="131" fillId="34" borderId="32" xfId="5" applyFont="1" applyFill="1" applyBorder="1" applyAlignment="1">
      <alignment horizontal="center" vertical="center" readingOrder="1"/>
    </xf>
    <xf numFmtId="9" fontId="131" fillId="47" borderId="33" xfId="5" applyFont="1" applyFill="1" applyBorder="1" applyAlignment="1">
      <alignment horizontal="center" vertical="center" readingOrder="1"/>
    </xf>
    <xf numFmtId="9" fontId="131" fillId="43" borderId="32" xfId="5" applyFont="1" applyFill="1" applyBorder="1" applyAlignment="1">
      <alignment horizontal="center" vertical="center" readingOrder="1"/>
    </xf>
    <xf numFmtId="173" fontId="36" fillId="18" borderId="33" xfId="5" applyNumberFormat="1" applyFont="1" applyFill="1" applyBorder="1" applyAlignment="1">
      <alignment horizontal="center" vertical="center" readingOrder="1"/>
    </xf>
    <xf numFmtId="0" fontId="131" fillId="18" borderId="32" xfId="5" applyNumberFormat="1" applyFont="1" applyFill="1" applyBorder="1" applyAlignment="1">
      <alignment horizontal="center" vertical="center" readingOrder="1"/>
    </xf>
    <xf numFmtId="2" fontId="140" fillId="5" borderId="33" xfId="9" applyNumberFormat="1" applyFont="1" applyFill="1" applyBorder="1" applyAlignment="1">
      <alignment horizontal="center" vertical="center"/>
    </xf>
    <xf numFmtId="1" fontId="9" fillId="5" borderId="32" xfId="5" applyNumberFormat="1" applyFont="1" applyFill="1" applyBorder="1" applyAlignment="1">
      <alignment horizontal="center" vertical="center" readingOrder="1"/>
    </xf>
    <xf numFmtId="2" fontId="51" fillId="5" borderId="66" xfId="9" applyNumberFormat="1" applyFont="1" applyFill="1" applyBorder="1" applyAlignment="1">
      <alignment horizontal="center" vertical="center"/>
    </xf>
    <xf numFmtId="3" fontId="141" fillId="5" borderId="56" xfId="9" applyNumberFormat="1" applyFont="1" applyFill="1" applyBorder="1" applyAlignment="1">
      <alignment horizontal="center" vertical="center"/>
    </xf>
    <xf numFmtId="0" fontId="0" fillId="0" borderId="32" xfId="0" applyBorder="1"/>
    <xf numFmtId="166" fontId="6" fillId="46" borderId="1" xfId="5" applyNumberFormat="1" applyFont="1" applyFill="1" applyBorder="1" applyAlignment="1">
      <alignment horizontal="center" vertical="center" readingOrder="1"/>
    </xf>
    <xf numFmtId="0" fontId="131" fillId="46" borderId="2" xfId="9" applyFont="1" applyFill="1" applyBorder="1" applyAlignment="1">
      <alignment horizontal="center" vertical="center"/>
    </xf>
    <xf numFmtId="0" fontId="131" fillId="46" borderId="3" xfId="9" applyFont="1" applyFill="1" applyBorder="1" applyAlignment="1">
      <alignment horizontal="center" vertical="center"/>
    </xf>
    <xf numFmtId="0" fontId="131" fillId="18" borderId="2" xfId="0" applyFont="1" applyFill="1" applyBorder="1" applyAlignment="1">
      <alignment horizontal="center" vertical="center" readingOrder="1"/>
    </xf>
    <xf numFmtId="0" fontId="131" fillId="18" borderId="1" xfId="9" applyFont="1" applyFill="1" applyBorder="1" applyAlignment="1">
      <alignment horizontal="center" vertical="center"/>
    </xf>
    <xf numFmtId="2" fontId="98" fillId="18" borderId="1" xfId="9" applyNumberFormat="1" applyFont="1" applyFill="1" applyBorder="1" applyAlignment="1">
      <alignment horizontal="center" vertical="center"/>
    </xf>
    <xf numFmtId="166" fontId="142" fillId="5" borderId="96" xfId="9" applyNumberFormat="1" applyFont="1" applyFill="1" applyBorder="1" applyAlignment="1">
      <alignment horizontal="center" vertical="center"/>
    </xf>
    <xf numFmtId="166" fontId="131" fillId="18" borderId="1" xfId="5" applyNumberFormat="1" applyFont="1" applyFill="1" applyBorder="1" applyAlignment="1">
      <alignment horizontal="center" vertical="center" readingOrder="1"/>
    </xf>
    <xf numFmtId="9" fontId="131" fillId="18" borderId="2" xfId="5" applyFont="1" applyFill="1" applyBorder="1" applyAlignment="1">
      <alignment horizontal="center" vertical="center" readingOrder="1"/>
    </xf>
    <xf numFmtId="9" fontId="131" fillId="18" borderId="1" xfId="5" applyFont="1" applyFill="1" applyBorder="1" applyAlignment="1">
      <alignment horizontal="center" vertical="center" readingOrder="1"/>
    </xf>
    <xf numFmtId="0" fontId="131" fillId="18" borderId="1" xfId="5" applyNumberFormat="1" applyFont="1" applyFill="1" applyBorder="1" applyAlignment="1">
      <alignment horizontal="center" vertical="center" readingOrder="1"/>
    </xf>
    <xf numFmtId="166" fontId="140" fillId="5" borderId="2" xfId="9" applyNumberFormat="1" applyFont="1" applyFill="1" applyBorder="1" applyAlignment="1">
      <alignment horizontal="center" vertical="center"/>
    </xf>
    <xf numFmtId="1" fontId="9" fillId="5" borderId="1" xfId="5" applyNumberFormat="1" applyFont="1" applyFill="1" applyBorder="1" applyAlignment="1">
      <alignment horizontal="center" vertical="center" readingOrder="1"/>
    </xf>
    <xf numFmtId="2" fontId="51" fillId="5" borderId="3" xfId="9" applyNumberFormat="1" applyFont="1" applyFill="1" applyBorder="1" applyAlignment="1">
      <alignment horizontal="center" vertical="center"/>
    </xf>
    <xf numFmtId="3" fontId="141" fillId="5" borderId="96" xfId="9" applyNumberFormat="1" applyFont="1" applyFill="1" applyBorder="1" applyAlignment="1">
      <alignment horizontal="center" vertical="center"/>
    </xf>
    <xf numFmtId="166" fontId="6" fillId="46" borderId="6" xfId="5" applyNumberFormat="1" applyFont="1" applyFill="1" applyBorder="1" applyAlignment="1">
      <alignment horizontal="center" vertical="center" readingOrder="1"/>
    </xf>
    <xf numFmtId="0" fontId="131" fillId="46" borderId="7" xfId="9" applyFont="1" applyFill="1" applyBorder="1" applyAlignment="1">
      <alignment horizontal="center" vertical="center"/>
    </xf>
    <xf numFmtId="0" fontId="131" fillId="46" borderId="8" xfId="9" applyFont="1" applyFill="1" applyBorder="1" applyAlignment="1">
      <alignment horizontal="center" vertical="center"/>
    </xf>
    <xf numFmtId="0" fontId="131" fillId="18" borderId="7" xfId="0" applyFont="1" applyFill="1" applyBorder="1" applyAlignment="1">
      <alignment horizontal="center" vertical="center" readingOrder="1"/>
    </xf>
    <xf numFmtId="0" fontId="131" fillId="18" borderId="6" xfId="9" applyFont="1" applyFill="1" applyBorder="1" applyAlignment="1">
      <alignment horizontal="center" vertical="center"/>
    </xf>
    <xf numFmtId="2" fontId="98" fillId="18" borderId="6" xfId="9" applyNumberFormat="1" applyFont="1" applyFill="1" applyBorder="1" applyAlignment="1">
      <alignment horizontal="center" vertical="center"/>
    </xf>
    <xf numFmtId="166" fontId="142" fillId="5" borderId="98" xfId="9" applyNumberFormat="1" applyFont="1" applyFill="1" applyBorder="1" applyAlignment="1">
      <alignment horizontal="center" vertical="center"/>
    </xf>
    <xf numFmtId="166" fontId="131" fillId="18" borderId="6" xfId="5" applyNumberFormat="1" applyFont="1" applyFill="1" applyBorder="1" applyAlignment="1">
      <alignment horizontal="center" vertical="center" readingOrder="1"/>
    </xf>
    <xf numFmtId="9" fontId="131" fillId="18" borderId="7" xfId="5" applyFont="1" applyFill="1" applyBorder="1" applyAlignment="1">
      <alignment horizontal="center" vertical="center" readingOrder="1"/>
    </xf>
    <xf numFmtId="9" fontId="131" fillId="18" borderId="6" xfId="5" applyFont="1" applyFill="1" applyBorder="1" applyAlignment="1">
      <alignment horizontal="center" vertical="center" readingOrder="1"/>
    </xf>
    <xf numFmtId="0" fontId="131" fillId="18" borderId="6" xfId="5" applyNumberFormat="1" applyFont="1" applyFill="1" applyBorder="1" applyAlignment="1">
      <alignment horizontal="center" vertical="center" readingOrder="1"/>
    </xf>
    <xf numFmtId="166" fontId="140" fillId="5" borderId="7" xfId="9" applyNumberFormat="1" applyFont="1" applyFill="1" applyBorder="1" applyAlignment="1">
      <alignment horizontal="center" vertical="center"/>
    </xf>
    <xf numFmtId="1" fontId="9" fillId="5" borderId="6" xfId="5" applyNumberFormat="1" applyFont="1" applyFill="1" applyBorder="1" applyAlignment="1">
      <alignment horizontal="center" vertical="center" readingOrder="1"/>
    </xf>
    <xf numFmtId="2" fontId="51" fillId="5" borderId="8" xfId="9" applyNumberFormat="1" applyFont="1" applyFill="1" applyBorder="1" applyAlignment="1">
      <alignment horizontal="center" vertical="center"/>
    </xf>
    <xf numFmtId="3" fontId="141" fillId="5" borderId="98" xfId="9" applyNumberFormat="1" applyFont="1" applyFill="1" applyBorder="1" applyAlignment="1">
      <alignment horizontal="center" vertical="center"/>
    </xf>
    <xf numFmtId="0" fontId="43" fillId="5" borderId="0" xfId="0" applyFont="1" applyFill="1" applyAlignment="1">
      <alignment horizontal="left"/>
    </xf>
    <xf numFmtId="168" fontId="23" fillId="3" borderId="1" xfId="10" applyNumberFormat="1" applyFont="1" applyFill="1" applyBorder="1" applyAlignment="1">
      <alignment horizontal="center" vertical="center"/>
    </xf>
    <xf numFmtId="168" fontId="27" fillId="3" borderId="27" xfId="10" applyNumberFormat="1" applyFont="1" applyFill="1" applyBorder="1" applyAlignment="1">
      <alignment horizontal="center" vertical="center" wrapText="1"/>
    </xf>
    <xf numFmtId="0" fontId="23" fillId="3" borderId="6" xfId="10" applyNumberFormat="1" applyFont="1" applyFill="1" applyBorder="1" applyAlignment="1">
      <alignment horizontal="center" vertical="center"/>
    </xf>
    <xf numFmtId="0" fontId="27" fillId="3" borderId="28" xfId="10" applyNumberFormat="1" applyFont="1" applyFill="1" applyBorder="1" applyAlignment="1">
      <alignment horizontal="center" vertical="center" wrapText="1"/>
    </xf>
    <xf numFmtId="0" fontId="27" fillId="3" borderId="28" xfId="8" applyNumberFormat="1" applyFont="1" applyFill="1" applyBorder="1" applyAlignment="1">
      <alignment horizontal="center" vertical="center" wrapText="1"/>
    </xf>
    <xf numFmtId="0" fontId="143" fillId="5" borderId="24" xfId="0" applyFont="1" applyFill="1" applyBorder="1" applyAlignment="1">
      <alignment horizontal="center" vertical="center"/>
    </xf>
    <xf numFmtId="2" fontId="76" fillId="5" borderId="29" xfId="0" applyNumberFormat="1" applyFont="1" applyFill="1" applyBorder="1" applyAlignment="1">
      <alignment horizontal="center" vertical="center"/>
    </xf>
    <xf numFmtId="0" fontId="143" fillId="5" borderId="95" xfId="0" applyFont="1" applyFill="1" applyBorder="1" applyAlignment="1">
      <alignment horizontal="center" vertical="center"/>
    </xf>
    <xf numFmtId="166" fontId="76" fillId="5" borderId="29" xfId="0" applyNumberFormat="1" applyFont="1" applyFill="1" applyBorder="1" applyAlignment="1">
      <alignment horizontal="center" vertical="center"/>
    </xf>
    <xf numFmtId="166" fontId="76" fillId="10" borderId="29" xfId="0" applyNumberFormat="1" applyFont="1" applyFill="1" applyBorder="1" applyAlignment="1">
      <alignment horizontal="center" vertical="center"/>
    </xf>
    <xf numFmtId="0" fontId="143" fillId="5" borderId="2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166" fontId="76" fillId="5" borderId="30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43" fillId="5" borderId="35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/>
    </xf>
    <xf numFmtId="166" fontId="76" fillId="5" borderId="31" xfId="0" applyNumberFormat="1" applyFont="1" applyFill="1" applyBorder="1" applyAlignment="1">
      <alignment horizontal="center" vertical="center"/>
    </xf>
    <xf numFmtId="0" fontId="143" fillId="48" borderId="99" xfId="0" applyFont="1" applyFill="1" applyBorder="1" applyAlignment="1">
      <alignment horizontal="center" vertical="center"/>
    </xf>
    <xf numFmtId="0" fontId="16" fillId="48" borderId="102" xfId="0" applyFont="1" applyFill="1" applyBorder="1" applyAlignment="1">
      <alignment horizontal="center" vertical="center" wrapText="1"/>
    </xf>
    <xf numFmtId="166" fontId="76" fillId="48" borderId="130" xfId="0" applyNumberFormat="1" applyFont="1" applyFill="1" applyBorder="1" applyAlignment="1">
      <alignment horizontal="center" vertical="center"/>
    </xf>
    <xf numFmtId="166" fontId="76" fillId="10" borderId="130" xfId="0" applyNumberFormat="1" applyFont="1" applyFill="1" applyBorder="1" applyAlignment="1">
      <alignment horizontal="center" vertical="center"/>
    </xf>
    <xf numFmtId="0" fontId="143" fillId="48" borderId="24" xfId="0" applyFont="1" applyFill="1" applyBorder="1" applyAlignment="1">
      <alignment horizontal="center" vertical="center"/>
    </xf>
    <xf numFmtId="0" fontId="16" fillId="48" borderId="0" xfId="0" applyFont="1" applyFill="1" applyAlignment="1">
      <alignment horizontal="center" vertical="center"/>
    </xf>
    <xf numFmtId="166" fontId="76" fillId="48" borderId="29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 wrapText="1"/>
    </xf>
    <xf numFmtId="166" fontId="76" fillId="10" borderId="31" xfId="0" applyNumberFormat="1" applyFont="1" applyFill="1" applyBorder="1" applyAlignment="1">
      <alignment horizontal="center" vertical="center"/>
    </xf>
    <xf numFmtId="0" fontId="143" fillId="5" borderId="87" xfId="0" applyFont="1" applyFill="1" applyBorder="1" applyAlignment="1">
      <alignment horizontal="center" vertical="center"/>
    </xf>
    <xf numFmtId="166" fontId="76" fillId="5" borderId="28" xfId="0" applyNumberFormat="1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 wrapText="1"/>
    </xf>
    <xf numFmtId="0" fontId="144" fillId="7" borderId="0" xfId="0" applyFont="1" applyFill="1"/>
    <xf numFmtId="0" fontId="16" fillId="5" borderId="6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right" vertical="center" indent="2"/>
    </xf>
    <xf numFmtId="0" fontId="36" fillId="43" borderId="9" xfId="9" applyFont="1" applyFill="1" applyBorder="1" applyAlignment="1">
      <alignment horizontal="center" vertical="center"/>
    </xf>
    <xf numFmtId="0" fontId="0" fillId="0" borderId="0" xfId="0" applyAlignment="1">
      <alignment horizontal="right" indent="2"/>
    </xf>
    <xf numFmtId="0" fontId="19" fillId="0" borderId="0" xfId="0" applyFont="1" applyAlignment="1">
      <alignment horizontal="right" vertical="center" indent="2"/>
    </xf>
    <xf numFmtId="0" fontId="15" fillId="5" borderId="0" xfId="0" applyFont="1" applyFill="1" applyAlignment="1">
      <alignment horizontal="right" vertical="center" indent="2" readingOrder="2"/>
    </xf>
    <xf numFmtId="9" fontId="145" fillId="3" borderId="9" xfId="5" applyFont="1" applyFill="1" applyBorder="1" applyAlignment="1">
      <alignment horizontal="center" vertical="center" readingOrder="2"/>
    </xf>
    <xf numFmtId="9" fontId="126" fillId="3" borderId="14" xfId="5" applyFont="1" applyFill="1" applyBorder="1" applyAlignment="1">
      <alignment horizontal="center" vertical="center" readingOrder="1"/>
    </xf>
    <xf numFmtId="9" fontId="127" fillId="3" borderId="65" xfId="5" applyFont="1" applyFill="1" applyBorder="1" applyAlignment="1">
      <alignment horizontal="center" vertical="center" readingOrder="1"/>
    </xf>
    <xf numFmtId="9" fontId="139" fillId="18" borderId="9" xfId="5" applyFont="1" applyFill="1" applyBorder="1" applyAlignment="1">
      <alignment horizontal="center" vertical="center"/>
    </xf>
    <xf numFmtId="2" fontId="36" fillId="46" borderId="0" xfId="9" applyNumberFormat="1" applyFont="1" applyFill="1" applyBorder="1" applyAlignment="1">
      <alignment horizontal="center" vertical="center"/>
    </xf>
    <xf numFmtId="9" fontId="139" fillId="18" borderId="13" xfId="5" applyFont="1" applyFill="1" applyBorder="1" applyAlignment="1">
      <alignment horizontal="center" vertical="center"/>
    </xf>
    <xf numFmtId="2" fontId="98" fillId="18" borderId="65" xfId="9" applyNumberFormat="1" applyFont="1" applyFill="1" applyBorder="1" applyAlignment="1">
      <alignment horizontal="center" vertical="center"/>
    </xf>
    <xf numFmtId="9" fontId="139" fillId="18" borderId="33" xfId="5" applyFont="1" applyFill="1" applyBorder="1" applyAlignment="1">
      <alignment horizontal="center" vertical="center"/>
    </xf>
    <xf numFmtId="2" fontId="98" fillId="18" borderId="66" xfId="9" applyNumberFormat="1" applyFont="1" applyFill="1" applyBorder="1" applyAlignment="1">
      <alignment horizontal="center" vertical="center"/>
    </xf>
    <xf numFmtId="2" fontId="98" fillId="18" borderId="64" xfId="9" applyNumberFormat="1" applyFont="1" applyFill="1" applyBorder="1" applyAlignment="1">
      <alignment horizontal="center" vertical="center"/>
    </xf>
    <xf numFmtId="9" fontId="139" fillId="18" borderId="2" xfId="5" applyFont="1" applyFill="1" applyBorder="1" applyAlignment="1">
      <alignment horizontal="center" vertical="center"/>
    </xf>
    <xf numFmtId="2" fontId="98" fillId="18" borderId="3" xfId="9" applyNumberFormat="1" applyFont="1" applyFill="1" applyBorder="1" applyAlignment="1">
      <alignment horizontal="center" vertical="center"/>
    </xf>
    <xf numFmtId="9" fontId="139" fillId="18" borderId="7" xfId="5" applyFont="1" applyFill="1" applyBorder="1" applyAlignment="1">
      <alignment horizontal="center" vertical="center"/>
    </xf>
    <xf numFmtId="2" fontId="98" fillId="18" borderId="8" xfId="9" applyNumberFormat="1" applyFont="1" applyFill="1" applyBorder="1" applyAlignment="1">
      <alignment horizontal="center" vertical="center"/>
    </xf>
    <xf numFmtId="2" fontId="134" fillId="47" borderId="64" xfId="9" applyNumberFormat="1" applyFont="1" applyFill="1" applyBorder="1" applyAlignment="1">
      <alignment horizontal="center" vertical="center"/>
    </xf>
    <xf numFmtId="3" fontId="97" fillId="5" borderId="23" xfId="3" applyNumberFormat="1" applyFont="1" applyFill="1" applyBorder="1" applyAlignment="1">
      <alignment horizontal="center" vertical="center"/>
    </xf>
    <xf numFmtId="3" fontId="86" fillId="5" borderId="14" xfId="3" applyNumberFormat="1" applyFont="1" applyFill="1" applyBorder="1" applyAlignment="1">
      <alignment horizontal="center" vertical="center"/>
    </xf>
    <xf numFmtId="3" fontId="49" fillId="5" borderId="1" xfId="3" applyNumberFormat="1" applyFont="1" applyFill="1" applyBorder="1" applyAlignment="1">
      <alignment horizontal="center" vertical="center"/>
    </xf>
    <xf numFmtId="3" fontId="49" fillId="5" borderId="95" xfId="3" applyNumberFormat="1" applyFont="1" applyFill="1" applyBorder="1" applyAlignment="1">
      <alignment horizontal="center" vertical="center"/>
    </xf>
    <xf numFmtId="3" fontId="97" fillId="5" borderId="14" xfId="3" applyNumberFormat="1" applyFont="1" applyFill="1" applyBorder="1" applyAlignment="1">
      <alignment horizontal="center" vertical="center"/>
    </xf>
    <xf numFmtId="3" fontId="99" fillId="5" borderId="23" xfId="3" applyNumberFormat="1" applyFont="1" applyFill="1" applyBorder="1" applyAlignment="1">
      <alignment horizontal="center" vertical="center"/>
    </xf>
    <xf numFmtId="3" fontId="97" fillId="5" borderId="35" xfId="3" applyNumberFormat="1" applyFont="1" applyFill="1" applyBorder="1" applyAlignment="1">
      <alignment horizontal="center" vertical="center"/>
    </xf>
    <xf numFmtId="3" fontId="99" fillId="5" borderId="35" xfId="3" applyNumberFormat="1" applyFont="1" applyFill="1" applyBorder="1" applyAlignment="1">
      <alignment horizontal="center" vertical="center"/>
    </xf>
    <xf numFmtId="3" fontId="97" fillId="5" borderId="21" xfId="3" applyNumberFormat="1" applyFont="1" applyFill="1" applyBorder="1" applyAlignment="1">
      <alignment horizontal="center" vertical="center"/>
    </xf>
    <xf numFmtId="3" fontId="97" fillId="5" borderId="10" xfId="3" applyNumberFormat="1" applyFont="1" applyFill="1" applyBorder="1" applyAlignment="1">
      <alignment horizontal="center" vertical="center"/>
    </xf>
    <xf numFmtId="3" fontId="99" fillId="5" borderId="10" xfId="3" applyNumberFormat="1" applyFont="1" applyFill="1" applyBorder="1" applyAlignment="1">
      <alignment horizontal="center" vertical="center"/>
    </xf>
    <xf numFmtId="3" fontId="99" fillId="5" borderId="21" xfId="3" applyNumberFormat="1" applyFont="1" applyFill="1" applyBorder="1" applyAlignment="1">
      <alignment horizontal="center" vertical="center"/>
    </xf>
    <xf numFmtId="3" fontId="97" fillId="5" borderId="95" xfId="3" applyNumberFormat="1" applyFont="1" applyFill="1" applyBorder="1" applyAlignment="1">
      <alignment horizontal="center" vertical="center"/>
    </xf>
    <xf numFmtId="3" fontId="99" fillId="5" borderId="95" xfId="3" applyNumberFormat="1" applyFont="1" applyFill="1" applyBorder="1" applyAlignment="1">
      <alignment horizontal="center" vertical="center"/>
    </xf>
    <xf numFmtId="3" fontId="97" fillId="5" borderId="24" xfId="3" applyNumberFormat="1" applyFont="1" applyFill="1" applyBorder="1" applyAlignment="1">
      <alignment horizontal="center" vertical="center"/>
    </xf>
    <xf numFmtId="3" fontId="97" fillId="5" borderId="0" xfId="3" applyNumberFormat="1" applyFont="1" applyFill="1" applyAlignment="1">
      <alignment horizontal="center" vertical="center"/>
    </xf>
    <xf numFmtId="3" fontId="99" fillId="5" borderId="24" xfId="3" applyNumberFormat="1" applyFont="1" applyFill="1" applyBorder="1" applyAlignment="1">
      <alignment horizontal="center" vertical="center"/>
    </xf>
    <xf numFmtId="3" fontId="99" fillId="5" borderId="102" xfId="3" applyNumberFormat="1" applyFont="1" applyFill="1" applyBorder="1" applyAlignment="1">
      <alignment horizontal="center" vertical="center"/>
    </xf>
    <xf numFmtId="3" fontId="97" fillId="5" borderId="99" xfId="3" applyNumberFormat="1" applyFont="1" applyFill="1" applyBorder="1" applyAlignment="1">
      <alignment horizontal="center" vertical="center"/>
    </xf>
    <xf numFmtId="3" fontId="97" fillId="5" borderId="102" xfId="3" applyNumberFormat="1" applyFont="1" applyFill="1" applyBorder="1" applyAlignment="1">
      <alignment horizontal="center" vertical="center"/>
    </xf>
    <xf numFmtId="3" fontId="99" fillId="5" borderId="99" xfId="3" applyNumberFormat="1" applyFont="1" applyFill="1" applyBorder="1" applyAlignment="1">
      <alignment horizontal="center" vertical="center"/>
    </xf>
    <xf numFmtId="3" fontId="97" fillId="5" borderId="6" xfId="3" applyNumberFormat="1" applyFont="1" applyFill="1" applyBorder="1" applyAlignment="1">
      <alignment horizontal="center" vertical="center"/>
    </xf>
    <xf numFmtId="3" fontId="97" fillId="5" borderId="87" xfId="3" applyNumberFormat="1" applyFont="1" applyFill="1" applyBorder="1" applyAlignment="1">
      <alignment horizontal="center" vertical="center"/>
    </xf>
    <xf numFmtId="3" fontId="99" fillId="5" borderId="87" xfId="3" applyNumberFormat="1" applyFont="1" applyFill="1" applyBorder="1" applyAlignment="1">
      <alignment horizontal="center" vertical="center"/>
    </xf>
    <xf numFmtId="3" fontId="99" fillId="5" borderId="0" xfId="3" applyNumberFormat="1" applyFont="1" applyFill="1" applyAlignment="1">
      <alignment horizontal="center" vertical="center" wrapText="1"/>
    </xf>
    <xf numFmtId="3" fontId="99" fillId="5" borderId="22" xfId="3" applyNumberFormat="1" applyFont="1" applyFill="1" applyBorder="1" applyAlignment="1">
      <alignment horizontal="center" vertical="center"/>
    </xf>
    <xf numFmtId="3" fontId="99" fillId="5" borderId="5" xfId="3" applyNumberFormat="1" applyFont="1" applyFill="1" applyBorder="1" applyAlignment="1">
      <alignment horizontal="center" vertical="center"/>
    </xf>
    <xf numFmtId="3" fontId="0" fillId="0" borderId="0" xfId="0" applyNumberFormat="1"/>
    <xf numFmtId="0" fontId="18" fillId="0" borderId="0" xfId="0" applyFont="1" applyAlignment="1">
      <alignment horizontal="right" vertical="center" indent="1" readingOrder="2"/>
    </xf>
    <xf numFmtId="0" fontId="18" fillId="0" borderId="0" xfId="0" applyFont="1" applyAlignment="1">
      <alignment vertical="center"/>
    </xf>
    <xf numFmtId="0" fontId="144" fillId="0" borderId="0" xfId="0" applyFont="1" applyAlignment="1">
      <alignment horizontal="center" vertical="center"/>
    </xf>
    <xf numFmtId="4" fontId="72" fillId="5" borderId="6" xfId="3" applyNumberFormat="1" applyFont="1" applyFill="1" applyBorder="1" applyAlignment="1">
      <alignment horizontal="center" vertical="center" shrinkToFit="1"/>
    </xf>
    <xf numFmtId="3" fontId="10" fillId="22" borderId="0" xfId="3" applyNumberFormat="1" applyFont="1" applyFill="1" applyBorder="1" applyAlignment="1">
      <alignment horizontal="right" vertical="center" indent="1" readingOrder="2"/>
    </xf>
    <xf numFmtId="3" fontId="99" fillId="5" borderId="14" xfId="3" applyNumberFormat="1" applyFont="1" applyFill="1" applyBorder="1" applyAlignment="1">
      <alignment horizontal="center" vertical="center"/>
    </xf>
    <xf numFmtId="3" fontId="99" fillId="5" borderId="0" xfId="3" applyNumberFormat="1" applyFont="1" applyFill="1" applyAlignment="1">
      <alignment horizontal="center" vertical="center"/>
    </xf>
    <xf numFmtId="3" fontId="99" fillId="5" borderId="1" xfId="3" applyNumberFormat="1" applyFont="1" applyFill="1" applyBorder="1" applyAlignment="1">
      <alignment horizontal="center" vertical="center"/>
    </xf>
    <xf numFmtId="3" fontId="99" fillId="5" borderId="32" xfId="3" applyNumberFormat="1" applyFont="1" applyFill="1" applyBorder="1" applyAlignment="1">
      <alignment horizontal="center" vertical="center"/>
    </xf>
    <xf numFmtId="3" fontId="99" fillId="5" borderId="6" xfId="3" applyNumberFormat="1" applyFont="1" applyFill="1" applyBorder="1" applyAlignment="1">
      <alignment horizontal="center" vertical="center"/>
    </xf>
    <xf numFmtId="3" fontId="99" fillId="5" borderId="29" xfId="3" applyNumberFormat="1" applyFont="1" applyFill="1" applyBorder="1" applyAlignment="1">
      <alignment horizontal="center" vertical="center"/>
    </xf>
    <xf numFmtId="3" fontId="99" fillId="5" borderId="31" xfId="3" applyNumberFormat="1" applyFont="1" applyFill="1" applyBorder="1" applyAlignment="1">
      <alignment horizontal="center" vertical="center"/>
    </xf>
    <xf numFmtId="49" fontId="96" fillId="5" borderId="1" xfId="3" applyNumberFormat="1" applyFont="1" applyFill="1" applyBorder="1" applyAlignment="1">
      <alignment horizontal="center" vertical="center"/>
    </xf>
    <xf numFmtId="49" fontId="96" fillId="5" borderId="32" xfId="3" applyNumberFormat="1" applyFont="1" applyFill="1" applyBorder="1" applyAlignment="1">
      <alignment horizontal="center" vertical="center"/>
    </xf>
    <xf numFmtId="49" fontId="96" fillId="5" borderId="14" xfId="3" applyNumberFormat="1" applyFont="1" applyFill="1" applyBorder="1" applyAlignment="1">
      <alignment horizontal="center" vertical="center"/>
    </xf>
    <xf numFmtId="49" fontId="96" fillId="5" borderId="0" xfId="3" applyNumberFormat="1" applyFont="1" applyFill="1" applyAlignment="1">
      <alignment horizontal="center" vertical="center"/>
    </xf>
    <xf numFmtId="49" fontId="96" fillId="5" borderId="6" xfId="3" applyNumberFormat="1" applyFont="1" applyFill="1" applyBorder="1" applyAlignment="1">
      <alignment horizontal="center" vertical="center"/>
    </xf>
    <xf numFmtId="3" fontId="97" fillId="5" borderId="1" xfId="3" applyNumberFormat="1" applyFont="1" applyFill="1" applyBorder="1" applyAlignment="1">
      <alignment horizontal="center" vertical="center"/>
    </xf>
    <xf numFmtId="3" fontId="97" fillId="5" borderId="32" xfId="3" applyNumberFormat="1" applyFont="1" applyFill="1" applyBorder="1" applyAlignment="1">
      <alignment horizontal="center" vertical="center"/>
    </xf>
    <xf numFmtId="3" fontId="84" fillId="0" borderId="0" xfId="3" applyNumberFormat="1" applyFont="1" applyAlignment="1">
      <alignment horizontal="center" vertical="center"/>
    </xf>
    <xf numFmtId="0" fontId="30" fillId="5" borderId="130" xfId="3" applyFont="1" applyFill="1" applyBorder="1" applyAlignment="1">
      <alignment horizontal="center" vertical="center" readingOrder="2"/>
    </xf>
    <xf numFmtId="164" fontId="81" fillId="5" borderId="102" xfId="3" applyNumberFormat="1" applyFont="1" applyFill="1" applyBorder="1" applyAlignment="1">
      <alignment horizontal="right" vertical="center" indent="1" readingOrder="2"/>
    </xf>
    <xf numFmtId="164" fontId="10" fillId="5" borderId="102" xfId="3" applyNumberFormat="1" applyFont="1" applyFill="1" applyBorder="1" applyAlignment="1">
      <alignment horizontal="right" vertical="center" indent="1" readingOrder="2"/>
    </xf>
    <xf numFmtId="3" fontId="10" fillId="5" borderId="102" xfId="3" applyNumberFormat="1" applyFont="1" applyFill="1" applyBorder="1" applyAlignment="1">
      <alignment horizontal="right" vertical="center" indent="1" readingOrder="2"/>
    </xf>
    <xf numFmtId="9" fontId="21" fillId="5" borderId="131" xfId="5" applyFont="1" applyFill="1" applyBorder="1" applyAlignment="1">
      <alignment horizontal="center" vertical="center" readingOrder="1"/>
    </xf>
    <xf numFmtId="9" fontId="21" fillId="5" borderId="102" xfId="5" applyFont="1" applyFill="1" applyBorder="1" applyAlignment="1">
      <alignment horizontal="center" vertical="center" readingOrder="1"/>
    </xf>
    <xf numFmtId="3" fontId="9" fillId="38" borderId="132" xfId="3" applyNumberFormat="1" applyFont="1" applyFill="1" applyBorder="1" applyAlignment="1">
      <alignment horizontal="right" vertical="center" indent="2" readingOrder="2"/>
    </xf>
    <xf numFmtId="3" fontId="81" fillId="5" borderId="102" xfId="3" applyNumberFormat="1" applyFont="1" applyFill="1" applyBorder="1" applyAlignment="1">
      <alignment horizontal="right" vertical="center" indent="1" readingOrder="2"/>
    </xf>
    <xf numFmtId="164" fontId="35" fillId="5" borderId="131" xfId="3" applyNumberFormat="1" applyFont="1" applyFill="1" applyBorder="1" applyAlignment="1">
      <alignment horizontal="center" vertical="center" readingOrder="2"/>
    </xf>
    <xf numFmtId="9" fontId="21" fillId="5" borderId="103" xfId="5" applyFont="1" applyFill="1" applyBorder="1" applyAlignment="1">
      <alignment horizontal="center" vertical="center" readingOrder="1"/>
    </xf>
    <xf numFmtId="3" fontId="9" fillId="34" borderId="132" xfId="3" applyNumberFormat="1" applyFont="1" applyFill="1" applyBorder="1" applyAlignment="1">
      <alignment horizontal="right" vertical="center" indent="1" readingOrder="2"/>
    </xf>
    <xf numFmtId="3" fontId="41" fillId="5" borderId="99" xfId="3" applyNumberFormat="1" applyFont="1" applyFill="1" applyBorder="1" applyAlignment="1">
      <alignment horizontal="right" vertical="center" indent="1" readingOrder="2"/>
    </xf>
    <xf numFmtId="3" fontId="41" fillId="5" borderId="102" xfId="3" applyNumberFormat="1" applyFont="1" applyFill="1" applyBorder="1" applyAlignment="1">
      <alignment horizontal="right" vertical="center" indent="1" readingOrder="2"/>
    </xf>
    <xf numFmtId="9" fontId="33" fillId="5" borderId="132" xfId="1" applyFont="1" applyFill="1" applyBorder="1" applyAlignment="1">
      <alignment horizontal="center" vertical="center"/>
    </xf>
    <xf numFmtId="4" fontId="72" fillId="5" borderId="102" xfId="3" applyNumberFormat="1" applyFont="1" applyFill="1" applyBorder="1" applyAlignment="1">
      <alignment horizontal="center" vertical="center" shrinkToFit="1"/>
    </xf>
    <xf numFmtId="3" fontId="34" fillId="5" borderId="102" xfId="3" applyNumberFormat="1" applyFont="1" applyFill="1" applyBorder="1" applyAlignment="1">
      <alignment horizontal="right" vertical="center" indent="1" shrinkToFit="1"/>
    </xf>
    <xf numFmtId="166" fontId="49" fillId="5" borderId="24" xfId="0" applyNumberFormat="1" applyFont="1" applyFill="1" applyBorder="1" applyAlignment="1">
      <alignment horizontal="right" vertical="center" indent="1"/>
    </xf>
    <xf numFmtId="3" fontId="51" fillId="16" borderId="114" xfId="3" applyNumberFormat="1" applyFont="1" applyFill="1" applyBorder="1" applyAlignment="1">
      <alignment horizontal="center" vertical="center" shrinkToFit="1"/>
    </xf>
    <xf numFmtId="166" fontId="49" fillId="5" borderId="23" xfId="0" applyNumberFormat="1" applyFont="1" applyFill="1" applyBorder="1" applyAlignment="1">
      <alignment horizontal="right" vertical="center" indent="1"/>
    </xf>
    <xf numFmtId="3" fontId="41" fillId="5" borderId="14" xfId="0" applyNumberFormat="1" applyFont="1" applyFill="1" applyBorder="1" applyAlignment="1">
      <alignment horizontal="right" vertical="center" indent="1"/>
    </xf>
    <xf numFmtId="4" fontId="79" fillId="5" borderId="14" xfId="3" applyNumberFormat="1" applyFont="1" applyFill="1" applyBorder="1" applyAlignment="1">
      <alignment horizontal="center" vertical="center" shrinkToFit="1"/>
    </xf>
    <xf numFmtId="166" fontId="49" fillId="5" borderId="35" xfId="0" applyNumberFormat="1" applyFont="1" applyFill="1" applyBorder="1" applyAlignment="1">
      <alignment horizontal="right" vertical="center" indent="1"/>
    </xf>
    <xf numFmtId="3" fontId="41" fillId="5" borderId="32" xfId="0" applyNumberFormat="1" applyFont="1" applyFill="1" applyBorder="1" applyAlignment="1">
      <alignment horizontal="right" vertical="center" indent="1"/>
    </xf>
    <xf numFmtId="4" fontId="79" fillId="5" borderId="32" xfId="3" applyNumberFormat="1" applyFont="1" applyFill="1" applyBorder="1" applyAlignment="1">
      <alignment horizontal="center" vertical="center" shrinkToFit="1"/>
    </xf>
    <xf numFmtId="3" fontId="51" fillId="16" borderId="89" xfId="3" applyNumberFormat="1" applyFont="1" applyFill="1" applyBorder="1" applyAlignment="1">
      <alignment horizontal="center" vertical="center" shrinkToFit="1"/>
    </xf>
    <xf numFmtId="3" fontId="45" fillId="3" borderId="1" xfId="0" applyNumberFormat="1" applyFont="1" applyFill="1" applyBorder="1" applyAlignment="1">
      <alignment horizontal="center" vertical="top" wrapText="1"/>
    </xf>
    <xf numFmtId="0" fontId="48" fillId="3" borderId="6" xfId="0" applyFont="1" applyFill="1" applyBorder="1" applyAlignment="1">
      <alignment horizontal="center" wrapText="1"/>
    </xf>
    <xf numFmtId="9" fontId="49" fillId="5" borderId="0" xfId="1" applyFont="1" applyFill="1" applyBorder="1" applyAlignment="1">
      <alignment horizontal="right" vertical="center" indent="1"/>
    </xf>
    <xf numFmtId="0" fontId="48" fillId="49" borderId="95" xfId="0" applyFont="1" applyFill="1" applyBorder="1" applyAlignment="1">
      <alignment horizontal="center" vertical="top" wrapText="1"/>
    </xf>
    <xf numFmtId="0" fontId="48" fillId="49" borderId="1" xfId="0" applyFont="1" applyFill="1" applyBorder="1" applyAlignment="1">
      <alignment horizontal="center" vertical="top" wrapText="1"/>
    </xf>
    <xf numFmtId="0" fontId="48" fillId="49" borderId="87" xfId="0" applyFont="1" applyFill="1" applyBorder="1" applyAlignment="1">
      <alignment horizontal="center" vertical="center" wrapText="1"/>
    </xf>
    <xf numFmtId="0" fontId="48" fillId="49" borderId="6" xfId="0" applyFont="1" applyFill="1" applyBorder="1" applyAlignment="1">
      <alignment horizontal="center" vertical="center" wrapText="1"/>
    </xf>
    <xf numFmtId="0" fontId="48" fillId="49" borderId="6" xfId="0" applyFont="1" applyFill="1" applyBorder="1" applyAlignment="1">
      <alignment horizontal="center" wrapText="1"/>
    </xf>
    <xf numFmtId="0" fontId="18" fillId="10" borderId="0" xfId="0" applyFont="1" applyFill="1" applyAlignment="1">
      <alignment horizontal="center" vertical="center"/>
    </xf>
    <xf numFmtId="0" fontId="18" fillId="10" borderId="0" xfId="0" applyFont="1" applyFill="1"/>
    <xf numFmtId="0" fontId="48" fillId="49" borderId="87" xfId="0" applyFont="1" applyFill="1" applyBorder="1" applyAlignment="1">
      <alignment horizontal="center" wrapText="1"/>
    </xf>
    <xf numFmtId="0" fontId="82" fillId="3" borderId="1" xfId="0" applyFont="1" applyFill="1" applyBorder="1" applyAlignment="1">
      <alignment horizontal="center" vertical="top" wrapText="1"/>
    </xf>
    <xf numFmtId="3" fontId="51" fillId="49" borderId="71" xfId="3" applyNumberFormat="1" applyFont="1" applyFill="1" applyBorder="1" applyAlignment="1">
      <alignment horizontal="center" vertical="center" shrinkToFit="1"/>
    </xf>
    <xf numFmtId="4" fontId="80" fillId="49" borderId="49" xfId="3" applyNumberFormat="1" applyFont="1" applyFill="1" applyBorder="1" applyAlignment="1">
      <alignment horizontal="center" vertical="center" shrinkToFit="1"/>
    </xf>
    <xf numFmtId="3" fontId="79" fillId="49" borderId="49" xfId="3" applyNumberFormat="1" applyFont="1" applyFill="1" applyBorder="1" applyAlignment="1">
      <alignment horizontal="center" vertical="center" shrinkToFit="1"/>
    </xf>
    <xf numFmtId="9" fontId="76" fillId="18" borderId="0" xfId="1" applyFont="1" applyFill="1" applyBorder="1" applyAlignment="1">
      <alignment horizontal="center" vertical="center"/>
    </xf>
    <xf numFmtId="3" fontId="134" fillId="5" borderId="23" xfId="3" applyNumberFormat="1" applyFont="1" applyFill="1" applyBorder="1" applyAlignment="1">
      <alignment horizontal="right" vertical="center" indent="1" readingOrder="2"/>
    </xf>
    <xf numFmtId="3" fontId="134" fillId="5" borderId="24" xfId="3" applyNumberFormat="1" applyFont="1" applyFill="1" applyBorder="1" applyAlignment="1">
      <alignment horizontal="right" vertical="center" indent="1" readingOrder="2"/>
    </xf>
    <xf numFmtId="3" fontId="134" fillId="5" borderId="35" xfId="3" applyNumberFormat="1" applyFont="1" applyFill="1" applyBorder="1" applyAlignment="1">
      <alignment horizontal="right" vertical="center" indent="1" readingOrder="2"/>
    </xf>
    <xf numFmtId="166" fontId="0" fillId="0" borderId="0" xfId="0" applyNumberFormat="1"/>
    <xf numFmtId="166" fontId="97" fillId="0" borderId="0" xfId="11" applyNumberFormat="1" applyFont="1" applyAlignment="1">
      <alignment vertical="center"/>
    </xf>
    <xf numFmtId="3" fontId="79" fillId="5" borderId="0" xfId="3" applyNumberFormat="1" applyFont="1" applyFill="1" applyBorder="1" applyAlignment="1">
      <alignment horizontal="center" vertical="center" shrinkToFit="1"/>
    </xf>
    <xf numFmtId="2" fontId="131" fillId="50" borderId="14" xfId="5" applyNumberFormat="1" applyFont="1" applyFill="1" applyBorder="1" applyAlignment="1">
      <alignment horizontal="center" vertical="center" readingOrder="1"/>
    </xf>
    <xf numFmtId="2" fontId="131" fillId="50" borderId="32" xfId="5" applyNumberFormat="1" applyFont="1" applyFill="1" applyBorder="1" applyAlignment="1">
      <alignment horizontal="center" vertical="center" readingOrder="1"/>
    </xf>
    <xf numFmtId="9" fontId="131" fillId="50" borderId="13" xfId="5" applyFont="1" applyFill="1" applyBorder="1" applyAlignment="1">
      <alignment horizontal="center" vertical="center" readingOrder="1"/>
    </xf>
    <xf numFmtId="9" fontId="131" fillId="50" borderId="33" xfId="5" applyFont="1" applyFill="1" applyBorder="1" applyAlignment="1">
      <alignment horizontal="center" vertical="center" readingOrder="1"/>
    </xf>
    <xf numFmtId="166" fontId="36" fillId="43" borderId="9" xfId="9" applyNumberFormat="1" applyFont="1" applyFill="1" applyBorder="1" applyAlignment="1">
      <alignment horizontal="center" vertical="center"/>
    </xf>
    <xf numFmtId="2" fontId="36" fillId="5" borderId="0" xfId="9" applyNumberFormat="1" applyFont="1" applyFill="1" applyBorder="1" applyAlignment="1">
      <alignment horizontal="center" vertical="center"/>
    </xf>
    <xf numFmtId="2" fontId="98" fillId="5" borderId="0" xfId="9" applyNumberFormat="1" applyFont="1" applyFill="1" applyBorder="1" applyAlignment="1">
      <alignment horizontal="center" vertical="center"/>
    </xf>
    <xf numFmtId="3" fontId="109" fillId="44" borderId="26" xfId="3" applyNumberFormat="1" applyFont="1" applyFill="1" applyBorder="1" applyAlignment="1">
      <alignment horizontal="center" vertical="center" wrapText="1"/>
    </xf>
    <xf numFmtId="3" fontId="109" fillId="44" borderId="18" xfId="3" applyNumberFormat="1" applyFont="1" applyFill="1" applyBorder="1" applyAlignment="1">
      <alignment horizontal="center" vertical="center" wrapText="1"/>
    </xf>
    <xf numFmtId="3" fontId="16" fillId="35" borderId="27" xfId="3" applyNumberFormat="1" applyFont="1" applyFill="1" applyBorder="1" applyAlignment="1">
      <alignment horizontal="center" vertical="center" wrapText="1"/>
    </xf>
    <xf numFmtId="3" fontId="16" fillId="35" borderId="28" xfId="3" applyNumberFormat="1" applyFont="1" applyFill="1" applyBorder="1" applyAlignment="1">
      <alignment horizontal="center" vertical="center" wrapText="1"/>
    </xf>
    <xf numFmtId="3" fontId="17" fillId="35" borderId="5" xfId="3" applyNumberFormat="1" applyFont="1" applyFill="1" applyBorder="1" applyAlignment="1">
      <alignment horizontal="center" vertical="center" wrapText="1"/>
    </xf>
    <xf numFmtId="3" fontId="38" fillId="35" borderId="2" xfId="3" applyNumberFormat="1" applyFont="1" applyFill="1" applyBorder="1" applyAlignment="1">
      <alignment horizontal="center" vertical="center" wrapText="1"/>
    </xf>
    <xf numFmtId="3" fontId="38" fillId="35" borderId="7" xfId="3" applyNumberFormat="1" applyFont="1" applyFill="1" applyBorder="1" applyAlignment="1">
      <alignment horizontal="center" vertical="center" wrapText="1"/>
    </xf>
    <xf numFmtId="3" fontId="38" fillId="35" borderId="3" xfId="3" applyNumberFormat="1" applyFont="1" applyFill="1" applyBorder="1" applyAlignment="1">
      <alignment horizontal="center" vertical="center" wrapText="1"/>
    </xf>
    <xf numFmtId="3" fontId="38" fillId="35" borderId="8" xfId="3" applyNumberFormat="1" applyFont="1" applyFill="1" applyBorder="1" applyAlignment="1">
      <alignment horizontal="center" vertical="center" wrapText="1"/>
    </xf>
    <xf numFmtId="3" fontId="39" fillId="37" borderId="26" xfId="3" applyNumberFormat="1" applyFont="1" applyFill="1" applyBorder="1" applyAlignment="1">
      <alignment horizontal="center" vertical="center" wrapText="1"/>
    </xf>
    <xf numFmtId="3" fontId="39" fillId="37" borderId="18" xfId="3" applyNumberFormat="1" applyFont="1" applyFill="1" applyBorder="1" applyAlignment="1">
      <alignment horizontal="center" vertical="center" wrapText="1"/>
    </xf>
    <xf numFmtId="0" fontId="17" fillId="36" borderId="22" xfId="4" applyFont="1" applyFill="1" applyBorder="1" applyAlignment="1">
      <alignment horizontal="center" vertical="center"/>
    </xf>
    <xf numFmtId="0" fontId="17" fillId="36" borderId="5" xfId="4" applyFont="1" applyFill="1" applyBorder="1" applyAlignment="1">
      <alignment horizontal="center" vertical="center"/>
    </xf>
    <xf numFmtId="0" fontId="17" fillId="36" borderId="20" xfId="4" applyFont="1" applyFill="1" applyBorder="1" applyAlignment="1">
      <alignment horizontal="center" vertical="center"/>
    </xf>
    <xf numFmtId="0" fontId="17" fillId="36" borderId="22" xfId="4" applyFont="1" applyFill="1" applyBorder="1" applyAlignment="1">
      <alignment horizontal="center" vertical="center" wrapText="1"/>
    </xf>
    <xf numFmtId="0" fontId="17" fillId="36" borderId="5" xfId="4" applyFont="1" applyFill="1" applyBorder="1" applyAlignment="1">
      <alignment horizontal="center" vertical="center" wrapText="1"/>
    </xf>
    <xf numFmtId="0" fontId="17" fillId="36" borderId="20" xfId="4" applyFont="1" applyFill="1" applyBorder="1" applyAlignment="1">
      <alignment horizontal="center" vertical="center" wrapText="1"/>
    </xf>
    <xf numFmtId="3" fontId="17" fillId="2" borderId="1" xfId="3" applyNumberFormat="1" applyFont="1" applyFill="1" applyBorder="1" applyAlignment="1">
      <alignment horizontal="center" vertical="center" wrapText="1"/>
    </xf>
    <xf numFmtId="3" fontId="17" fillId="2" borderId="6" xfId="3" applyNumberFormat="1" applyFont="1" applyFill="1" applyBorder="1" applyAlignment="1">
      <alignment horizontal="center" vertical="center" wrapText="1"/>
    </xf>
    <xf numFmtId="3" fontId="16" fillId="2" borderId="1" xfId="3" applyNumberFormat="1" applyFont="1" applyFill="1" applyBorder="1" applyAlignment="1">
      <alignment horizontal="center" vertical="center" wrapText="1"/>
    </xf>
    <xf numFmtId="3" fontId="16" fillId="2" borderId="6" xfId="3" applyNumberFormat="1" applyFont="1" applyFill="1" applyBorder="1" applyAlignment="1">
      <alignment horizontal="center" vertical="center" wrapText="1"/>
    </xf>
    <xf numFmtId="3" fontId="16" fillId="2" borderId="2" xfId="3" applyNumberFormat="1" applyFont="1" applyFill="1" applyBorder="1" applyAlignment="1">
      <alignment horizontal="center" vertical="center" wrapText="1"/>
    </xf>
    <xf numFmtId="3" fontId="16" fillId="2" borderId="7" xfId="3" applyNumberFormat="1" applyFont="1" applyFill="1" applyBorder="1" applyAlignment="1">
      <alignment horizontal="center" vertical="center" wrapText="1"/>
    </xf>
    <xf numFmtId="0" fontId="19" fillId="3" borderId="1" xfId="4" applyFont="1" applyFill="1" applyBorder="1" applyAlignment="1">
      <alignment horizontal="center" vertical="top" wrapText="1"/>
    </xf>
    <xf numFmtId="0" fontId="19" fillId="3" borderId="27" xfId="4" applyFont="1" applyFill="1" applyBorder="1" applyAlignment="1">
      <alignment horizontal="center" vertical="top" wrapText="1"/>
    </xf>
    <xf numFmtId="3" fontId="17" fillId="2" borderId="4" xfId="3" applyNumberFormat="1" applyFont="1" applyFill="1" applyBorder="1" applyAlignment="1">
      <alignment horizontal="center" vertical="center" wrapText="1"/>
    </xf>
    <xf numFmtId="3" fontId="17" fillId="2" borderId="5" xfId="3" applyNumberFormat="1" applyFont="1" applyFill="1" applyBorder="1" applyAlignment="1">
      <alignment horizontal="center" vertical="center" wrapText="1"/>
    </xf>
    <xf numFmtId="3" fontId="17" fillId="2" borderId="20" xfId="3" applyNumberFormat="1" applyFont="1" applyFill="1" applyBorder="1" applyAlignment="1">
      <alignment horizontal="center" vertical="center" wrapText="1"/>
    </xf>
    <xf numFmtId="0" fontId="17" fillId="3" borderId="5" xfId="4" applyFont="1" applyFill="1" applyBorder="1" applyAlignment="1">
      <alignment horizontal="center" vertical="center"/>
    </xf>
    <xf numFmtId="0" fontId="17" fillId="3" borderId="20" xfId="4" applyFont="1" applyFill="1" applyBorder="1" applyAlignment="1">
      <alignment horizontal="center" vertical="center"/>
    </xf>
    <xf numFmtId="0" fontId="16" fillId="3" borderId="22" xfId="4" applyFont="1" applyFill="1" applyBorder="1" applyAlignment="1">
      <alignment horizontal="center" vertical="center" wrapText="1"/>
    </xf>
    <xf numFmtId="0" fontId="16" fillId="3" borderId="5" xfId="4" applyFont="1" applyFill="1" applyBorder="1" applyAlignment="1">
      <alignment horizontal="center" vertical="center" wrapText="1"/>
    </xf>
    <xf numFmtId="0" fontId="65" fillId="31" borderId="76" xfId="0" applyFont="1" applyFill="1" applyBorder="1" applyAlignment="1">
      <alignment horizontal="center" vertical="center"/>
    </xf>
    <xf numFmtId="0" fontId="68" fillId="30" borderId="77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42" fillId="3" borderId="6" xfId="0" applyFont="1" applyFill="1" applyBorder="1" applyAlignment="1">
      <alignment horizontal="center" vertical="center" wrapText="1"/>
    </xf>
    <xf numFmtId="168" fontId="56" fillId="5" borderId="6" xfId="0" applyNumberFormat="1" applyFont="1" applyFill="1" applyBorder="1" applyAlignment="1">
      <alignment horizontal="center" vertical="center"/>
    </xf>
    <xf numFmtId="0" fontId="48" fillId="3" borderId="83" xfId="0" applyFont="1" applyFill="1" applyBorder="1" applyAlignment="1">
      <alignment horizontal="center"/>
    </xf>
    <xf numFmtId="0" fontId="48" fillId="3" borderId="84" xfId="0" applyFont="1" applyFill="1" applyBorder="1" applyAlignment="1">
      <alignment horizontal="center"/>
    </xf>
    <xf numFmtId="168" fontId="18" fillId="3" borderId="1" xfId="10" applyNumberFormat="1" applyFont="1" applyFill="1" applyBorder="1" applyAlignment="1">
      <alignment horizontal="center" vertical="center"/>
    </xf>
    <xf numFmtId="168" fontId="18" fillId="3" borderId="6" xfId="10" applyNumberFormat="1" applyFont="1" applyFill="1" applyBorder="1" applyAlignment="1">
      <alignment horizontal="center" vertical="center"/>
    </xf>
    <xf numFmtId="0" fontId="60" fillId="3" borderId="1" xfId="0" applyFont="1" applyFill="1" applyBorder="1" applyAlignment="1">
      <alignment horizontal="center" vertical="center" textRotation="90"/>
    </xf>
    <xf numFmtId="0" fontId="60" fillId="3" borderId="6" xfId="0" applyFont="1" applyFill="1" applyBorder="1" applyAlignment="1">
      <alignment horizontal="center" vertical="center" textRotation="90"/>
    </xf>
    <xf numFmtId="168" fontId="61" fillId="3" borderId="1" xfId="10" applyNumberFormat="1" applyFont="1" applyFill="1" applyBorder="1" applyAlignment="1">
      <alignment horizontal="center" vertical="center"/>
    </xf>
    <xf numFmtId="168" fontId="61" fillId="3" borderId="6" xfId="10" applyNumberFormat="1" applyFont="1" applyFill="1" applyBorder="1" applyAlignment="1">
      <alignment horizontal="center" vertical="center"/>
    </xf>
    <xf numFmtId="0" fontId="87" fillId="3" borderId="95" xfId="0" applyFont="1" applyFill="1" applyBorder="1" applyAlignment="1">
      <alignment horizontal="center" vertical="center" wrapText="1" readingOrder="2"/>
    </xf>
    <xf numFmtId="0" fontId="87" fillId="3" borderId="1" xfId="0" applyFont="1" applyFill="1" applyBorder="1" applyAlignment="1">
      <alignment horizontal="center" vertical="center" wrapText="1" readingOrder="2"/>
    </xf>
    <xf numFmtId="0" fontId="87" fillId="3" borderId="27" xfId="0" applyFont="1" applyFill="1" applyBorder="1" applyAlignment="1">
      <alignment horizontal="center" vertical="center" wrapText="1" readingOrder="2"/>
    </xf>
    <xf numFmtId="0" fontId="89" fillId="3" borderId="95" xfId="0" applyFont="1" applyFill="1" applyBorder="1" applyAlignment="1">
      <alignment horizontal="center" vertical="center" wrapText="1"/>
    </xf>
    <xf numFmtId="0" fontId="89" fillId="3" borderId="1" xfId="0" applyFont="1" applyFill="1" applyBorder="1" applyAlignment="1">
      <alignment horizontal="center" vertical="center" wrapText="1"/>
    </xf>
    <xf numFmtId="49" fontId="95" fillId="5" borderId="22" xfId="3" applyNumberFormat="1" applyFont="1" applyFill="1" applyBorder="1" applyAlignment="1">
      <alignment horizontal="center" vertical="center"/>
    </xf>
    <xf numFmtId="49" fontId="95" fillId="5" borderId="99" xfId="3" applyNumberFormat="1" applyFont="1" applyFill="1" applyBorder="1" applyAlignment="1">
      <alignment horizontal="center" vertical="center"/>
    </xf>
    <xf numFmtId="49" fontId="95" fillId="5" borderId="21" xfId="3" applyNumberFormat="1" applyFont="1" applyFill="1" applyBorder="1" applyAlignment="1">
      <alignment horizontal="center" vertical="center"/>
    </xf>
    <xf numFmtId="49" fontId="96" fillId="5" borderId="14" xfId="3" applyNumberFormat="1" applyFont="1" applyFill="1" applyBorder="1" applyAlignment="1">
      <alignment horizontal="center" vertical="center"/>
    </xf>
    <xf numFmtId="49" fontId="96" fillId="5" borderId="32" xfId="3" applyNumberFormat="1" applyFont="1" applyFill="1" applyBorder="1" applyAlignment="1">
      <alignment horizontal="center" vertical="center"/>
    </xf>
    <xf numFmtId="3" fontId="84" fillId="0" borderId="0" xfId="3" applyNumberFormat="1" applyFont="1" applyAlignment="1">
      <alignment horizontal="center" vertical="center"/>
    </xf>
    <xf numFmtId="49" fontId="96" fillId="5" borderId="0" xfId="3" applyNumberFormat="1" applyFont="1" applyFill="1" applyAlignment="1">
      <alignment horizontal="center" vertical="center"/>
    </xf>
    <xf numFmtId="3" fontId="99" fillId="5" borderId="30" xfId="3" applyNumberFormat="1" applyFont="1" applyFill="1" applyBorder="1" applyAlignment="1">
      <alignment horizontal="center" vertical="center"/>
    </xf>
    <xf numFmtId="3" fontId="99" fillId="5" borderId="28" xfId="3" applyNumberFormat="1" applyFont="1" applyFill="1" applyBorder="1" applyAlignment="1">
      <alignment horizontal="center" vertical="center"/>
    </xf>
    <xf numFmtId="3" fontId="99" fillId="5" borderId="14" xfId="3" applyNumberFormat="1" applyFont="1" applyFill="1" applyBorder="1" applyAlignment="1">
      <alignment horizontal="center" vertical="center"/>
    </xf>
    <xf numFmtId="3" fontId="99" fillId="5" borderId="6" xfId="3" applyNumberFormat="1" applyFont="1" applyFill="1" applyBorder="1" applyAlignment="1">
      <alignment horizontal="center" vertical="center"/>
    </xf>
    <xf numFmtId="49" fontId="95" fillId="5" borderId="23" xfId="3" applyNumberFormat="1" applyFont="1" applyFill="1" applyBorder="1" applyAlignment="1">
      <alignment horizontal="center" vertical="center"/>
    </xf>
    <xf numFmtId="49" fontId="96" fillId="5" borderId="1" xfId="3" applyNumberFormat="1" applyFont="1" applyFill="1" applyBorder="1" applyAlignment="1">
      <alignment horizontal="center" vertical="center"/>
    </xf>
    <xf numFmtId="3" fontId="99" fillId="5" borderId="27" xfId="3" applyNumberFormat="1" applyFont="1" applyFill="1" applyBorder="1" applyAlignment="1">
      <alignment horizontal="center" vertical="center"/>
    </xf>
    <xf numFmtId="3" fontId="99" fillId="5" borderId="29" xfId="3" applyNumberFormat="1" applyFont="1" applyFill="1" applyBorder="1" applyAlignment="1">
      <alignment horizontal="center" vertical="center"/>
    </xf>
    <xf numFmtId="3" fontId="99" fillId="5" borderId="31" xfId="3" applyNumberFormat="1" applyFont="1" applyFill="1" applyBorder="1" applyAlignment="1">
      <alignment horizontal="center" vertical="center"/>
    </xf>
    <xf numFmtId="3" fontId="99" fillId="5" borderId="1" xfId="3" applyNumberFormat="1" applyFont="1" applyFill="1" applyBorder="1" applyAlignment="1">
      <alignment horizontal="center" vertical="center"/>
    </xf>
    <xf numFmtId="3" fontId="99" fillId="5" borderId="0" xfId="3" applyNumberFormat="1" applyFont="1" applyFill="1" applyAlignment="1">
      <alignment horizontal="center" vertical="center"/>
    </xf>
    <xf numFmtId="3" fontId="99" fillId="5" borderId="32" xfId="3" applyNumberFormat="1" applyFont="1" applyFill="1" applyBorder="1" applyAlignment="1">
      <alignment horizontal="center" vertical="center"/>
    </xf>
    <xf numFmtId="3" fontId="97" fillId="5" borderId="1" xfId="3" applyNumberFormat="1" applyFont="1" applyFill="1" applyBorder="1" applyAlignment="1">
      <alignment horizontal="center" vertical="center"/>
    </xf>
    <xf numFmtId="3" fontId="97" fillId="5" borderId="32" xfId="3" applyNumberFormat="1" applyFont="1" applyFill="1" applyBorder="1" applyAlignment="1">
      <alignment horizontal="center" vertical="center"/>
    </xf>
    <xf numFmtId="49" fontId="96" fillId="5" borderId="6" xfId="3" applyNumberFormat="1" applyFont="1" applyFill="1" applyBorder="1" applyAlignment="1">
      <alignment horizontal="center" vertical="center"/>
    </xf>
    <xf numFmtId="49" fontId="95" fillId="5" borderId="35" xfId="3" applyNumberFormat="1" applyFont="1" applyFill="1" applyBorder="1" applyAlignment="1">
      <alignment horizontal="center" vertical="center"/>
    </xf>
    <xf numFmtId="3" fontId="99" fillId="5" borderId="23" xfId="3" applyNumberFormat="1" applyFont="1" applyFill="1" applyBorder="1" applyAlignment="1">
      <alignment horizontal="center" vertical="center"/>
    </xf>
    <xf numFmtId="3" fontId="99" fillId="5" borderId="24" xfId="3" applyNumberFormat="1" applyFont="1" applyFill="1" applyBorder="1" applyAlignment="1">
      <alignment horizontal="center" vertical="center"/>
    </xf>
    <xf numFmtId="49" fontId="95" fillId="5" borderId="95" xfId="3" applyNumberFormat="1" applyFont="1" applyFill="1" applyBorder="1" applyAlignment="1">
      <alignment horizontal="center" vertical="center"/>
    </xf>
    <xf numFmtId="49" fontId="95" fillId="5" borderId="87" xfId="3" applyNumberFormat="1" applyFont="1" applyFill="1" applyBorder="1" applyAlignment="1">
      <alignment horizontal="center" vertical="center"/>
    </xf>
    <xf numFmtId="49" fontId="95" fillId="5" borderId="24" xfId="3" applyNumberFormat="1" applyFont="1" applyFill="1" applyBorder="1" applyAlignment="1">
      <alignment horizontal="center" vertical="center"/>
    </xf>
    <xf numFmtId="0" fontId="84" fillId="0" borderId="111" xfId="3" applyFont="1" applyBorder="1" applyAlignment="1">
      <alignment horizontal="center" vertical="center"/>
    </xf>
    <xf numFmtId="0" fontId="84" fillId="0" borderId="112" xfId="3" applyFont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9" fillId="3" borderId="95" xfId="0" applyFont="1" applyFill="1" applyBorder="1" applyAlignment="1">
      <alignment horizontal="center" vertical="center" textRotation="90"/>
    </xf>
    <xf numFmtId="0" fontId="19" fillId="3" borderId="87" xfId="0" applyFont="1" applyFill="1" applyBorder="1" applyAlignment="1">
      <alignment horizontal="center" vertical="center" textRotation="90"/>
    </xf>
    <xf numFmtId="0" fontId="16" fillId="5" borderId="1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129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56" fillId="5" borderId="6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24" fillId="14" borderId="36" xfId="0" applyFont="1" applyFill="1" applyBorder="1" applyAlignment="1">
      <alignment horizontal="center" vertical="center"/>
    </xf>
    <xf numFmtId="0" fontId="24" fillId="14" borderId="37" xfId="0" applyFont="1" applyFill="1" applyBorder="1" applyAlignment="1">
      <alignment horizontal="center" vertical="center"/>
    </xf>
    <xf numFmtId="0" fontId="24" fillId="14" borderId="38" xfId="0" applyFont="1" applyFill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1" fontId="24" fillId="15" borderId="40" xfId="0" applyNumberFormat="1" applyFont="1" applyFill="1" applyBorder="1" applyAlignment="1">
      <alignment horizontal="center" vertical="center"/>
    </xf>
    <xf numFmtId="1" fontId="24" fillId="15" borderId="46" xfId="0" applyNumberFormat="1" applyFont="1" applyFill="1" applyBorder="1" applyAlignment="1">
      <alignment horizontal="center" vertical="center"/>
    </xf>
    <xf numFmtId="0" fontId="24" fillId="15" borderId="40" xfId="0" applyFont="1" applyFill="1" applyBorder="1" applyAlignment="1">
      <alignment horizontal="center" vertical="center"/>
    </xf>
    <xf numFmtId="0" fontId="24" fillId="15" borderId="46" xfId="0" applyFont="1" applyFill="1" applyBorder="1" applyAlignment="1">
      <alignment horizontal="center" vertical="center"/>
    </xf>
    <xf numFmtId="0" fontId="24" fillId="15" borderId="41" xfId="0" applyFont="1" applyFill="1" applyBorder="1" applyAlignment="1">
      <alignment horizontal="center" vertical="center"/>
    </xf>
    <xf numFmtId="0" fontId="24" fillId="15" borderId="47" xfId="0" applyFont="1" applyFill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4" fillId="11" borderId="36" xfId="0" applyFont="1" applyFill="1" applyBorder="1" applyAlignment="1">
      <alignment horizontal="center" vertical="center"/>
    </xf>
    <xf numFmtId="0" fontId="24" fillId="11" borderId="37" xfId="0" applyFont="1" applyFill="1" applyBorder="1" applyAlignment="1">
      <alignment horizontal="center" vertical="center"/>
    </xf>
    <xf numFmtId="0" fontId="24" fillId="11" borderId="3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1" fontId="24" fillId="15" borderId="42" xfId="0" applyNumberFormat="1" applyFont="1" applyFill="1" applyBorder="1" applyAlignment="1">
      <alignment horizontal="center" vertical="center"/>
    </xf>
    <xf numFmtId="0" fontId="27" fillId="17" borderId="39" xfId="0" applyFont="1" applyFill="1" applyBorder="1" applyAlignment="1">
      <alignment horizontal="center" vertical="center"/>
    </xf>
    <xf numFmtId="0" fontId="27" fillId="17" borderId="40" xfId="0" applyFont="1" applyFill="1" applyBorder="1" applyAlignment="1">
      <alignment horizontal="center" vertical="center"/>
    </xf>
    <xf numFmtId="0" fontId="27" fillId="17" borderId="45" xfId="0" applyFont="1" applyFill="1" applyBorder="1" applyAlignment="1">
      <alignment horizontal="center" vertical="center"/>
    </xf>
    <xf numFmtId="0" fontId="27" fillId="17" borderId="46" xfId="0" applyFont="1" applyFill="1" applyBorder="1" applyAlignment="1">
      <alignment horizontal="center" vertical="center"/>
    </xf>
    <xf numFmtId="0" fontId="27" fillId="16" borderId="36" xfId="0" applyFont="1" applyFill="1" applyBorder="1" applyAlignment="1">
      <alignment horizontal="center" vertical="center"/>
    </xf>
    <xf numFmtId="0" fontId="27" fillId="16" borderId="37" xfId="0" applyFont="1" applyFill="1" applyBorder="1" applyAlignment="1">
      <alignment horizontal="center" vertical="center"/>
    </xf>
    <xf numFmtId="0" fontId="27" fillId="16" borderId="38" xfId="0" applyFont="1" applyFill="1" applyBorder="1" applyAlignment="1">
      <alignment horizontal="center" vertical="center"/>
    </xf>
    <xf numFmtId="0" fontId="27" fillId="16" borderId="39" xfId="0" applyFont="1" applyFill="1" applyBorder="1" applyAlignment="1">
      <alignment horizontal="center" vertical="center"/>
    </xf>
    <xf numFmtId="0" fontId="27" fillId="16" borderId="40" xfId="0" applyFont="1" applyFill="1" applyBorder="1" applyAlignment="1">
      <alignment horizontal="center" vertical="center"/>
    </xf>
    <xf numFmtId="0" fontId="27" fillId="16" borderId="41" xfId="0" applyFont="1" applyFill="1" applyBorder="1" applyAlignment="1">
      <alignment horizontal="center" vertical="center"/>
    </xf>
    <xf numFmtId="0" fontId="27" fillId="16" borderId="45" xfId="0" applyFont="1" applyFill="1" applyBorder="1" applyAlignment="1">
      <alignment horizontal="center" vertical="center"/>
    </xf>
    <xf numFmtId="0" fontId="27" fillId="16" borderId="46" xfId="0" applyFont="1" applyFill="1" applyBorder="1" applyAlignment="1">
      <alignment horizontal="center" vertical="center"/>
    </xf>
    <xf numFmtId="0" fontId="27" fillId="17" borderId="36" xfId="0" applyFont="1" applyFill="1" applyBorder="1" applyAlignment="1">
      <alignment horizontal="center" vertical="center"/>
    </xf>
    <xf numFmtId="0" fontId="27" fillId="17" borderId="37" xfId="0" applyFont="1" applyFill="1" applyBorder="1" applyAlignment="1">
      <alignment horizontal="center" vertical="center"/>
    </xf>
    <xf numFmtId="0" fontId="27" fillId="17" borderId="38" xfId="0" applyFont="1" applyFill="1" applyBorder="1" applyAlignment="1">
      <alignment horizontal="center" vertical="center"/>
    </xf>
    <xf numFmtId="0" fontId="27" fillId="17" borderId="41" xfId="0" applyFont="1" applyFill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4" fillId="15" borderId="42" xfId="0" applyFont="1" applyFill="1" applyBorder="1" applyAlignment="1">
      <alignment horizontal="center" vertical="center"/>
    </xf>
    <xf numFmtId="0" fontId="24" fillId="15" borderId="43" xfId="0" applyFont="1" applyFill="1" applyBorder="1" applyAlignment="1">
      <alignment horizontal="center" vertical="center"/>
    </xf>
  </cellXfs>
  <cellStyles count="15">
    <cellStyle name="Comma" xfId="8" builtinId="3"/>
    <cellStyle name="Comma 2" xfId="10" xr:uid="{36281779-D3F0-4F15-A732-6EC72EAF945F}"/>
    <cellStyle name="Normal" xfId="0" builtinId="0"/>
    <cellStyle name="Normal 2" xfId="11" xr:uid="{00D2F460-9179-4327-841F-0D5061D98B24}"/>
    <cellStyle name="Normal 2 2" xfId="3" xr:uid="{00000000-0005-0000-0000-000002000000}"/>
    <cellStyle name="Normal 2 3" xfId="12" xr:uid="{59C36157-417F-4E66-9F5E-95F638346B3F}"/>
    <cellStyle name="Normal 3" xfId="9" xr:uid="{13B7CEBE-39D8-4999-A0E1-FE08F71E4492}"/>
    <cellStyle name="Normal 4 2" xfId="4" xr:uid="{00000000-0005-0000-0000-000003000000}"/>
    <cellStyle name="Normal 4 3" xfId="6" xr:uid="{00000000-0005-0000-0000-000004000000}"/>
    <cellStyle name="Normal 6 3" xfId="2" xr:uid="{00000000-0005-0000-0000-000005000000}"/>
    <cellStyle name="Percent" xfId="1" builtinId="5"/>
    <cellStyle name="Percent 2" xfId="13" xr:uid="{DA3D6EE1-0DAA-4292-9226-48E6BF8BECD0}"/>
    <cellStyle name="Percent 3" xfId="14" xr:uid="{1BA45887-EEF7-4324-9E57-5D08F1B71EE7}"/>
    <cellStyle name="Percent 5 2" xfId="5" xr:uid="{00000000-0005-0000-0000-000007000000}"/>
    <cellStyle name="Percent 5 2 2" xfId="7" xr:uid="{00000000-0005-0000-0000-000008000000}"/>
  </cellStyles>
  <dxfs count="850"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9" tint="0.79998168889431442"/>
        </patternFill>
      </fill>
      <border>
        <top style="dotted">
          <color rgb="FF0000CC"/>
        </top>
        <vertical/>
        <horizontal/>
      </border>
    </dxf>
    <dxf>
      <font>
        <b/>
        <i val="0"/>
      </font>
      <fill>
        <patternFill>
          <bgColor theme="8" tint="0.59996337778862885"/>
        </patternFill>
      </fill>
      <border>
        <top style="thin">
          <color auto="1"/>
        </top>
        <vertical/>
        <horizontal/>
      </border>
    </dxf>
    <dxf>
      <border>
        <top style="dotted">
          <color auto="1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9" tint="0.79998168889431442"/>
        </patternFill>
      </fill>
      <border>
        <top style="dotted">
          <color rgb="FF0000CC"/>
        </top>
        <vertical/>
        <horizontal/>
      </border>
    </dxf>
    <dxf>
      <font>
        <b/>
        <i val="0"/>
      </font>
      <fill>
        <patternFill>
          <bgColor theme="8" tint="0.59996337778862885"/>
        </patternFill>
      </fill>
      <border>
        <top style="thin">
          <color auto="1"/>
        </top>
        <vertical/>
        <horizontal/>
      </border>
    </dxf>
    <dxf>
      <border>
        <top style="dotted">
          <color auto="1"/>
        </top>
        <vertical/>
        <horizontal/>
      </border>
    </dxf>
    <dxf>
      <fill>
        <patternFill>
          <bgColor theme="9" tint="0.79998168889431442"/>
        </patternFill>
      </fill>
      <border>
        <top style="dotted">
          <color rgb="FF0000CC"/>
        </top>
        <vertical/>
        <horizontal/>
      </border>
    </dxf>
    <dxf>
      <font>
        <b/>
        <i val="0"/>
      </font>
      <fill>
        <patternFill>
          <bgColor theme="8" tint="0.59996337778862885"/>
        </patternFill>
      </fill>
      <border>
        <top style="thin">
          <color auto="1"/>
        </top>
        <vertical/>
        <horizontal/>
      </border>
    </dxf>
    <dxf>
      <border>
        <top style="dotted">
          <color auto="1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9" tint="0.79998168889431442"/>
        </patternFill>
      </fill>
      <border>
        <top style="dotted">
          <color rgb="FF0000CC"/>
        </top>
        <vertical/>
        <horizontal/>
      </border>
    </dxf>
    <dxf>
      <font>
        <b/>
        <i val="0"/>
      </font>
      <fill>
        <patternFill>
          <bgColor theme="8" tint="0.59996337778862885"/>
        </patternFill>
      </fill>
      <border>
        <top style="thin">
          <color auto="1"/>
        </top>
        <vertical/>
        <horizontal/>
      </border>
    </dxf>
    <dxf>
      <border>
        <top style="dotted">
          <color auto="1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</dxfs>
  <tableStyles count="0" defaultTableStyle="TableStyleMedium2" defaultPivotStyle="PivotStyleLight16"/>
  <colors>
    <mruColors>
      <color rgb="FFB5EEA6"/>
      <color rgb="FF0000CC"/>
      <color rgb="FFCCFFFF"/>
      <color rgb="FF680000"/>
      <color rgb="FF002A7E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Shahrdary!$AC$34:$AC$49</c:f>
              <c:numCache>
                <c:formatCode>#,##0</c:formatCode>
                <c:ptCount val="16"/>
                <c:pt idx="0">
                  <c:v>19690</c:v>
                </c:pt>
                <c:pt idx="1">
                  <c:v>14000</c:v>
                </c:pt>
                <c:pt idx="2">
                  <c:v>13720</c:v>
                </c:pt>
                <c:pt idx="3">
                  <c:v>17310</c:v>
                </c:pt>
                <c:pt idx="4">
                  <c:v>18770</c:v>
                </c:pt>
                <c:pt idx="5">
                  <c:v>15420</c:v>
                </c:pt>
                <c:pt idx="6">
                  <c:v>6160</c:v>
                </c:pt>
                <c:pt idx="7">
                  <c:v>10450</c:v>
                </c:pt>
                <c:pt idx="8">
                  <c:v>7820</c:v>
                </c:pt>
                <c:pt idx="9">
                  <c:v>12800</c:v>
                </c:pt>
                <c:pt idx="10">
                  <c:v>17360</c:v>
                </c:pt>
                <c:pt idx="11">
                  <c:v>11930</c:v>
                </c:pt>
                <c:pt idx="12">
                  <c:v>20722.825987420973</c:v>
                </c:pt>
                <c:pt idx="15">
                  <c:v>13266.113938127539</c:v>
                </c:pt>
              </c:numCache>
            </c:numRef>
          </c:xVal>
          <c:yVal>
            <c:numRef>
              <c:f>Shahrdary!$U$34:$U$49</c:f>
              <c:numCache>
                <c:formatCode>#,##0</c:formatCode>
                <c:ptCount val="16"/>
                <c:pt idx="0">
                  <c:v>16252.036273328122</c:v>
                </c:pt>
                <c:pt idx="1">
                  <c:v>13091.870280999136</c:v>
                </c:pt>
                <c:pt idx="2">
                  <c:v>13854.186817712885</c:v>
                </c:pt>
                <c:pt idx="3">
                  <c:v>18174.638959712927</c:v>
                </c:pt>
                <c:pt idx="4">
                  <c:v>19706.935364702269</c:v>
                </c:pt>
                <c:pt idx="5">
                  <c:v>16192.88325290174</c:v>
                </c:pt>
                <c:pt idx="6">
                  <c:v>6443.768242738618</c:v>
                </c:pt>
                <c:pt idx="7">
                  <c:v>10970.074910148047</c:v>
                </c:pt>
                <c:pt idx="8">
                  <c:v>8211.2886323609109</c:v>
                </c:pt>
                <c:pt idx="9">
                  <c:v>13335.135905705636</c:v>
                </c:pt>
                <c:pt idx="10">
                  <c:v>18229.359524187996</c:v>
                </c:pt>
                <c:pt idx="11">
                  <c:v>12528.89145561501</c:v>
                </c:pt>
                <c:pt idx="12">
                  <c:v>21813.501039390499</c:v>
                </c:pt>
                <c:pt idx="15">
                  <c:v>13266.113938127539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4-453F-8690-D80CA2599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909183"/>
        <c:axId val="476479663"/>
      </c:scatterChart>
      <c:valAx>
        <c:axId val="48090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79663"/>
        <c:crosses val="autoZero"/>
        <c:crossBetween val="midCat"/>
      </c:valAx>
      <c:valAx>
        <c:axId val="47647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0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</c:marker>
          <c:xVal>
            <c:numRef>
              <c:f>HydroM.!$Q$5:$Q$17</c:f>
              <c:numCache>
                <c:formatCode>#,##0</c:formatCode>
                <c:ptCount val="13"/>
                <c:pt idx="0">
                  <c:v>194.86942675765835</c:v>
                </c:pt>
                <c:pt idx="1">
                  <c:v>416.63169816201162</c:v>
                </c:pt>
                <c:pt idx="2">
                  <c:v>326.80446426584746</c:v>
                </c:pt>
                <c:pt idx="3">
                  <c:v>204.55655491829182</c:v>
                </c:pt>
                <c:pt idx="4">
                  <c:v>195.7553399455285</c:v>
                </c:pt>
                <c:pt idx="5">
                  <c:v>276.87603977299153</c:v>
                </c:pt>
                <c:pt idx="6">
                  <c:v>654.15554271388237</c:v>
                </c:pt>
                <c:pt idx="7">
                  <c:v>460.29711845032773</c:v>
                </c:pt>
                <c:pt idx="8">
                  <c:v>760.14332184559714</c:v>
                </c:pt>
                <c:pt idx="9">
                  <c:v>457.00075629827415</c:v>
                </c:pt>
                <c:pt idx="10">
                  <c:v>435.08232430424096</c:v>
                </c:pt>
                <c:pt idx="11">
                  <c:v>240.00195874312169</c:v>
                </c:pt>
                <c:pt idx="12">
                  <c:v>35.193325010298921</c:v>
                </c:pt>
              </c:numCache>
            </c:numRef>
          </c:xVal>
          <c:yVal>
            <c:numRef>
              <c:f>HydroM.!$X$5:$X$17</c:f>
              <c:numCache>
                <c:formatCode>#,##0</c:formatCode>
                <c:ptCount val="13"/>
                <c:pt idx="0">
                  <c:v>169.39732127093319</c:v>
                </c:pt>
                <c:pt idx="1">
                  <c:v>376.76495765771142</c:v>
                </c:pt>
                <c:pt idx="2">
                  <c:v>303.15359904680986</c:v>
                </c:pt>
                <c:pt idx="3">
                  <c:v>175.99920655006392</c:v>
                </c:pt>
                <c:pt idx="4">
                  <c:v>176.82755430920616</c:v>
                </c:pt>
                <c:pt idx="5">
                  <c:v>257.27223765904404</c:v>
                </c:pt>
                <c:pt idx="6">
                  <c:v>859.21665394478339</c:v>
                </c:pt>
                <c:pt idx="7">
                  <c:v>218.35233856934593</c:v>
                </c:pt>
                <c:pt idx="8">
                  <c:v>638.50031045349954</c:v>
                </c:pt>
                <c:pt idx="9">
                  <c:v>448.82585958594086</c:v>
                </c:pt>
                <c:pt idx="10">
                  <c:v>364.20895487912708</c:v>
                </c:pt>
                <c:pt idx="11">
                  <c:v>237.15974286545435</c:v>
                </c:pt>
                <c:pt idx="12">
                  <c:v>29.754771989121497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00-4474-B656-C9A20266F279}"/>
            </c:ext>
          </c:extLst>
        </c:ser>
        <c:ser>
          <c:idx val="0"/>
          <c:order val="1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3.9069798358237331E-2"/>
                  <c:y val="-0.17968722659667541"/>
                </c:manualLayout>
              </c:layout>
              <c:numFmt formatCode="General" sourceLinked="0"/>
            </c:trendlineLbl>
          </c:trendline>
          <c:xVal>
            <c:numRef>
              <c:f>HydroM.!$X$5:$X$17</c:f>
              <c:numCache>
                <c:formatCode>#,##0</c:formatCode>
                <c:ptCount val="13"/>
                <c:pt idx="0">
                  <c:v>169.39732127093319</c:v>
                </c:pt>
                <c:pt idx="1">
                  <c:v>376.76495765771142</c:v>
                </c:pt>
                <c:pt idx="2">
                  <c:v>303.15359904680986</c:v>
                </c:pt>
                <c:pt idx="3">
                  <c:v>175.99920655006392</c:v>
                </c:pt>
                <c:pt idx="4">
                  <c:v>176.82755430920616</c:v>
                </c:pt>
                <c:pt idx="5">
                  <c:v>257.27223765904404</c:v>
                </c:pt>
                <c:pt idx="6">
                  <c:v>859.21665394478339</c:v>
                </c:pt>
                <c:pt idx="7">
                  <c:v>218.35233856934593</c:v>
                </c:pt>
                <c:pt idx="8">
                  <c:v>638.50031045349954</c:v>
                </c:pt>
                <c:pt idx="9">
                  <c:v>448.82585958594086</c:v>
                </c:pt>
                <c:pt idx="10">
                  <c:v>364.20895487912708</c:v>
                </c:pt>
                <c:pt idx="11">
                  <c:v>237.15974286545435</c:v>
                </c:pt>
                <c:pt idx="12">
                  <c:v>29.754771989121497</c:v>
                </c:pt>
              </c:numCache>
            </c:numRef>
          </c:xVal>
          <c:yVal>
            <c:numRef>
              <c:f>HydroM.!$K$5:$K$17</c:f>
              <c:numCache>
                <c:formatCode>0.0</c:formatCode>
                <c:ptCount val="13"/>
                <c:pt idx="0">
                  <c:v>102.03966931104</c:v>
                </c:pt>
                <c:pt idx="1">
                  <c:v>221.29064181983998</c:v>
                </c:pt>
                <c:pt idx="2">
                  <c:v>174.1750479168</c:v>
                </c:pt>
                <c:pt idx="3">
                  <c:v>100.85911576416001</c:v>
                </c:pt>
                <c:pt idx="4">
                  <c:v>102.97356605568001</c:v>
                </c:pt>
                <c:pt idx="5">
                  <c:v>151.15643504159999</c:v>
                </c:pt>
                <c:pt idx="6">
                  <c:v>476.18484216000013</c:v>
                </c:pt>
                <c:pt idx="7">
                  <c:v>135.57643844543998</c:v>
                </c:pt>
                <c:pt idx="8">
                  <c:v>389.88622255967994</c:v>
                </c:pt>
                <c:pt idx="9">
                  <c:v>261.93567200832001</c:v>
                </c:pt>
                <c:pt idx="10">
                  <c:v>212.45126948064004</c:v>
                </c:pt>
                <c:pt idx="11">
                  <c:v>137.05872026975999</c:v>
                </c:pt>
                <c:pt idx="12">
                  <c:v>17.48334813696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00-4474-B656-C9A20266F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432992"/>
        <c:axId val="1751110192"/>
      </c:scatterChart>
      <c:valAx>
        <c:axId val="203643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110192"/>
        <c:crosses val="autoZero"/>
        <c:crossBetween val="midCat"/>
      </c:valAx>
      <c:valAx>
        <c:axId val="175111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3299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0">
              <a:solidFill>
                <a:srgbClr val="FF0000"/>
              </a:solidFill>
              <a:prstDash val="dash"/>
            </a:ln>
          </c:spPr>
          <c:xVal>
            <c:numRef>
              <c:f>HydroM.!$D$5:$D$17</c:f>
              <c:numCache>
                <c:formatCode>#,##0.0</c:formatCode>
                <c:ptCount val="13"/>
                <c:pt idx="0">
                  <c:v>42.587899999999998</c:v>
                </c:pt>
                <c:pt idx="1">
                  <c:v>124.5886</c:v>
                </c:pt>
                <c:pt idx="2">
                  <c:v>103.5865</c:v>
                </c:pt>
                <c:pt idx="3">
                  <c:v>51.905000000000001</c:v>
                </c:pt>
                <c:pt idx="4">
                  <c:v>44.6798</c:v>
                </c:pt>
                <c:pt idx="5">
                  <c:v>78.962399999999988</c:v>
                </c:pt>
                <c:pt idx="6">
                  <c:v>452.69809999999995</c:v>
                </c:pt>
                <c:pt idx="7">
                  <c:v>111.27279999999999</c:v>
                </c:pt>
                <c:pt idx="8">
                  <c:v>386.35109999999997</c:v>
                </c:pt>
                <c:pt idx="9">
                  <c:v>152.72400000000002</c:v>
                </c:pt>
                <c:pt idx="10">
                  <c:v>106.37909999999999</c:v>
                </c:pt>
                <c:pt idx="11">
                  <c:v>84.639399999999995</c:v>
                </c:pt>
                <c:pt idx="12">
                  <c:v>7.2237000000000009</c:v>
                </c:pt>
              </c:numCache>
            </c:numRef>
          </c:xVal>
          <c:yVal>
            <c:numRef>
              <c:f>HydroM.!$D$5:$D$17</c:f>
              <c:numCache>
                <c:formatCode>#,##0.0</c:formatCode>
                <c:ptCount val="13"/>
                <c:pt idx="0">
                  <c:v>42.587899999999998</c:v>
                </c:pt>
                <c:pt idx="1">
                  <c:v>124.5886</c:v>
                </c:pt>
                <c:pt idx="2">
                  <c:v>103.5865</c:v>
                </c:pt>
                <c:pt idx="3">
                  <c:v>51.905000000000001</c:v>
                </c:pt>
                <c:pt idx="4">
                  <c:v>44.6798</c:v>
                </c:pt>
                <c:pt idx="5">
                  <c:v>78.962399999999988</c:v>
                </c:pt>
                <c:pt idx="6">
                  <c:v>452.69809999999995</c:v>
                </c:pt>
                <c:pt idx="7">
                  <c:v>111.27279999999999</c:v>
                </c:pt>
                <c:pt idx="8">
                  <c:v>386.35109999999997</c:v>
                </c:pt>
                <c:pt idx="9">
                  <c:v>152.72400000000002</c:v>
                </c:pt>
                <c:pt idx="10">
                  <c:v>106.37909999999999</c:v>
                </c:pt>
                <c:pt idx="11">
                  <c:v>84.639399999999995</c:v>
                </c:pt>
                <c:pt idx="12">
                  <c:v>7.2237000000000009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5B-43CB-BA58-CEDCB01531E9}"/>
            </c:ext>
          </c:extLst>
        </c:ser>
        <c:ser>
          <c:idx val="1"/>
          <c:order val="1"/>
          <c:spPr>
            <a:ln w="19050">
              <a:noFill/>
            </a:ln>
          </c:spPr>
          <c:xVal>
            <c:numRef>
              <c:f>HydroM.!$D$5:$D$17</c:f>
              <c:numCache>
                <c:formatCode>#,##0.0</c:formatCode>
                <c:ptCount val="13"/>
                <c:pt idx="0">
                  <c:v>42.587899999999998</c:v>
                </c:pt>
                <c:pt idx="1">
                  <c:v>124.5886</c:v>
                </c:pt>
                <c:pt idx="2">
                  <c:v>103.5865</c:v>
                </c:pt>
                <c:pt idx="3">
                  <c:v>51.905000000000001</c:v>
                </c:pt>
                <c:pt idx="4">
                  <c:v>44.6798</c:v>
                </c:pt>
                <c:pt idx="5">
                  <c:v>78.962399999999988</c:v>
                </c:pt>
                <c:pt idx="6">
                  <c:v>452.69809999999995</c:v>
                </c:pt>
                <c:pt idx="7">
                  <c:v>111.27279999999999</c:v>
                </c:pt>
                <c:pt idx="8">
                  <c:v>386.35109999999997</c:v>
                </c:pt>
                <c:pt idx="9">
                  <c:v>152.72400000000002</c:v>
                </c:pt>
                <c:pt idx="10">
                  <c:v>106.37909999999999</c:v>
                </c:pt>
                <c:pt idx="11">
                  <c:v>84.639399999999995</c:v>
                </c:pt>
                <c:pt idx="12">
                  <c:v>7.2237000000000009</c:v>
                </c:pt>
              </c:numCache>
            </c:numRef>
          </c:xVal>
          <c:yVal>
            <c:numRef>
              <c:f>HydroM.!$W$5:$W$17</c:f>
              <c:numCache>
                <c:formatCode>#,##0.0</c:formatCode>
                <c:ptCount val="13"/>
                <c:pt idx="0">
                  <c:v>54.591100000000004</c:v>
                </c:pt>
                <c:pt idx="1">
                  <c:v>142.60639999999998</c:v>
                </c:pt>
                <c:pt idx="2">
                  <c:v>110.974</c:v>
                </c:pt>
                <c:pt idx="3">
                  <c:v>67.195999999999998</c:v>
                </c:pt>
                <c:pt idx="4">
                  <c:v>73.179300000000012</c:v>
                </c:pt>
                <c:pt idx="5">
                  <c:v>89.3827</c:v>
                </c:pt>
                <c:pt idx="6">
                  <c:v>527.73967999999991</c:v>
                </c:pt>
                <c:pt idx="7">
                  <c:v>105.15430000000001</c:v>
                </c:pt>
                <c:pt idx="8">
                  <c:v>324.26009999999997</c:v>
                </c:pt>
                <c:pt idx="9">
                  <c:v>189.87299999999999</c:v>
                </c:pt>
                <c:pt idx="10">
                  <c:v>121.60599999999999</c:v>
                </c:pt>
                <c:pt idx="11">
                  <c:v>123.75879999999999</c:v>
                </c:pt>
                <c:pt idx="12">
                  <c:v>9.1692999999999998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5B-43CB-BA58-CEDCB01531E9}"/>
            </c:ext>
          </c:extLst>
        </c:ser>
        <c:ser>
          <c:idx val="0"/>
          <c:order val="2"/>
          <c:spPr>
            <a:ln w="19050">
              <a:noFill/>
            </a:ln>
          </c:spPr>
          <c:marker>
            <c:symbol val="none"/>
          </c:marker>
          <c:xVal>
            <c:numRef>
              <c:f>HydroM.!$D$5:$D$17</c:f>
              <c:numCache>
                <c:formatCode>#,##0.0</c:formatCode>
                <c:ptCount val="13"/>
                <c:pt idx="0">
                  <c:v>42.587899999999998</c:v>
                </c:pt>
                <c:pt idx="1">
                  <c:v>124.5886</c:v>
                </c:pt>
                <c:pt idx="2">
                  <c:v>103.5865</c:v>
                </c:pt>
                <c:pt idx="3">
                  <c:v>51.905000000000001</c:v>
                </c:pt>
                <c:pt idx="4">
                  <c:v>44.6798</c:v>
                </c:pt>
                <c:pt idx="5">
                  <c:v>78.962399999999988</c:v>
                </c:pt>
                <c:pt idx="6">
                  <c:v>452.69809999999995</c:v>
                </c:pt>
                <c:pt idx="7">
                  <c:v>111.27279999999999</c:v>
                </c:pt>
                <c:pt idx="8">
                  <c:v>386.35109999999997</c:v>
                </c:pt>
                <c:pt idx="9">
                  <c:v>152.72400000000002</c:v>
                </c:pt>
                <c:pt idx="10">
                  <c:v>106.37909999999999</c:v>
                </c:pt>
                <c:pt idx="11">
                  <c:v>84.639399999999995</c:v>
                </c:pt>
                <c:pt idx="12">
                  <c:v>7.2237000000000009</c:v>
                </c:pt>
              </c:numCache>
            </c:numRef>
          </c:xVal>
          <c:yVal>
            <c:numRef>
              <c:f>HydroM.!$O$5:$O$17</c:f>
              <c:numCache>
                <c:formatCode>#,##0.0</c:formatCode>
                <c:ptCount val="13"/>
                <c:pt idx="0">
                  <c:v>42.423000000000002</c:v>
                </c:pt>
                <c:pt idx="1">
                  <c:v>129.0044</c:v>
                </c:pt>
                <c:pt idx="2">
                  <c:v>103.66589999999999</c:v>
                </c:pt>
                <c:pt idx="3">
                  <c:v>51.670999999999999</c:v>
                </c:pt>
                <c:pt idx="4">
                  <c:v>45.249200000000002</c:v>
                </c:pt>
                <c:pt idx="5">
                  <c:v>78.499600000000001</c:v>
                </c:pt>
                <c:pt idx="6">
                  <c:v>452.32499999999999</c:v>
                </c:pt>
                <c:pt idx="7">
                  <c:v>188.93360000000001</c:v>
                </c:pt>
                <c:pt idx="8">
                  <c:v>418.58800000000002</c:v>
                </c:pt>
                <c:pt idx="9">
                  <c:v>157.22989999999999</c:v>
                </c:pt>
                <c:pt idx="10">
                  <c:v>109.6369</c:v>
                </c:pt>
                <c:pt idx="11">
                  <c:v>85.521299999999997</c:v>
                </c:pt>
                <c:pt idx="12">
                  <c:v>7.2237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5B-43CB-BA58-CEDCB0153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578144"/>
        <c:axId val="271586656"/>
      </c:scatterChart>
      <c:valAx>
        <c:axId val="212357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586656"/>
        <c:crosses val="autoZero"/>
        <c:crossBetween val="midCat"/>
      </c:valAx>
      <c:valAx>
        <c:axId val="2715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7814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dPt>
            <c:idx val="6"/>
            <c:marker>
              <c:symbol val="circle"/>
              <c:size val="7"/>
              <c:spPr>
                <a:ln>
                  <a:solidFill>
                    <a:srgbClr val="68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5CB-4434-BB18-6DF15A597ECD}"/>
              </c:ext>
            </c:extLst>
          </c:dPt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45483748906386701"/>
                  <c:y val="0.14310185185185181"/>
                </c:manualLayout>
              </c:layout>
              <c:numFmt formatCode="General" sourceLinked="0"/>
            </c:trendlineLbl>
          </c:trendline>
          <c:xVal>
            <c:numRef>
              <c:f>HydroM.!$L$5:$L$17</c:f>
              <c:numCache>
                <c:formatCode>#,##0</c:formatCode>
                <c:ptCount val="13"/>
                <c:pt idx="0">
                  <c:v>10417.295432152245</c:v>
                </c:pt>
                <c:pt idx="1">
                  <c:v>7722.4820353038085</c:v>
                </c:pt>
                <c:pt idx="2">
                  <c:v>7310.6323413723321</c:v>
                </c:pt>
                <c:pt idx="3">
                  <c:v>8448.4711420245185</c:v>
                </c:pt>
                <c:pt idx="4">
                  <c:v>10020.437798822424</c:v>
                </c:pt>
                <c:pt idx="5">
                  <c:v>8322.9725981633983</c:v>
                </c:pt>
                <c:pt idx="6">
                  <c:v>4573.3986490257457</c:v>
                </c:pt>
                <c:pt idx="7">
                  <c:v>5297.4561244952856</c:v>
                </c:pt>
                <c:pt idx="8">
                  <c:v>4387.6088081279249</c:v>
                </c:pt>
                <c:pt idx="9">
                  <c:v>7456.9206402547125</c:v>
                </c:pt>
                <c:pt idx="10">
                  <c:v>8683.1075996596755</c:v>
                </c:pt>
                <c:pt idx="11">
                  <c:v>7040.5447041654252</c:v>
                </c:pt>
                <c:pt idx="12">
                  <c:v>10522.939368636209</c:v>
                </c:pt>
              </c:numCache>
            </c:numRef>
          </c:xVal>
          <c:yVal>
            <c:numRef>
              <c:f>HydroM.!$Y$5:$Y$17</c:f>
              <c:numCache>
                <c:formatCode>#,##0</c:formatCode>
                <c:ptCount val="13"/>
                <c:pt idx="0">
                  <c:v>13491.394979810229</c:v>
                </c:pt>
                <c:pt idx="1">
                  <c:v>11486.921425372684</c:v>
                </c:pt>
                <c:pt idx="2">
                  <c:v>11877.188587331064</c:v>
                </c:pt>
                <c:pt idx="3">
                  <c:v>11387.790069677019</c:v>
                </c:pt>
                <c:pt idx="4">
                  <c:v>10505.914288853372</c:v>
                </c:pt>
                <c:pt idx="5">
                  <c:v>12514.445707543737</c:v>
                </c:pt>
                <c:pt idx="6">
                  <c:v>7078.7259778696643</c:v>
                </c:pt>
                <c:pt idx="7">
                  <c:v>9028.237492710854</c:v>
                </c:pt>
                <c:pt idx="8">
                  <c:v>8561.3009627751417</c:v>
                </c:pt>
                <c:pt idx="9">
                  <c:v>10277.484322723287</c:v>
                </c:pt>
                <c:pt idx="10">
                  <c:v>13021.702836427803</c:v>
                </c:pt>
                <c:pt idx="11">
                  <c:v>8331.7656344948664</c:v>
                </c:pt>
                <c:pt idx="12">
                  <c:v>14108.882233730563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CB-4434-BB18-6DF15A597ECD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HydroM.!$L$5:$L$17</c:f>
              <c:numCache>
                <c:formatCode>#,##0</c:formatCode>
                <c:ptCount val="13"/>
                <c:pt idx="0">
                  <c:v>10417.295432152245</c:v>
                </c:pt>
                <c:pt idx="1">
                  <c:v>7722.4820353038085</c:v>
                </c:pt>
                <c:pt idx="2">
                  <c:v>7310.6323413723321</c:v>
                </c:pt>
                <c:pt idx="3">
                  <c:v>8448.4711420245185</c:v>
                </c:pt>
                <c:pt idx="4">
                  <c:v>10020.437798822424</c:v>
                </c:pt>
                <c:pt idx="5">
                  <c:v>8322.9725981633983</c:v>
                </c:pt>
                <c:pt idx="6">
                  <c:v>4573.3986490257457</c:v>
                </c:pt>
                <c:pt idx="7">
                  <c:v>5297.4561244952856</c:v>
                </c:pt>
                <c:pt idx="8">
                  <c:v>4387.6088081279249</c:v>
                </c:pt>
                <c:pt idx="9">
                  <c:v>7456.9206402547125</c:v>
                </c:pt>
                <c:pt idx="10">
                  <c:v>8683.1075996596755</c:v>
                </c:pt>
                <c:pt idx="11">
                  <c:v>7040.5447041654252</c:v>
                </c:pt>
                <c:pt idx="12">
                  <c:v>10522.939368636209</c:v>
                </c:pt>
              </c:numCache>
            </c:numRef>
          </c:xVal>
          <c:yVal>
            <c:numRef>
              <c:f>HydroM.!$L$5:$L$17</c:f>
              <c:numCache>
                <c:formatCode>#,##0</c:formatCode>
                <c:ptCount val="13"/>
                <c:pt idx="0">
                  <c:v>10417.295432152245</c:v>
                </c:pt>
                <c:pt idx="1">
                  <c:v>7722.4820353038085</c:v>
                </c:pt>
                <c:pt idx="2">
                  <c:v>7310.6323413723321</c:v>
                </c:pt>
                <c:pt idx="3">
                  <c:v>8448.4711420245185</c:v>
                </c:pt>
                <c:pt idx="4">
                  <c:v>10020.437798822424</c:v>
                </c:pt>
                <c:pt idx="5">
                  <c:v>8322.9725981633983</c:v>
                </c:pt>
                <c:pt idx="6">
                  <c:v>4573.3986490257457</c:v>
                </c:pt>
                <c:pt idx="7">
                  <c:v>5297.4561244952856</c:v>
                </c:pt>
                <c:pt idx="8">
                  <c:v>4387.6088081279249</c:v>
                </c:pt>
                <c:pt idx="9">
                  <c:v>7456.9206402547125</c:v>
                </c:pt>
                <c:pt idx="10">
                  <c:v>8683.1075996596755</c:v>
                </c:pt>
                <c:pt idx="11">
                  <c:v>7040.5447041654252</c:v>
                </c:pt>
                <c:pt idx="12">
                  <c:v>10522.939368636209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CB-4434-BB18-6DF15A597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578144"/>
        <c:axId val="271586656"/>
      </c:scatterChart>
      <c:valAx>
        <c:axId val="212357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586656"/>
        <c:crosses val="autoZero"/>
        <c:crossBetween val="midCat"/>
      </c:valAx>
      <c:valAx>
        <c:axId val="2715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7814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9050">
              <a:noFill/>
            </a:ln>
          </c:spPr>
          <c:xVal>
            <c:numRef>
              <c:f>HydroM.!$L$5:$L$17</c:f>
              <c:numCache>
                <c:formatCode>#,##0</c:formatCode>
                <c:ptCount val="13"/>
                <c:pt idx="0">
                  <c:v>10417.295432152245</c:v>
                </c:pt>
                <c:pt idx="1">
                  <c:v>7722.4820353038085</c:v>
                </c:pt>
                <c:pt idx="2">
                  <c:v>7310.6323413723321</c:v>
                </c:pt>
                <c:pt idx="3">
                  <c:v>8448.4711420245185</c:v>
                </c:pt>
                <c:pt idx="4">
                  <c:v>10020.437798822424</c:v>
                </c:pt>
                <c:pt idx="5">
                  <c:v>8322.9725981633983</c:v>
                </c:pt>
                <c:pt idx="6">
                  <c:v>4573.3986490257457</c:v>
                </c:pt>
                <c:pt idx="7">
                  <c:v>5297.4561244952856</c:v>
                </c:pt>
                <c:pt idx="8">
                  <c:v>4387.6088081279249</c:v>
                </c:pt>
                <c:pt idx="9">
                  <c:v>7456.9206402547125</c:v>
                </c:pt>
                <c:pt idx="10">
                  <c:v>8683.1075996596755</c:v>
                </c:pt>
                <c:pt idx="11">
                  <c:v>7040.5447041654252</c:v>
                </c:pt>
                <c:pt idx="12">
                  <c:v>10522.939368636209</c:v>
                </c:pt>
              </c:numCache>
            </c:numRef>
          </c:xVal>
          <c:yVal>
            <c:numRef>
              <c:f>HydroM.!$Y$5:$Y$17</c:f>
              <c:numCache>
                <c:formatCode>#,##0</c:formatCode>
                <c:ptCount val="13"/>
                <c:pt idx="0">
                  <c:v>13491.394979810229</c:v>
                </c:pt>
                <c:pt idx="1">
                  <c:v>11486.921425372684</c:v>
                </c:pt>
                <c:pt idx="2">
                  <c:v>11877.188587331064</c:v>
                </c:pt>
                <c:pt idx="3">
                  <c:v>11387.790069677019</c:v>
                </c:pt>
                <c:pt idx="4">
                  <c:v>10505.914288853372</c:v>
                </c:pt>
                <c:pt idx="5">
                  <c:v>12514.445707543737</c:v>
                </c:pt>
                <c:pt idx="6">
                  <c:v>7078.7259778696643</c:v>
                </c:pt>
                <c:pt idx="7">
                  <c:v>9028.237492710854</c:v>
                </c:pt>
                <c:pt idx="8">
                  <c:v>8561.3009627751417</c:v>
                </c:pt>
                <c:pt idx="9">
                  <c:v>10277.484322723287</c:v>
                </c:pt>
                <c:pt idx="10">
                  <c:v>13021.702836427803</c:v>
                </c:pt>
                <c:pt idx="11">
                  <c:v>8331.7656344948664</c:v>
                </c:pt>
                <c:pt idx="12">
                  <c:v>14108.882233730563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3-4631-B725-0CEF6D776880}"/>
            </c:ext>
          </c:extLst>
        </c:ser>
        <c:ser>
          <c:idx val="0"/>
          <c:order val="1"/>
          <c:spPr>
            <a:ln w="19050">
              <a:noFill/>
            </a:ln>
          </c:spPr>
          <c:xVal>
            <c:numRef>
              <c:f>HydroM.!$L$5:$L$17</c:f>
              <c:numCache>
                <c:formatCode>#,##0</c:formatCode>
                <c:ptCount val="13"/>
                <c:pt idx="0">
                  <c:v>10417.295432152245</c:v>
                </c:pt>
                <c:pt idx="1">
                  <c:v>7722.4820353038085</c:v>
                </c:pt>
                <c:pt idx="2">
                  <c:v>7310.6323413723321</c:v>
                </c:pt>
                <c:pt idx="3">
                  <c:v>8448.4711420245185</c:v>
                </c:pt>
                <c:pt idx="4">
                  <c:v>10020.437798822424</c:v>
                </c:pt>
                <c:pt idx="5">
                  <c:v>8322.9725981633983</c:v>
                </c:pt>
                <c:pt idx="6">
                  <c:v>4573.3986490257457</c:v>
                </c:pt>
                <c:pt idx="7">
                  <c:v>5297.4561244952856</c:v>
                </c:pt>
                <c:pt idx="8">
                  <c:v>4387.6088081279249</c:v>
                </c:pt>
                <c:pt idx="9">
                  <c:v>7456.9206402547125</c:v>
                </c:pt>
                <c:pt idx="10">
                  <c:v>8683.1075996596755</c:v>
                </c:pt>
                <c:pt idx="11">
                  <c:v>7040.5447041654252</c:v>
                </c:pt>
                <c:pt idx="12">
                  <c:v>10522.939368636209</c:v>
                </c:pt>
              </c:numCache>
            </c:numRef>
          </c:xVal>
          <c:yVal>
            <c:numRef>
              <c:f>HydroM.!$AG$5:$AG$17</c:f>
              <c:numCache>
                <c:formatCode>#,##0</c:formatCode>
                <c:ptCount val="13"/>
                <c:pt idx="0">
                  <c:v>12606.77279899144</c:v>
                </c:pt>
                <c:pt idx="1">
                  <c:v>11601.064411804442</c:v>
                </c:pt>
                <c:pt idx="2">
                  <c:v>8925.9627981239537</c:v>
                </c:pt>
                <c:pt idx="3">
                  <c:v>9644.7934228897811</c:v>
                </c:pt>
                <c:pt idx="4">
                  <c:v>10752.460908957199</c:v>
                </c:pt>
                <c:pt idx="5">
                  <c:v>9316.6411962094116</c:v>
                </c:pt>
                <c:pt idx="6">
                  <c:v>12128.796143109108</c:v>
                </c:pt>
                <c:pt idx="7">
                  <c:v>9189.5609455994727</c:v>
                </c:pt>
                <c:pt idx="8">
                  <c:v>9791.5228503134913</c:v>
                </c:pt>
                <c:pt idx="9">
                  <c:v>11188.56763147638</c:v>
                </c:pt>
                <c:pt idx="10">
                  <c:v>10134.129848879124</c:v>
                </c:pt>
                <c:pt idx="11">
                  <c:v>10340.395441337465</c:v>
                </c:pt>
                <c:pt idx="12">
                  <c:v>11352.717643167238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3-4631-B725-0CEF6D776880}"/>
            </c:ext>
          </c:extLst>
        </c:ser>
        <c:ser>
          <c:idx val="3"/>
          <c:order val="2"/>
          <c:spPr>
            <a:ln w="19050">
              <a:solidFill>
                <a:srgbClr val="FF0000"/>
              </a:solidFill>
            </a:ln>
          </c:spPr>
          <c:xVal>
            <c:numRef>
              <c:f>HydroM.!$L$5:$L$17</c:f>
              <c:numCache>
                <c:formatCode>#,##0</c:formatCode>
                <c:ptCount val="13"/>
                <c:pt idx="0">
                  <c:v>10417.295432152245</c:v>
                </c:pt>
                <c:pt idx="1">
                  <c:v>7722.4820353038085</c:v>
                </c:pt>
                <c:pt idx="2">
                  <c:v>7310.6323413723321</c:v>
                </c:pt>
                <c:pt idx="3">
                  <c:v>8448.4711420245185</c:v>
                </c:pt>
                <c:pt idx="4">
                  <c:v>10020.437798822424</c:v>
                </c:pt>
                <c:pt idx="5">
                  <c:v>8322.9725981633983</c:v>
                </c:pt>
                <c:pt idx="6">
                  <c:v>4573.3986490257457</c:v>
                </c:pt>
                <c:pt idx="7">
                  <c:v>5297.4561244952856</c:v>
                </c:pt>
                <c:pt idx="8">
                  <c:v>4387.6088081279249</c:v>
                </c:pt>
                <c:pt idx="9">
                  <c:v>7456.9206402547125</c:v>
                </c:pt>
                <c:pt idx="10">
                  <c:v>8683.1075996596755</c:v>
                </c:pt>
                <c:pt idx="11">
                  <c:v>7040.5447041654252</c:v>
                </c:pt>
                <c:pt idx="12">
                  <c:v>10522.939368636209</c:v>
                </c:pt>
              </c:numCache>
            </c:numRef>
          </c:xVal>
          <c:yVal>
            <c:numRef>
              <c:f>HydroM.!$L$5:$L$17</c:f>
              <c:numCache>
                <c:formatCode>#,##0</c:formatCode>
                <c:ptCount val="13"/>
                <c:pt idx="0">
                  <c:v>10417.295432152245</c:v>
                </c:pt>
                <c:pt idx="1">
                  <c:v>7722.4820353038085</c:v>
                </c:pt>
                <c:pt idx="2">
                  <c:v>7310.6323413723321</c:v>
                </c:pt>
                <c:pt idx="3">
                  <c:v>8448.4711420245185</c:v>
                </c:pt>
                <c:pt idx="4">
                  <c:v>10020.437798822424</c:v>
                </c:pt>
                <c:pt idx="5">
                  <c:v>8322.9725981633983</c:v>
                </c:pt>
                <c:pt idx="6">
                  <c:v>4573.3986490257457</c:v>
                </c:pt>
                <c:pt idx="7">
                  <c:v>5297.4561244952856</c:v>
                </c:pt>
                <c:pt idx="8">
                  <c:v>4387.6088081279249</c:v>
                </c:pt>
                <c:pt idx="9">
                  <c:v>7456.9206402547125</c:v>
                </c:pt>
                <c:pt idx="10">
                  <c:v>8683.1075996596755</c:v>
                </c:pt>
                <c:pt idx="11">
                  <c:v>7040.5447041654252</c:v>
                </c:pt>
                <c:pt idx="12">
                  <c:v>10522.939368636209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3-4631-B725-0CEF6D776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578144"/>
        <c:axId val="271586656"/>
      </c:scatterChart>
      <c:valAx>
        <c:axId val="212357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586656"/>
        <c:crosses val="autoZero"/>
        <c:crossBetween val="midCat"/>
      </c:valAx>
      <c:valAx>
        <c:axId val="2715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7814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9050">
              <a:noFill/>
            </a:ln>
          </c:spPr>
          <c:xVal>
            <c:numRef>
              <c:f>HydroM.!$L$5:$L$17</c:f>
              <c:numCache>
                <c:formatCode>#,##0</c:formatCode>
                <c:ptCount val="13"/>
                <c:pt idx="0">
                  <c:v>10417.295432152245</c:v>
                </c:pt>
                <c:pt idx="1">
                  <c:v>7722.4820353038085</c:v>
                </c:pt>
                <c:pt idx="2">
                  <c:v>7310.6323413723321</c:v>
                </c:pt>
                <c:pt idx="3">
                  <c:v>8448.4711420245185</c:v>
                </c:pt>
                <c:pt idx="4">
                  <c:v>10020.437798822424</c:v>
                </c:pt>
                <c:pt idx="5">
                  <c:v>8322.9725981633983</c:v>
                </c:pt>
                <c:pt idx="6">
                  <c:v>4573.3986490257457</c:v>
                </c:pt>
                <c:pt idx="7">
                  <c:v>5297.4561244952856</c:v>
                </c:pt>
                <c:pt idx="8">
                  <c:v>4387.6088081279249</c:v>
                </c:pt>
                <c:pt idx="9">
                  <c:v>7456.9206402547125</c:v>
                </c:pt>
                <c:pt idx="10">
                  <c:v>8683.1075996596755</c:v>
                </c:pt>
                <c:pt idx="11">
                  <c:v>7040.5447041654252</c:v>
                </c:pt>
                <c:pt idx="12">
                  <c:v>10522.939368636209</c:v>
                </c:pt>
              </c:numCache>
            </c:numRef>
          </c:xVal>
          <c:yVal>
            <c:numRef>
              <c:f>HydroM.!$Y$5:$Y$17</c:f>
              <c:numCache>
                <c:formatCode>#,##0</c:formatCode>
                <c:ptCount val="13"/>
                <c:pt idx="0">
                  <c:v>13491.394979810229</c:v>
                </c:pt>
                <c:pt idx="1">
                  <c:v>11486.921425372684</c:v>
                </c:pt>
                <c:pt idx="2">
                  <c:v>11877.188587331064</c:v>
                </c:pt>
                <c:pt idx="3">
                  <c:v>11387.790069677019</c:v>
                </c:pt>
                <c:pt idx="4">
                  <c:v>10505.914288853372</c:v>
                </c:pt>
                <c:pt idx="5">
                  <c:v>12514.445707543737</c:v>
                </c:pt>
                <c:pt idx="6">
                  <c:v>7078.7259778696643</c:v>
                </c:pt>
                <c:pt idx="7">
                  <c:v>9028.237492710854</c:v>
                </c:pt>
                <c:pt idx="8">
                  <c:v>8561.3009627751417</c:v>
                </c:pt>
                <c:pt idx="9">
                  <c:v>10277.484322723287</c:v>
                </c:pt>
                <c:pt idx="10">
                  <c:v>13021.702836427803</c:v>
                </c:pt>
                <c:pt idx="11">
                  <c:v>8331.7656344948664</c:v>
                </c:pt>
                <c:pt idx="12">
                  <c:v>14108.882233730563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F-41C2-A25E-931E6B1E1D73}"/>
            </c:ext>
          </c:extLst>
        </c:ser>
        <c:ser>
          <c:idx val="0"/>
          <c:order val="1"/>
          <c:spPr>
            <a:ln w="19050">
              <a:noFill/>
            </a:ln>
          </c:spPr>
          <c:xVal>
            <c:numRef>
              <c:f>HydroM.!$Y$5:$Y$17</c:f>
              <c:numCache>
                <c:formatCode>#,##0</c:formatCode>
                <c:ptCount val="13"/>
                <c:pt idx="0">
                  <c:v>13491.394979810229</c:v>
                </c:pt>
                <c:pt idx="1">
                  <c:v>11486.921425372684</c:v>
                </c:pt>
                <c:pt idx="2">
                  <c:v>11877.188587331064</c:v>
                </c:pt>
                <c:pt idx="3">
                  <c:v>11387.790069677019</c:v>
                </c:pt>
                <c:pt idx="4">
                  <c:v>10505.914288853372</c:v>
                </c:pt>
                <c:pt idx="5">
                  <c:v>12514.445707543737</c:v>
                </c:pt>
                <c:pt idx="6">
                  <c:v>7078.7259778696643</c:v>
                </c:pt>
                <c:pt idx="7">
                  <c:v>9028.237492710854</c:v>
                </c:pt>
                <c:pt idx="8">
                  <c:v>8561.3009627751417</c:v>
                </c:pt>
                <c:pt idx="9">
                  <c:v>10277.484322723287</c:v>
                </c:pt>
                <c:pt idx="10">
                  <c:v>13021.702836427803</c:v>
                </c:pt>
                <c:pt idx="11">
                  <c:v>8331.7656344948664</c:v>
                </c:pt>
                <c:pt idx="12">
                  <c:v>14108.882233730563</c:v>
                </c:pt>
              </c:numCache>
            </c:numRef>
          </c:xVal>
          <c:yVal>
            <c:numRef>
              <c:f>HydroM.!$AG$5:$AG$17</c:f>
              <c:numCache>
                <c:formatCode>#,##0</c:formatCode>
                <c:ptCount val="13"/>
                <c:pt idx="0">
                  <c:v>12606.77279899144</c:v>
                </c:pt>
                <c:pt idx="1">
                  <c:v>11601.064411804442</c:v>
                </c:pt>
                <c:pt idx="2">
                  <c:v>8925.9627981239537</c:v>
                </c:pt>
                <c:pt idx="3">
                  <c:v>9644.7934228897811</c:v>
                </c:pt>
                <c:pt idx="4">
                  <c:v>10752.460908957199</c:v>
                </c:pt>
                <c:pt idx="5">
                  <c:v>9316.6411962094116</c:v>
                </c:pt>
                <c:pt idx="6">
                  <c:v>12128.796143109108</c:v>
                </c:pt>
                <c:pt idx="7">
                  <c:v>9189.5609455994727</c:v>
                </c:pt>
                <c:pt idx="8">
                  <c:v>9791.5228503134913</c:v>
                </c:pt>
                <c:pt idx="9">
                  <c:v>11188.56763147638</c:v>
                </c:pt>
                <c:pt idx="10">
                  <c:v>10134.129848879124</c:v>
                </c:pt>
                <c:pt idx="11">
                  <c:v>10340.395441337465</c:v>
                </c:pt>
                <c:pt idx="12">
                  <c:v>11352.717643167238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4F-41C2-A25E-931E6B1E1D73}"/>
            </c:ext>
          </c:extLst>
        </c:ser>
        <c:ser>
          <c:idx val="3"/>
          <c:order val="2"/>
          <c:spPr>
            <a:ln w="19050">
              <a:solidFill>
                <a:srgbClr val="FF0000"/>
              </a:solidFill>
            </a:ln>
          </c:spPr>
          <c:xVal>
            <c:numRef>
              <c:f>HydroM.!$L$5:$L$17</c:f>
              <c:numCache>
                <c:formatCode>#,##0</c:formatCode>
                <c:ptCount val="13"/>
                <c:pt idx="0">
                  <c:v>10417.295432152245</c:v>
                </c:pt>
                <c:pt idx="1">
                  <c:v>7722.4820353038085</c:v>
                </c:pt>
                <c:pt idx="2">
                  <c:v>7310.6323413723321</c:v>
                </c:pt>
                <c:pt idx="3">
                  <c:v>8448.4711420245185</c:v>
                </c:pt>
                <c:pt idx="4">
                  <c:v>10020.437798822424</c:v>
                </c:pt>
                <c:pt idx="5">
                  <c:v>8322.9725981633983</c:v>
                </c:pt>
                <c:pt idx="6">
                  <c:v>4573.3986490257457</c:v>
                </c:pt>
                <c:pt idx="7">
                  <c:v>5297.4561244952856</c:v>
                </c:pt>
                <c:pt idx="8">
                  <c:v>4387.6088081279249</c:v>
                </c:pt>
                <c:pt idx="9">
                  <c:v>7456.9206402547125</c:v>
                </c:pt>
                <c:pt idx="10">
                  <c:v>8683.1075996596755</c:v>
                </c:pt>
                <c:pt idx="11">
                  <c:v>7040.5447041654252</c:v>
                </c:pt>
                <c:pt idx="12">
                  <c:v>10522.939368636209</c:v>
                </c:pt>
              </c:numCache>
            </c:numRef>
          </c:xVal>
          <c:yVal>
            <c:numRef>
              <c:f>HydroM.!$L$5:$L$17</c:f>
              <c:numCache>
                <c:formatCode>#,##0</c:formatCode>
                <c:ptCount val="13"/>
                <c:pt idx="0">
                  <c:v>10417.295432152245</c:v>
                </c:pt>
                <c:pt idx="1">
                  <c:v>7722.4820353038085</c:v>
                </c:pt>
                <c:pt idx="2">
                  <c:v>7310.6323413723321</c:v>
                </c:pt>
                <c:pt idx="3">
                  <c:v>8448.4711420245185</c:v>
                </c:pt>
                <c:pt idx="4">
                  <c:v>10020.437798822424</c:v>
                </c:pt>
                <c:pt idx="5">
                  <c:v>8322.9725981633983</c:v>
                </c:pt>
                <c:pt idx="6">
                  <c:v>4573.3986490257457</c:v>
                </c:pt>
                <c:pt idx="7">
                  <c:v>5297.4561244952856</c:v>
                </c:pt>
                <c:pt idx="8">
                  <c:v>4387.6088081279249</c:v>
                </c:pt>
                <c:pt idx="9">
                  <c:v>7456.9206402547125</c:v>
                </c:pt>
                <c:pt idx="10">
                  <c:v>8683.1075996596755</c:v>
                </c:pt>
                <c:pt idx="11">
                  <c:v>7040.5447041654252</c:v>
                </c:pt>
                <c:pt idx="12">
                  <c:v>10522.939368636209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4F-41C2-A25E-931E6B1E1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578144"/>
        <c:axId val="271586656"/>
      </c:scatterChart>
      <c:valAx>
        <c:axId val="212357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586656"/>
        <c:crosses val="autoZero"/>
        <c:crossBetween val="midCat"/>
      </c:valAx>
      <c:valAx>
        <c:axId val="2715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7814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493000874890635E-2"/>
          <c:y val="4.2083333333333355E-2"/>
          <c:w val="0.78650940507436562"/>
          <c:h val="0.786010969157766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Shading!$D$8</c:f>
              <c:strCache>
                <c:ptCount val="1"/>
                <c:pt idx="0">
                  <c:v>روش افزونه‌ای از سطح خشک</c:v>
                </c:pt>
              </c:strCache>
            </c:strRef>
          </c:tx>
          <c:spPr>
            <a:ln w="19050" cap="rnd">
              <a:solidFill>
                <a:schemeClr val="accent1">
                  <a:alpha val="98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ABFFF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Shading!$C$9:$C$21</c:f>
              <c:numCache>
                <c:formatCode>0%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</c:numCache>
            </c:numRef>
          </c:xVal>
          <c:yVal>
            <c:numRef>
              <c:f>Shading!$D$9:$D$21</c:f>
              <c:numCache>
                <c:formatCode>#,##0.00</c:formatCode>
                <c:ptCount val="13"/>
                <c:pt idx="0">
                  <c:v>0.15</c:v>
                </c:pt>
                <c:pt idx="1">
                  <c:v>0.1925</c:v>
                </c:pt>
                <c:pt idx="2">
                  <c:v>0.23500000000000001</c:v>
                </c:pt>
                <c:pt idx="3">
                  <c:v>0.32</c:v>
                </c:pt>
                <c:pt idx="4">
                  <c:v>0.36249999999999999</c:v>
                </c:pt>
                <c:pt idx="5">
                  <c:v>0.40499999999999997</c:v>
                </c:pt>
                <c:pt idx="6">
                  <c:v>0.49</c:v>
                </c:pt>
                <c:pt idx="7">
                  <c:v>0.57499999999999996</c:v>
                </c:pt>
                <c:pt idx="8">
                  <c:v>0.65999999999999992</c:v>
                </c:pt>
                <c:pt idx="9">
                  <c:v>0.745</c:v>
                </c:pt>
                <c:pt idx="10">
                  <c:v>0.83000000000000007</c:v>
                </c:pt>
                <c:pt idx="11">
                  <c:v>0.91500000000000004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04-4C12-AE8A-55F09D0D25F7}"/>
            </c:ext>
          </c:extLst>
        </c:ser>
        <c:ser>
          <c:idx val="1"/>
          <c:order val="1"/>
          <c:tx>
            <c:strRef>
              <c:f>Shading!$E$8</c:f>
              <c:strCache>
                <c:ptCount val="1"/>
                <c:pt idx="0">
                  <c:v>روش تعدیل سایه‌انداز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tar"/>
            <c:size val="8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Shading!$C$9:$C$21</c:f>
              <c:numCache>
                <c:formatCode>0%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</c:numCache>
            </c:numRef>
          </c:xVal>
          <c:yVal>
            <c:numRef>
              <c:f>Shading!$E$9:$E$21</c:f>
              <c:numCache>
                <c:formatCode>#,##0.00</c:formatCode>
                <c:ptCount val="13"/>
                <c:pt idx="0">
                  <c:v>0</c:v>
                </c:pt>
                <c:pt idx="1">
                  <c:v>0.22360679774997896</c:v>
                </c:pt>
                <c:pt idx="2">
                  <c:v>0.31622776601683794</c:v>
                </c:pt>
                <c:pt idx="3">
                  <c:v>0.44721359549995793</c:v>
                </c:pt>
                <c:pt idx="4">
                  <c:v>0.5</c:v>
                </c:pt>
                <c:pt idx="5">
                  <c:v>0.54772255750516607</c:v>
                </c:pt>
                <c:pt idx="6">
                  <c:v>0.63245553203367588</c:v>
                </c:pt>
                <c:pt idx="7">
                  <c:v>0.70710678118654757</c:v>
                </c:pt>
                <c:pt idx="8">
                  <c:v>0.7745966692414834</c:v>
                </c:pt>
                <c:pt idx="9">
                  <c:v>0.83666002653407556</c:v>
                </c:pt>
                <c:pt idx="10">
                  <c:v>0.89442719099991586</c:v>
                </c:pt>
                <c:pt idx="11">
                  <c:v>0.94868329805051377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04-4C12-AE8A-55F09D0D25F7}"/>
            </c:ext>
          </c:extLst>
        </c:ser>
        <c:ser>
          <c:idx val="2"/>
          <c:order val="2"/>
          <c:tx>
            <c:strRef>
              <c:f>Shading!$G$8</c:f>
              <c:strCache>
                <c:ptCount val="1"/>
                <c:pt idx="0">
                  <c:v>خط یک به یک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Shading!$C$9:$C$21</c:f>
              <c:numCache>
                <c:formatCode>0%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</c:numCache>
            </c:numRef>
          </c:xVal>
          <c:yVal>
            <c:numRef>
              <c:f>Shading!$G$9:$G$21</c:f>
              <c:numCache>
                <c:formatCode>0%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04-4C12-AE8A-55F09D0D25F7}"/>
            </c:ext>
          </c:extLst>
        </c:ser>
        <c:ser>
          <c:idx val="3"/>
          <c:order val="3"/>
          <c:tx>
            <c:strRef>
              <c:f>Shading!$F$8</c:f>
              <c:strCache>
                <c:ptCount val="1"/>
                <c:pt idx="0">
                  <c:v>روش فضای باز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Shading!$C$9:$C$21</c:f>
              <c:numCache>
                <c:formatCode>0%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</c:numCache>
            </c:numRef>
          </c:xVal>
          <c:yVal>
            <c:numRef>
              <c:f>Shading!$F$9:$F$21</c:f>
              <c:numCache>
                <c:formatCode>#,##0.00</c:formatCode>
                <c:ptCount val="13"/>
                <c:pt idx="0">
                  <c:v>0</c:v>
                </c:pt>
                <c:pt idx="1">
                  <c:v>0.11196447610330787</c:v>
                </c:pt>
                <c:pt idx="2">
                  <c:v>0.22252093395631442</c:v>
                </c:pt>
                <c:pt idx="3">
                  <c:v>0.43388373911755818</c:v>
                </c:pt>
                <c:pt idx="4">
                  <c:v>0.53203207651533657</c:v>
                </c:pt>
                <c:pt idx="5">
                  <c:v>0.62348980185873348</c:v>
                </c:pt>
                <c:pt idx="6">
                  <c:v>0.7818314824680298</c:v>
                </c:pt>
                <c:pt idx="7">
                  <c:v>0.90096886790241915</c:v>
                </c:pt>
                <c:pt idx="8">
                  <c:v>0.97492791218182362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58-47DA-95BA-4D08CC0BC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494768"/>
        <c:axId val="472028176"/>
      </c:scatterChart>
      <c:valAx>
        <c:axId val="507494768"/>
        <c:scaling>
          <c:orientation val="maxMin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B Mitra" panose="00000400000000000000" pitchFamily="2" charset="-78"/>
                  </a:defRPr>
                </a:pPr>
                <a:r>
                  <a:rPr lang="fa-IR"/>
                  <a:t>درصد سایه‌انداز (آسمانه)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B Mitra" panose="00000400000000000000" pitchFamily="2" charset="-78"/>
                </a:defRPr>
              </a:pPr>
              <a:endParaRPr lang="en-US"/>
            </a:p>
          </c:txPr>
        </c:title>
        <c:numFmt formatCode="0%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472028176"/>
        <c:crosses val="autoZero"/>
        <c:crossBetween val="midCat"/>
        <c:minorUnit val="0.1"/>
      </c:valAx>
      <c:valAx>
        <c:axId val="472028176"/>
        <c:scaling>
          <c:orientation val="minMax"/>
          <c:max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B Mitra" panose="00000400000000000000" pitchFamily="2" charset="-78"/>
                  </a:defRPr>
                </a:pPr>
                <a:r>
                  <a:rPr lang="fa-IR"/>
                  <a:t>ضریب سایه‌انداز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B Mitra" panose="00000400000000000000" pitchFamily="2" charset="-78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Mitra" panose="00000400000000000000" pitchFamily="2" charset="-78"/>
              </a:defRPr>
            </a:pPr>
            <a:endParaRPr lang="en-US"/>
          </a:p>
        </c:txPr>
        <c:crossAx val="507494768"/>
        <c:crosses val="autoZero"/>
        <c:crossBetween val="midCat"/>
        <c:majorUnit val="0.2"/>
        <c:minorUnit val="5.000000000000001E-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1.2833114610673666E-2"/>
          <c:y val="0.44445143305870449"/>
          <c:w val="0.39568044619422565"/>
          <c:h val="0.27035533083745222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B Mitra" panose="00000400000000000000" pitchFamily="2" charset="-78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cs typeface="B Mitra" panose="00000400000000000000" pitchFamily="2" charset="-7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emf"/><Relationship Id="rId1" Type="http://schemas.openxmlformats.org/officeDocument/2006/relationships/chart" Target="../charts/chart7.xml"/><Relationship Id="rId4" Type="http://schemas.openxmlformats.org/officeDocument/2006/relationships/image" Target="../media/image2.w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55</xdr:row>
      <xdr:rowOff>111579</xdr:rowOff>
    </xdr:from>
    <xdr:to>
      <xdr:col>34</xdr:col>
      <xdr:colOff>88448</xdr:colOff>
      <xdr:row>67</xdr:row>
      <xdr:rowOff>92529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779860</xdr:colOff>
      <xdr:row>22</xdr:row>
      <xdr:rowOff>15479</xdr:rowOff>
    </xdr:from>
    <xdr:to>
      <xdr:col>23</xdr:col>
      <xdr:colOff>0</xdr:colOff>
      <xdr:row>34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613172</xdr:colOff>
      <xdr:row>21</xdr:row>
      <xdr:rowOff>345281</xdr:rowOff>
    </xdr:from>
    <xdr:to>
      <xdr:col>14</xdr:col>
      <xdr:colOff>797720</xdr:colOff>
      <xdr:row>34</xdr:row>
      <xdr:rowOff>8335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22</xdr:row>
      <xdr:rowOff>11905</xdr:rowOff>
    </xdr:from>
    <xdr:to>
      <xdr:col>29</xdr:col>
      <xdr:colOff>0</xdr:colOff>
      <xdr:row>34</xdr:row>
      <xdr:rowOff>11905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488156</xdr:colOff>
      <xdr:row>22</xdr:row>
      <xdr:rowOff>11906</xdr:rowOff>
    </xdr:from>
    <xdr:to>
      <xdr:col>35</xdr:col>
      <xdr:colOff>398859</xdr:colOff>
      <xdr:row>34</xdr:row>
      <xdr:rowOff>32147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0</xdr:colOff>
      <xdr:row>35</xdr:row>
      <xdr:rowOff>0</xdr:rowOff>
    </xdr:from>
    <xdr:to>
      <xdr:col>34</xdr:col>
      <xdr:colOff>517922</xdr:colOff>
      <xdr:row>47</xdr:row>
      <xdr:rowOff>20241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200026</xdr:colOff>
      <xdr:row>82</xdr:row>
      <xdr:rowOff>142875</xdr:rowOff>
    </xdr:from>
    <xdr:to>
      <xdr:col>8</xdr:col>
      <xdr:colOff>414339</xdr:colOff>
      <xdr:row>86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225" r="20000"/>
        <a:stretch/>
      </xdr:blipFill>
      <xdr:spPr bwMode="auto">
        <a:xfrm>
          <a:off x="9359374536" y="14154150"/>
          <a:ext cx="2605088" cy="5905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11906</xdr:colOff>
      <xdr:row>1</xdr:row>
      <xdr:rowOff>321469</xdr:rowOff>
    </xdr:from>
    <xdr:to>
      <xdr:col>8</xdr:col>
      <xdr:colOff>642937</xdr:colOff>
      <xdr:row>6</xdr:row>
      <xdr:rowOff>11906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flipH="1">
          <a:off x="9943099876" y="428625"/>
          <a:ext cx="1952624" cy="1119187"/>
        </a:xfrm>
        <a:prstGeom prst="roundRect">
          <a:avLst/>
        </a:prstGeom>
        <a:solidFill>
          <a:srgbClr val="FF00FF">
            <a:alpha val="27843"/>
          </a:srgb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17</xdr:col>
      <xdr:colOff>571501</xdr:colOff>
      <xdr:row>12</xdr:row>
      <xdr:rowOff>214312</xdr:rowOff>
    </xdr:from>
    <xdr:to>
      <xdr:col>20</xdr:col>
      <xdr:colOff>607218</xdr:colOff>
      <xdr:row>23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flipH="1">
          <a:off x="10019515889" y="3248705"/>
          <a:ext cx="1913503" cy="2575152"/>
        </a:xfrm>
        <a:prstGeom prst="roundRect">
          <a:avLst>
            <a:gd name="adj" fmla="val 3650"/>
          </a:avLst>
        </a:prstGeom>
        <a:solidFill>
          <a:srgbClr val="FF0000">
            <a:alpha val="27843"/>
          </a:srgb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11</xdr:col>
      <xdr:colOff>285751</xdr:colOff>
      <xdr:row>48</xdr:row>
      <xdr:rowOff>40822</xdr:rowOff>
    </xdr:from>
    <xdr:to>
      <xdr:col>16</xdr:col>
      <xdr:colOff>213936</xdr:colOff>
      <xdr:row>51</xdr:row>
      <xdr:rowOff>46398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2467314" y="7415893"/>
          <a:ext cx="2731257" cy="522648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17</xdr:col>
      <xdr:colOff>571501</xdr:colOff>
      <xdr:row>30</xdr:row>
      <xdr:rowOff>214312</xdr:rowOff>
    </xdr:from>
    <xdr:to>
      <xdr:col>20</xdr:col>
      <xdr:colOff>607218</xdr:colOff>
      <xdr:row>41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 flipH="1">
          <a:off x="10019515889" y="3248705"/>
          <a:ext cx="1913503" cy="2575152"/>
        </a:xfrm>
        <a:prstGeom prst="roundRect">
          <a:avLst>
            <a:gd name="adj" fmla="val 3650"/>
          </a:avLst>
        </a:prstGeom>
        <a:solidFill>
          <a:srgbClr val="FF0000">
            <a:alpha val="27843"/>
          </a:srgb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345282</xdr:colOff>
      <xdr:row>6</xdr:row>
      <xdr:rowOff>190498</xdr:rowOff>
    </xdr:from>
    <xdr:to>
      <xdr:col>20</xdr:col>
      <xdr:colOff>59532</xdr:colOff>
      <xdr:row>24</xdr:row>
      <xdr:rowOff>26193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1</xdr:row>
          <xdr:rowOff>12700</xdr:rowOff>
        </xdr:from>
        <xdr:to>
          <xdr:col>18</xdr:col>
          <xdr:colOff>488950</xdr:colOff>
          <xdr:row>5</xdr:row>
          <xdr:rowOff>165100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5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476250</xdr:colOff>
          <xdr:row>26</xdr:row>
          <xdr:rowOff>107950</xdr:rowOff>
        </xdr:from>
        <xdr:to>
          <xdr:col>20</xdr:col>
          <xdr:colOff>184150</xdr:colOff>
          <xdr:row>29</xdr:row>
          <xdr:rowOff>19050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5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20</xdr:col>
      <xdr:colOff>428625</xdr:colOff>
      <xdr:row>5</xdr:row>
      <xdr:rowOff>214312</xdr:rowOff>
    </xdr:from>
    <xdr:to>
      <xdr:col>27</xdr:col>
      <xdr:colOff>482910</xdr:colOff>
      <xdr:row>16</xdr:row>
      <xdr:rowOff>213895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lum contrast="-20000"/>
        </a:blip>
        <a:srcRect r="557" b="3855"/>
        <a:stretch/>
      </xdr:blipFill>
      <xdr:spPr>
        <a:xfrm>
          <a:off x="9932401403" y="1345406"/>
          <a:ext cx="4304816" cy="2809458"/>
        </a:xfrm>
        <a:prstGeom prst="rect">
          <a:avLst/>
        </a:prstGeom>
      </xdr:spPr>
    </xdr:pic>
    <xdr:clientData/>
  </xdr:twoCellAnchor>
  <xdr:twoCellAnchor editAs="oneCell">
    <xdr:from>
      <xdr:col>27</xdr:col>
      <xdr:colOff>453452</xdr:colOff>
      <xdr:row>7</xdr:row>
      <xdr:rowOff>349501</xdr:rowOff>
    </xdr:from>
    <xdr:to>
      <xdr:col>29</xdr:col>
      <xdr:colOff>372469</xdr:colOff>
      <xdr:row>13</xdr:row>
      <xdr:rowOff>155634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31904624" y="1933032"/>
          <a:ext cx="1133455" cy="148491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21</xdr:col>
      <xdr:colOff>83344</xdr:colOff>
      <xdr:row>17</xdr:row>
      <xdr:rowOff>83344</xdr:rowOff>
    </xdr:from>
    <xdr:to>
      <xdr:col>28</xdr:col>
      <xdr:colOff>388248</xdr:colOff>
      <xdr:row>24</xdr:row>
      <xdr:rowOff>156998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9931888846" y="4250532"/>
          <a:ext cx="4555435" cy="1657185"/>
        </a:xfrm>
        <a:prstGeom prst="rect">
          <a:avLst/>
        </a:prstGeom>
        <a:solidFill>
          <a:schemeClr val="bg1"/>
        </a:solidFill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180340" algn="just" rtl="1">
            <a:lnSpc>
              <a:spcPct val="130000"/>
            </a:lnSpc>
            <a:spcBef>
              <a:spcPts val="500"/>
            </a:spcBef>
            <a:spcAft>
              <a:spcPts val="0"/>
            </a:spcAft>
          </a:pPr>
          <a:r>
            <a:rPr lang="fa-IR">
              <a:solidFill>
                <a:srgbClr val="000000"/>
              </a:solidFill>
              <a:latin typeface="Times New Roman" panose="02020603050405020304" pitchFamily="18" charset="0"/>
              <a:ea typeface="Calibri" panose="020F0502020204030204" pitchFamily="34" charset="0"/>
              <a:cs typeface="B Nazanin" panose="00000400000000000000" pitchFamily="2" charset="-78"/>
            </a:rPr>
            <a:t>*ضریب تراکم گیاهی مشابه با روش </a:t>
          </a:r>
          <a:r>
            <a:rPr lang="en-US" sz="1400">
              <a:solidFill>
                <a:srgbClr val="000000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  <a:cs typeface="B Nazanin" panose="00000400000000000000" pitchFamily="2" charset="-78"/>
            </a:rPr>
            <a:t>WUCOLS</a:t>
          </a:r>
          <a:r>
            <a:rPr lang="fa-IR">
              <a:solidFill>
                <a:srgbClr val="000000"/>
              </a:solidFill>
              <a:latin typeface="Times New Roman" panose="02020603050405020304" pitchFamily="18" charset="0"/>
              <a:ea typeface="Calibri" panose="020F0502020204030204" pitchFamily="34" charset="0"/>
              <a:cs typeface="B Nazanin" panose="00000400000000000000" pitchFamily="2" charset="-78"/>
            </a:rPr>
            <a:t> </a:t>
          </a:r>
        </a:p>
        <a:p>
          <a:pPr indent="180340" algn="just" rtl="1">
            <a:lnSpc>
              <a:spcPct val="130000"/>
            </a:lnSpc>
            <a:spcBef>
              <a:spcPts val="500"/>
            </a:spcBef>
            <a:spcAft>
              <a:spcPts val="0"/>
            </a:spcAft>
          </a:pPr>
          <a:r>
            <a:rPr lang="fa-IR">
              <a:solidFill>
                <a:srgbClr val="000000"/>
              </a:solidFill>
              <a:latin typeface="Times New Roman" panose="02020603050405020304" pitchFamily="18" charset="0"/>
              <a:ea typeface="Calibri" panose="020F0502020204030204" pitchFamily="34" charset="0"/>
              <a:cs typeface="B Nazanin" panose="00000400000000000000" pitchFamily="2" charset="-78"/>
            </a:rPr>
            <a:t>- تفاوت: در تاج پوشش‌های بیشتر از 70%  برابر </a:t>
          </a:r>
          <a:r>
            <a:rPr lang="fa-IR" sz="2000" b="1">
              <a:ln>
                <a:solidFill>
                  <a:srgbClr val="008000"/>
                </a:solidFill>
              </a:ln>
              <a:solidFill>
                <a:srgbClr val="7AB850"/>
              </a:solidFill>
              <a:latin typeface="Times New Roman" panose="02020603050405020304" pitchFamily="18" charset="0"/>
              <a:cs typeface="B Nazanin" panose="00000400000000000000" pitchFamily="2" charset="-78"/>
            </a:rPr>
            <a:t>1.0 </a:t>
          </a:r>
        </a:p>
        <a:p>
          <a:pPr indent="180340" algn="just" rtl="1">
            <a:lnSpc>
              <a:spcPct val="130000"/>
            </a:lnSpc>
            <a:spcBef>
              <a:spcPts val="500"/>
            </a:spcBef>
            <a:spcAft>
              <a:spcPts val="0"/>
            </a:spcAft>
          </a:pPr>
          <a:r>
            <a:rPr lang="fa-IR">
              <a:solidFill>
                <a:srgbClr val="000000"/>
              </a:solidFill>
              <a:latin typeface="Times New Roman" panose="02020603050405020304" pitchFamily="18" charset="0"/>
              <a:ea typeface="Calibri" panose="020F0502020204030204" pitchFamily="34" charset="0"/>
              <a:cs typeface="B Nazanin" panose="00000400000000000000" pitchFamily="2" charset="-78"/>
            </a:rPr>
            <a:t>	و  برای مقادیر کمتر، بصورت:</a:t>
          </a:r>
          <a:endParaRPr lang="en-US" sz="1400">
            <a:solidFill>
              <a:srgbClr val="000000"/>
            </a:solidFill>
            <a:effectLst/>
            <a:latin typeface="Times New Roman" panose="02020603050405020304" pitchFamily="18" charset="0"/>
            <a:ea typeface="Calibri" panose="020F0502020204030204" pitchFamily="34" charset="0"/>
            <a:cs typeface="B Nazanin" panose="00000400000000000000" pitchFamily="2" charset="-78"/>
          </a:endParaRPr>
        </a:p>
        <a:p>
          <a:pPr indent="180340" algn="just">
            <a:lnSpc>
              <a:spcPct val="130000"/>
            </a:lnSpc>
            <a:spcBef>
              <a:spcPts val="500"/>
            </a:spcBef>
          </a:pPr>
          <a:endParaRPr lang="en-US" sz="1400">
            <a:solidFill>
              <a:srgbClr val="000000"/>
            </a:solidFill>
            <a:effectLst/>
            <a:latin typeface="Times New Roman" panose="02020603050405020304" pitchFamily="18" charset="0"/>
            <a:ea typeface="Calibri" panose="020F0502020204030204" pitchFamily="34" charset="0"/>
            <a:cs typeface="B Nazanin" panose="00000400000000000000" pitchFamily="2" charset="-78"/>
          </a:endParaRPr>
        </a:p>
      </xdr:txBody>
    </xdr:sp>
    <xdr:clientData/>
  </xdr:twoCellAnchor>
  <xdr:twoCellAnchor editAs="oneCell">
    <xdr:from>
      <xdr:col>21</xdr:col>
      <xdr:colOff>226664</xdr:colOff>
      <xdr:row>25</xdr:row>
      <xdr:rowOff>26919</xdr:rowOff>
    </xdr:from>
    <xdr:to>
      <xdr:col>25</xdr:col>
      <xdr:colOff>529046</xdr:colOff>
      <xdr:row>27</xdr:row>
      <xdr:rowOff>97130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33569704" y="6003857"/>
          <a:ext cx="2731257" cy="522648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309564</xdr:colOff>
      <xdr:row>1</xdr:row>
      <xdr:rowOff>107156</xdr:rowOff>
    </xdr:from>
    <xdr:to>
      <xdr:col>12</xdr:col>
      <xdr:colOff>537568</xdr:colOff>
      <xdr:row>27</xdr:row>
      <xdr:rowOff>54768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0847807" y="297656"/>
          <a:ext cx="7514629" cy="4900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20</xdr:col>
      <xdr:colOff>457200</xdr:colOff>
      <xdr:row>40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5037200" y="5334000"/>
          <a:ext cx="12039600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transfer$\&#1602;&#1585;&#1607;%20&#1576;&#1575;&#159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602;&#1585;&#1607;%20&#1576;&#1575;&#159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_D_IUT\___from%20Falsh\0_Ahwaz_1392.09.12\0_13-Spring%201386\0_Drought%20Project\0_MEHDI_1\EXCEL\OMOUR\DATAENT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(9700)_12-SABAK_Fazaye-Sabz$\02_%20Old%20in%20LapTop\_0%200000%20%200_Courses%2093-94\1393%2004-Irrigation\07%2093.08.10_Soil-Prpperties\0_13-Spring%201386\0_Drought%20Project\0_MEHDI_1\EXCEL\OMOUR\DATAENT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transfer$\02_Technical\9806_Lanscape%20Layers\13\Mashhad%20LandScape_1399.08.27_%20ZARIBs_13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806\Data_Totall_1399.05.30_newData_Analysis_adj-tree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st%20files\&#1705;&#1605;&#1585;&#1576;&#1606;&#1583;%20&#1587;&#1576;&#1586;%20&#1580;&#1606;&#1608;&#1576;&#1740;%20-%201399.03.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àسه 5"/>
      <sheetName val="àسه 7"/>
      <sheetName val="àسه 8"/>
      <sheetName val="ءوآنéش لسè بآك"/>
      <sheetName val="حرçن ءوآنéش 81"/>
      <sheetName val="حرçن ءوآنéش حرéر"/>
      <sheetName val="ضغد ءب آظنé "/>
      <sheetName val="Chart4"/>
      <sheetName val="Chart1"/>
      <sheetName val="Chart2"/>
      <sheetName val="ضغد ءب لسè بآك  بآ دآèèآé دزàé"/>
      <sheetName val="Sheet1"/>
      <sheetName val="Chart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dv-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àسه 5"/>
      <sheetName val="àسه 7"/>
      <sheetName val="àسه 8"/>
      <sheetName val="ءوآنéش لسè بآك"/>
      <sheetName val="حرçن ءوآنéش 81"/>
      <sheetName val="حرçن ءوآنéش حرéر"/>
      <sheetName val="ضغد ءب آظنé "/>
      <sheetName val="Chart4"/>
      <sheetName val="Chart1"/>
      <sheetName val="Chart2"/>
      <sheetName val="ضغد ءب لسè بآك  بآ دآèèآé دزàé"/>
      <sheetName val="Sheet1"/>
      <sheetName val="Chart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dv-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سçرءهآس"/>
      <sheetName val="àسه هآèآوè"/>
      <sheetName val="هطذظآت خآèèآé هطآèرè آé "/>
    </sheetNames>
    <sheetDataSet>
      <sheetData sheetId="0">
        <row r="2">
          <cell r="C2" t="str">
            <v>ظçست هلآéضè ءهآس خآèèآ رس ضآن 73 ç çسçر بè سآéآوè تآ تéسهآè  77</v>
          </cell>
        </row>
        <row r="3">
          <cell r="C3" t="str">
            <v>ظàدè  1</v>
          </cell>
        </row>
        <row r="4">
          <cell r="C4" t="str">
            <v>هنآدفآت</v>
          </cell>
          <cell r="D4" t="str">
            <v>âوتسن</v>
          </cell>
          <cell r="E4" t="str">
            <v xml:space="preserve">çآسر âوورè </v>
          </cell>
          <cell r="F4" t="str">
            <v xml:space="preserve">çآسر سآéآوè طرè رس ضآن 76 </v>
          </cell>
          <cell r="G4" t="str">
            <v>ءهآسبسرآسé  ضآن 73</v>
          </cell>
          <cell r="H4" t="str">
            <v>âر رطت</v>
          </cell>
          <cell r="I4" t="str">
            <v>وآه رطت</v>
          </cell>
          <cell r="J4" t="str">
            <v xml:space="preserve"> سرéà</v>
          </cell>
        </row>
        <row r="5">
          <cell r="E5" t="str">
            <v>تçâنé</v>
          </cell>
          <cell r="F5">
            <v>589</v>
          </cell>
          <cell r="G5">
            <v>591</v>
          </cell>
          <cell r="H5">
            <v>2423</v>
          </cell>
          <cell r="I5" t="str">
            <v>وçسءبآر</v>
          </cell>
          <cell r="J5">
            <v>1</v>
          </cell>
        </row>
        <row r="6">
          <cell r="E6" t="str">
            <v>تçâنé</v>
          </cell>
          <cell r="F6">
            <v>248</v>
          </cell>
          <cell r="G6">
            <v>248</v>
          </cell>
          <cell r="H6">
            <v>2422</v>
          </cell>
          <cell r="I6" t="str">
            <v>àèنéآو</v>
          </cell>
          <cell r="J6">
            <v>2</v>
          </cell>
          <cell r="T6" t="str">
            <v>مشآسط زذéسè ءهآس هوآبق ءب رس سآéآوè آهçس هغآ نقآت تçضغ èهâآسآو رس هآè                          ضآن         13.</v>
          </cell>
          <cell r="U6" t="str">
            <v xml:space="preserve">مسآط </v>
          </cell>
          <cell r="V6">
            <v>37</v>
          </cell>
        </row>
        <row r="7">
          <cell r="E7" t="str">
            <v>تçâنé</v>
          </cell>
          <cell r="F7">
            <v>513</v>
          </cell>
          <cell r="G7">
            <v>513</v>
          </cell>
          <cell r="H7">
            <v>2424</v>
          </cell>
          <cell r="I7" t="str">
            <v>هسآضذçو</v>
          </cell>
          <cell r="J7">
            <v>3</v>
          </cell>
          <cell r="T7" t="str">
            <v>هنآدفآت</v>
          </cell>
          <cell r="U7" t="str">
            <v>آçش</v>
          </cell>
          <cell r="V7">
            <v>38</v>
          </cell>
          <cell r="W7" t="str">
            <v>سله هآè لبن</v>
          </cell>
          <cell r="X7" t="str">
            <v>âر رطت</v>
          </cell>
          <cell r="Y7" t="str">
            <v>وآه رطت</v>
          </cell>
          <cell r="Z7" t="str">
            <v>وآه ذآوçآرمé</v>
          </cell>
          <cell r="AA7" t="str">
            <v>سرéà</v>
          </cell>
        </row>
        <row r="8">
          <cell r="C8" t="str">
            <v>çسçر وآتهآه</v>
          </cell>
          <cell r="E8" t="str">
            <v>تçâنé</v>
          </cell>
          <cell r="F8">
            <v>1076</v>
          </cell>
          <cell r="G8">
            <v>1076</v>
          </cell>
          <cell r="H8">
            <v>2733</v>
          </cell>
          <cell r="I8" t="str">
            <v xml:space="preserve">رآسآب çلنقè بéآبآو </v>
          </cell>
          <cell r="J8">
            <v>4</v>
          </cell>
          <cell r="T8">
            <v>2645</v>
          </cell>
          <cell r="U8" t="str">
            <v xml:space="preserve">ذوح </v>
          </cell>
          <cell r="V8">
            <v>39</v>
          </cell>
          <cell r="AA8">
            <v>1</v>
          </cell>
        </row>
        <row r="9">
          <cell r="E9" t="str">
            <v>آضàورéآسé</v>
          </cell>
          <cell r="F9">
            <v>292</v>
          </cell>
          <cell r="G9">
            <v>284</v>
          </cell>
          <cell r="H9">
            <v>2421</v>
          </cell>
          <cell r="I9" t="str">
            <v>èهآéحآو ضةéرآو</v>
          </cell>
          <cell r="J9">
            <v>5</v>
          </cell>
          <cell r="T9">
            <v>2644</v>
          </cell>
          <cell r="U9" t="str">
            <v>èçرçبéرطèس</v>
          </cell>
          <cell r="V9">
            <v>40</v>
          </cell>
          <cell r="AA9">
            <v>2</v>
          </cell>
        </row>
        <row r="10">
          <cell r="E10" t="str">
            <v>آضàورéآسé</v>
          </cell>
          <cell r="F10">
            <v>1145</v>
          </cell>
          <cell r="G10">
            <v>1295</v>
          </cell>
          <cell r="H10">
            <v>2615</v>
          </cell>
          <cell r="I10" t="str">
            <v>âçآس</v>
          </cell>
          <cell r="J10">
            <v>6</v>
          </cell>
          <cell r="T10">
            <v>2633</v>
          </cell>
          <cell r="U10" t="str">
            <v xml:space="preserve">رèâçéè ç âçسرè </v>
          </cell>
          <cell r="V10">
            <v>41</v>
          </cell>
          <cell r="AA10">
            <v>3</v>
          </cell>
        </row>
        <row r="11">
          <cell r="C11" t="str">
            <v>çسçر وآتهآه</v>
          </cell>
          <cell r="E11" t="str">
            <v>آضàورéآسé</v>
          </cell>
          <cell r="F11">
            <v>1380</v>
          </cell>
          <cell r="G11">
            <v>1449</v>
          </cell>
          <cell r="H11">
            <v>4331</v>
          </cell>
          <cell r="I11" t="str">
            <v>طéسآش</v>
          </cell>
          <cell r="J11">
            <v>7</v>
          </cell>
          <cell r="T11">
            <v>2633</v>
          </cell>
          <cell r="U11" t="str">
            <v xml:space="preserve">àéرçéè ç مسهطت </v>
          </cell>
          <cell r="V11">
            <v>42</v>
          </cell>
          <cell r="AA11">
            <v>4</v>
          </cell>
        </row>
        <row r="12">
          <cell r="E12" t="str">
            <v>آبسآèéهé</v>
          </cell>
          <cell r="F12">
            <v>684</v>
          </cell>
          <cell r="G12">
            <v>614</v>
          </cell>
          <cell r="H12">
            <v>2534</v>
          </cell>
          <cell r="I12" t="str">
            <v>àسآطبور</v>
          </cell>
          <cell r="J12">
            <v>8</v>
          </cell>
          <cell r="T12">
            <v>4323</v>
          </cell>
          <cell r="U12" t="str">
            <v>وé سéش</v>
          </cell>
          <cell r="V12">
            <v>43</v>
          </cell>
          <cell r="AA12">
            <v>5</v>
          </cell>
        </row>
        <row r="13">
          <cell r="E13" t="str">
            <v>آبسآèéهé</v>
          </cell>
          <cell r="F13">
            <v>242</v>
          </cell>
          <cell r="G13">
            <v>249</v>
          </cell>
          <cell r="H13">
            <v>2535</v>
          </cell>
          <cell r="I13" t="str">
            <v>ذآوéâ çوçحéو</v>
          </cell>
          <cell r="J13">
            <v>9</v>
          </cell>
          <cell r="T13">
            <v>4931</v>
          </cell>
          <cell r="U13" t="str">
            <v xml:space="preserve">ةطتâçè </v>
          </cell>
          <cell r="V13">
            <v>44</v>
          </cell>
          <cell r="AA13">
            <v>6</v>
          </cell>
        </row>
        <row r="14">
          <cell r="E14" t="str">
            <v>آبسآèéهé</v>
          </cell>
          <cell r="F14">
            <v>558</v>
          </cell>
          <cell r="G14">
            <v>496</v>
          </cell>
          <cell r="H14">
            <v>4313</v>
          </cell>
          <cell r="I14" t="str">
            <v>ضقآرت طèس</v>
          </cell>
          <cell r="J14">
            <v>10</v>
          </cell>
          <cell r="T14">
            <v>4932</v>
          </cell>
          <cell r="U14" t="str">
            <v xml:space="preserve">لغسçéè </v>
          </cell>
          <cell r="V14">
            <v>45</v>
          </cell>
          <cell r="AA14">
            <v>7</v>
          </cell>
        </row>
        <row r="15">
          <cell r="E15" t="str">
            <v>èçطéآس</v>
          </cell>
          <cell r="F15">
            <v>2045</v>
          </cell>
          <cell r="G15">
            <v>3687</v>
          </cell>
          <cell r="H15">
            <v>4319</v>
          </cell>
          <cell r="I15" t="str">
            <v>هسçرطت çâسبآن</v>
          </cell>
          <cell r="J15">
            <v>11</v>
          </cell>
          <cell r="T15">
            <v>2722</v>
          </cell>
          <cell r="U15" t="str">
            <v>نآهسر ç منè رآس</v>
          </cell>
          <cell r="V15">
            <v>46</v>
          </cell>
          <cell r="AA15">
            <v>8</v>
          </cell>
        </row>
        <row r="16">
          <cell r="C16" t="str">
            <v>çسçر وآتهآه</v>
          </cell>
          <cell r="E16" t="str">
            <v>èçطéآس</v>
          </cell>
          <cell r="F16">
            <v>1809</v>
          </cell>
          <cell r="G16">
            <v>1967</v>
          </cell>
          <cell r="H16">
            <v>4321</v>
          </cell>
          <cell r="I16" t="str">
            <v>آسضوحآو çتçآبق</v>
          </cell>
          <cell r="J16">
            <v>12</v>
          </cell>
          <cell r="T16">
            <v>2634</v>
          </cell>
          <cell r="U16" t="str">
            <v xml:space="preserve">قنآأهسçرطت ç àرآك ç بéسه ç رآسآنهéشآو  </v>
          </cell>
          <cell r="V16">
            <v>47</v>
          </cell>
          <cell r="AA16">
            <v>9</v>
          </cell>
        </row>
        <row r="17">
          <cell r="E17" t="str">
            <v>àآذسé</v>
          </cell>
          <cell r="F17">
            <v>1839</v>
          </cell>
          <cell r="G17">
            <v>1837</v>
          </cell>
          <cell r="H17">
            <v>2523</v>
          </cell>
          <cell r="I17" t="str">
            <v>âآشسçو</v>
          </cell>
          <cell r="J17">
            <v>14</v>
          </cell>
          <cell r="T17">
            <v>4911</v>
          </cell>
          <cell r="U17" t="str">
            <v xml:space="preserve">ءبآرè </v>
          </cell>
          <cell r="V17">
            <v>48</v>
          </cell>
          <cell r="AA17">
            <v>10</v>
          </cell>
        </row>
        <row r="18">
          <cell r="C18" t="str">
            <v>çسçر وآتهآه</v>
          </cell>
          <cell r="E18" t="str">
            <v>àآذسé</v>
          </cell>
          <cell r="F18">
            <v>764</v>
          </cell>
          <cell r="G18">
            <v>764</v>
          </cell>
          <cell r="H18">
            <v>4322</v>
          </cell>
          <cell r="I18" t="str">
            <v>ءبآرè غطâ</v>
          </cell>
          <cell r="J18">
            <v>15</v>
          </cell>
          <cell r="T18">
            <v>4312</v>
          </cell>
          <cell r="U18" t="str">
            <v>رè بéر</v>
          </cell>
          <cell r="V18">
            <v>49</v>
          </cell>
          <cell r="AA18">
            <v>11</v>
          </cell>
        </row>
        <row r="19">
          <cell r="C19" t="str">
            <v>çسçر وآتهآه</v>
          </cell>
          <cell r="E19" t="str">
            <v>لèسهآوé</v>
          </cell>
          <cell r="F19">
            <v>1303</v>
          </cell>
          <cell r="G19">
            <v>1351</v>
          </cell>
          <cell r="H19">
            <v>4311</v>
          </cell>
          <cell r="I19" t="str">
            <v>وهرآو</v>
          </cell>
          <cell r="J19">
            <v>16</v>
          </cell>
          <cell r="T19">
            <v>4333</v>
          </cell>
          <cell r="U19" t="str">
            <v xml:space="preserve">ضسçضتآو </v>
          </cell>
          <cell r="V19">
            <v>50</v>
          </cell>
          <cell r="AA19">
            <v>12</v>
          </cell>
        </row>
        <row r="20">
          <cell r="C20" t="str">
            <v>çسçر وآتهآه</v>
          </cell>
          <cell r="E20" t="str">
            <v>قغآسشآرè</v>
          </cell>
          <cell r="F20">
            <v>394</v>
          </cell>
          <cell r="G20">
            <v>393</v>
          </cell>
          <cell r="H20">
            <v>2737</v>
          </cell>
          <cell r="I20" t="str">
            <v>رسشç ضآéبآو</v>
          </cell>
          <cell r="J20">
            <v>17</v>
          </cell>
          <cell r="T20">
            <v>4332</v>
          </cell>
          <cell r="U20" t="str">
            <v xml:space="preserve">لسè بآك </v>
          </cell>
          <cell r="V20">
            <v>51</v>
          </cell>
          <cell r="AA20">
            <v>13</v>
          </cell>
        </row>
        <row r="21">
          <cell r="E21" t="str">
            <v>قغآسشآرè</v>
          </cell>
          <cell r="F21">
            <v>319</v>
          </cell>
          <cell r="G21">
            <v>318</v>
          </cell>
          <cell r="H21">
            <v>2738</v>
          </cell>
          <cell r="I21" t="str">
            <v>ظدسآé بآك</v>
          </cell>
          <cell r="J21">
            <v>18</v>
          </cell>
          <cell r="T21">
            <v>2614</v>
          </cell>
          <cell r="U21" t="str">
            <v xml:space="preserve">ضéذ ç رآسومçو </v>
          </cell>
          <cell r="V21">
            <v>52</v>
          </cell>
          <cell r="AA21">
            <v>14</v>
          </cell>
        </row>
        <row r="22">
          <cell r="E22" t="str">
            <v>قغآسشآرè</v>
          </cell>
          <cell r="F22">
            <v>341</v>
          </cell>
          <cell r="G22">
            <v>341</v>
          </cell>
          <cell r="H22">
            <v>2731</v>
          </cell>
          <cell r="I22" t="str">
            <v>âèوè çةèوآçè</v>
          </cell>
          <cell r="J22">
            <v>19</v>
          </cell>
          <cell r="T22">
            <v>2510</v>
          </cell>
          <cell r="U22" t="str">
            <v xml:space="preserve">رطت آسصو </v>
          </cell>
          <cell r="V22">
            <v>53</v>
          </cell>
          <cell r="AA22">
            <v>15</v>
          </cell>
        </row>
        <row r="23">
          <cell r="C23" t="str">
            <v>çسçر وآتهآه</v>
          </cell>
          <cell r="E23" t="str">
            <v>قغآسشآرè</v>
          </cell>
          <cell r="F23">
            <v>445</v>
          </cell>
          <cell r="G23">
            <v>339</v>
          </cell>
          <cell r="H23">
            <v>2739</v>
          </cell>
          <cell r="I23" t="str">
            <v>نآس</v>
          </cell>
          <cell r="J23">
            <v>20</v>
          </cell>
          <cell r="T23">
            <v>4313</v>
          </cell>
          <cell r="U23" t="str">
            <v xml:space="preserve">ضسةوéسآو </v>
          </cell>
          <cell r="V23">
            <v>54</v>
          </cell>
          <cell r="AA23" t="str">
            <v>حهق</v>
          </cell>
        </row>
        <row r="24">
          <cell r="C24" t="str">
            <v>çسçر وآتهآه</v>
          </cell>
          <cell r="E24" t="str">
            <v>آهéس قعرé</v>
          </cell>
          <cell r="F24">
            <v>175</v>
          </cell>
          <cell r="G24">
            <v>175</v>
          </cell>
          <cell r="H24">
            <v>2521</v>
          </cell>
          <cell r="I24" t="str">
            <v>رطت بسه</v>
          </cell>
          <cell r="J24">
            <v>21</v>
          </cell>
        </row>
        <row r="25">
          <cell r="E25" t="str">
            <v>آهéس قعرé</v>
          </cell>
          <cell r="F25">
            <v>169</v>
          </cell>
          <cell r="G25">
            <v>171</v>
          </cell>
          <cell r="H25">
            <v>2522</v>
          </cell>
          <cell r="I25" t="str">
            <v>لآ اهéè</v>
          </cell>
          <cell r="J25">
            <v>22</v>
          </cell>
        </row>
        <row r="26">
          <cell r="E26" t="str">
            <v>آهéس قعرé</v>
          </cell>
          <cell r="F26">
            <v>316</v>
          </cell>
          <cell r="G26">
            <v>215</v>
          </cell>
          <cell r="H26">
            <v>2526</v>
          </cell>
          <cell r="I26" t="str">
            <v>ذطت</v>
          </cell>
          <cell r="J26">
            <v>23</v>
          </cell>
        </row>
        <row r="27">
          <cell r="E27" t="str">
            <v>آهéس قعرé</v>
          </cell>
          <cell r="F27">
            <v>11</v>
          </cell>
          <cell r="G27">
            <v>11</v>
          </cell>
          <cell r="H27">
            <v>2536</v>
          </cell>
          <cell r="I27" t="str">
            <v>حسè بآنآرè</v>
          </cell>
          <cell r="J27">
            <v>24</v>
          </cell>
        </row>
        <row r="28">
          <cell r="E28" t="str">
            <v>آهéس قعرé</v>
          </cell>
          <cell r="F28">
            <v>99</v>
          </cell>
          <cell r="G28">
            <v>99</v>
          </cell>
          <cell r="H28">
            <v>2537</v>
          </cell>
          <cell r="I28" t="str">
            <v>رآرéو</v>
          </cell>
          <cell r="J28">
            <v>25</v>
          </cell>
        </row>
        <row r="29">
          <cell r="E29" t="str">
            <v>آهéس قعرé</v>
          </cell>
          <cell r="F29">
            <v>85</v>
          </cell>
          <cell r="G29">
            <v>82</v>
          </cell>
          <cell r="H29">
            <v>2533</v>
          </cell>
          <cell r="I29" t="str">
            <v>بنبنâ çرسçوâ</v>
          </cell>
          <cell r="J29">
            <v>26</v>
          </cell>
        </row>
        <row r="30">
          <cell r="E30" t="str">
            <v>آهéس قعرé</v>
          </cell>
          <cell r="F30">
            <v>9</v>
          </cell>
          <cell r="G30">
            <v>9</v>
          </cell>
          <cell r="H30">
            <v>2525</v>
          </cell>
          <cell r="I30" t="str">
            <v>âهآسح</v>
          </cell>
          <cell r="J30">
            <v>27</v>
          </cell>
        </row>
        <row r="31">
          <cell r="C31" t="str">
            <v>çسçر وآتهآه</v>
          </cell>
          <cell r="E31" t="str">
            <v>آهéس قعرé</v>
          </cell>
          <cell r="F31">
            <v>1137</v>
          </cell>
          <cell r="G31">
            <v>1195</v>
          </cell>
          <cell r="H31">
            <v>4316</v>
          </cell>
          <cell r="I31" t="str">
            <v>ذàسâ ضéرآو</v>
          </cell>
          <cell r="J31">
            <v>28</v>
          </cell>
        </row>
        <row r="32">
          <cell r="C32" t="str">
            <v>çسçر وآتهآه</v>
          </cell>
          <cell r="E32" t="str">
            <v>ءظàé</v>
          </cell>
          <cell r="F32">
            <v>255</v>
          </cell>
          <cell r="G32">
            <v>1195</v>
          </cell>
          <cell r="H32">
            <v>2612</v>
          </cell>
          <cell r="I32" t="str">
            <v>ذغéسé</v>
          </cell>
          <cell r="J32">
            <v>29</v>
          </cell>
        </row>
        <row r="33">
          <cell r="E33" t="str">
            <v>ءظàé</v>
          </cell>
          <cell r="F33">
            <v>221</v>
          </cell>
          <cell r="H33">
            <v>2613</v>
          </cell>
          <cell r="I33" t="str">
            <v>ذآوè ذبéض</v>
          </cell>
          <cell r="J33">
            <v>30</v>
          </cell>
        </row>
        <row r="34">
          <cell r="E34" t="str">
            <v>ءظàé</v>
          </cell>
          <cell r="F34">
            <v>604</v>
          </cell>
          <cell r="G34">
            <v>493</v>
          </cell>
          <cell r="H34">
            <v>4317</v>
          </cell>
          <cell r="I34" t="str">
            <v>ءضةآض</v>
          </cell>
          <cell r="J34">
            <v>31</v>
          </cell>
        </row>
        <row r="35">
          <cell r="E35" t="str">
            <v>ءظàé</v>
          </cell>
          <cell r="F35">
            <v>187</v>
          </cell>
          <cell r="G35">
            <v>187</v>
          </cell>
          <cell r="H35">
            <v>4922</v>
          </cell>
          <cell r="I35" t="str">
            <v>ضسخآèآو</v>
          </cell>
          <cell r="J35">
            <v>32</v>
          </cell>
        </row>
        <row r="36">
          <cell r="E36" t="str">
            <v>ءظàé</v>
          </cell>
          <cell r="F36">
            <v>94</v>
          </cell>
          <cell r="G36">
            <v>94</v>
          </cell>
          <cell r="H36">
            <v>4921</v>
          </cell>
          <cell r="I36" t="str">
            <v>بçآوآت</v>
          </cell>
          <cell r="J36">
            <v>33</v>
          </cell>
        </row>
        <row r="37">
          <cell r="C37" t="str">
            <v>çسçر وآتهآه</v>
          </cell>
          <cell r="E37" t="str">
            <v>ءظàé</v>
          </cell>
          <cell r="F37">
            <v>387</v>
          </cell>
          <cell r="G37">
            <v>393</v>
          </cell>
          <cell r="H37">
            <v>2642</v>
          </cell>
          <cell r="I37" t="str">
            <v>حçéه çبوآسçéè</v>
          </cell>
          <cell r="J37">
            <v>34</v>
          </cell>
        </row>
        <row r="38">
          <cell r="C38" t="str">
            <v>çسçر وآتهآه</v>
          </cell>
          <cell r="E38" t="str">
            <v>حهق âن تآ 76/6/13</v>
          </cell>
          <cell r="F38">
            <v>0</v>
          </cell>
          <cell r="G38">
            <v>2631</v>
          </cell>
          <cell r="H38">
            <v>2631</v>
          </cell>
          <cell r="I38" t="str">
            <v>ضéà ءبآرçنآكس</v>
          </cell>
          <cell r="J38">
            <v>35</v>
          </cell>
        </row>
        <row r="39">
          <cell r="E39" t="str">
            <v>حهق âن تآ 76/6/13</v>
          </cell>
          <cell r="F39">
            <v>19735</v>
          </cell>
          <cell r="G39">
            <v>25208</v>
          </cell>
          <cell r="J39">
            <v>35</v>
          </cell>
        </row>
        <row r="83">
          <cell r="CY83" t="str">
            <v xml:space="preserve">بسوآ هè  èàتمé  çسçر ءهآس ضغد ءب خآ èèآé  هطآ èرè آé  ç ءهآس  هوآبق  ءب  شéس شهéوé </v>
          </cell>
        </row>
        <row r="87">
          <cell r="CY87" t="str">
            <v xml:space="preserve"> آش 15 طèسéçس هآè 1376</v>
          </cell>
        </row>
        <row r="90">
          <cell r="CY90" t="str">
            <v>17.30 تآ 18.45</v>
          </cell>
          <cell r="CZ90" t="str">
            <v>16.15 تآ 17.30</v>
          </cell>
          <cell r="DA90" t="str">
            <v>15 تآ 16.15</v>
          </cell>
          <cell r="DB90" t="str">
            <v xml:space="preserve"> 11 تآ 12</v>
          </cell>
          <cell r="DC90" t="str">
            <v>10  تآ 11</v>
          </cell>
          <cell r="DD90" t="str">
            <v>سçشèآé èàتـè</v>
          </cell>
        </row>
        <row r="91">
          <cell r="CY91" t="str">
            <v>آبسآèéهé</v>
          </cell>
          <cell r="CZ91" t="str">
            <v>حèآومéسé</v>
          </cell>
          <cell r="DA91" t="str">
            <v>آضàورéآسحèسهé</v>
          </cell>
          <cell r="DB91" t="str">
            <v>حèآومéسé</v>
          </cell>
          <cell r="DC91" t="str">
            <v>آضàورéآس حèسهé</v>
          </cell>
          <cell r="DD91" t="str">
            <v>طوبè</v>
          </cell>
        </row>
        <row r="92">
          <cell r="CY92" t="str">
            <v>ءظàé</v>
          </cell>
          <cell r="CZ92" t="str">
            <v>آ هéس قعرé</v>
          </cell>
          <cell r="DA92" t="str">
            <v>قغآسشآرè</v>
          </cell>
          <cell r="DB92" t="str">
            <v>آ هéس قعرé</v>
          </cell>
          <cell r="DC92" t="str">
            <v>ءظàé</v>
          </cell>
          <cell r="DD92" t="str">
            <v>éâ طوبè</v>
          </cell>
        </row>
        <row r="93">
          <cell r="CY93" t="str">
            <v>ءظàé</v>
          </cell>
          <cell r="CZ93" t="str">
            <v>èçطéآس</v>
          </cell>
          <cell r="DA93" t="str">
            <v>àآذسé</v>
          </cell>
          <cell r="DB93" t="str">
            <v>èçطéآس</v>
          </cell>
          <cell r="DC93" t="str">
            <v>طéبآوé</v>
          </cell>
          <cell r="DD93" t="str">
            <v>رç طوبè</v>
          </cell>
        </row>
        <row r="94">
          <cell r="CZ94" t="str">
            <v>èçطéآس</v>
          </cell>
          <cell r="DA94" t="str">
            <v>àآذسé</v>
          </cell>
          <cell r="DB94" t="str">
            <v>قغآسشآرè</v>
          </cell>
          <cell r="DC94" t="str">
            <v>آبسآèéهé</v>
          </cell>
          <cell r="DD94" t="str">
            <v>ضè طوبè</v>
          </cell>
        </row>
        <row r="95">
          <cell r="DB95" t="str">
            <v>قغآسشآرè</v>
          </cell>
          <cell r="DC95" t="str">
            <v>آبسآèéهé</v>
          </cell>
          <cell r="DD95" t="str">
            <v>خèآس طوبè</v>
          </cell>
        </row>
        <row r="96">
          <cell r="CZ96" t="str">
            <v>تــçâــنé</v>
          </cell>
          <cell r="DA96" t="str">
            <v>çسشوــــرè</v>
          </cell>
          <cell r="DB96" t="str">
            <v>çسشوــــرè</v>
          </cell>
          <cell r="DC96" t="str">
            <v>تــçâــنé</v>
          </cell>
          <cell r="DD96" t="str">
            <v>ةوح طوبè</v>
          </cell>
        </row>
        <row r="97">
          <cell r="DB97" t="str">
            <v>çسشوــــرè</v>
          </cell>
          <cell r="DD97" t="str">
            <v>ةوح طوبè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سçرءهآس"/>
      <sheetName val="àسه هآèآوè"/>
      <sheetName val="هطذظآت خآèèآé هطآèرè آé "/>
    </sheetNames>
    <sheetDataSet>
      <sheetData sheetId="0">
        <row r="2">
          <cell r="C2" t="str">
            <v>ظçست هلآéضè ءهآس خآèèآ رس ضآن 73 ç çسçر بè سآéآوè تآ تéسهآè  77</v>
          </cell>
        </row>
        <row r="3">
          <cell r="C3" t="str">
            <v>ظàدè  1</v>
          </cell>
        </row>
        <row r="4">
          <cell r="C4" t="str">
            <v>هنآدفآت</v>
          </cell>
          <cell r="D4" t="str">
            <v>âوتسن</v>
          </cell>
          <cell r="E4" t="str">
            <v xml:space="preserve">çآسر âوورè </v>
          </cell>
          <cell r="F4" t="str">
            <v xml:space="preserve">çآسر سآéآوè طرè رس ضآن 76 </v>
          </cell>
          <cell r="G4" t="str">
            <v>ءهآسبسرآسé  ضآن 73</v>
          </cell>
          <cell r="H4" t="str">
            <v>âر رطت</v>
          </cell>
          <cell r="I4" t="str">
            <v>وآه رطت</v>
          </cell>
          <cell r="J4" t="str">
            <v xml:space="preserve"> سرéà</v>
          </cell>
        </row>
        <row r="5">
          <cell r="E5" t="str">
            <v>تçâنé</v>
          </cell>
          <cell r="F5">
            <v>589</v>
          </cell>
          <cell r="G5">
            <v>591</v>
          </cell>
          <cell r="H5">
            <v>2423</v>
          </cell>
          <cell r="I5" t="str">
            <v>وçسءبآر</v>
          </cell>
          <cell r="J5">
            <v>1</v>
          </cell>
        </row>
        <row r="6">
          <cell r="E6" t="str">
            <v>تçâنé</v>
          </cell>
          <cell r="F6">
            <v>248</v>
          </cell>
          <cell r="G6">
            <v>248</v>
          </cell>
          <cell r="H6">
            <v>2422</v>
          </cell>
          <cell r="I6" t="str">
            <v>àèنéآو</v>
          </cell>
          <cell r="J6">
            <v>2</v>
          </cell>
          <cell r="T6" t="str">
            <v>مشآسط زذéسè ءهآس هوآبق ءب رس سآéآوè آهçس هغآ نقآت تçضغ èهâآسآو رس هآè                          ضآن         13.</v>
          </cell>
          <cell r="U6" t="str">
            <v xml:space="preserve">مسآط </v>
          </cell>
          <cell r="V6">
            <v>37</v>
          </cell>
        </row>
        <row r="7">
          <cell r="E7" t="str">
            <v>تçâنé</v>
          </cell>
          <cell r="F7">
            <v>513</v>
          </cell>
          <cell r="G7">
            <v>513</v>
          </cell>
          <cell r="H7">
            <v>2424</v>
          </cell>
          <cell r="I7" t="str">
            <v>هسآضذçو</v>
          </cell>
          <cell r="J7">
            <v>3</v>
          </cell>
          <cell r="T7" t="str">
            <v>هنآدفآت</v>
          </cell>
          <cell r="U7" t="str">
            <v>آçش</v>
          </cell>
          <cell r="V7">
            <v>38</v>
          </cell>
          <cell r="W7" t="str">
            <v>سله هآè لبن</v>
          </cell>
          <cell r="X7" t="str">
            <v>âر رطت</v>
          </cell>
          <cell r="Y7" t="str">
            <v>وآه رطت</v>
          </cell>
          <cell r="Z7" t="str">
            <v>وآه ذآوçآرمé</v>
          </cell>
          <cell r="AA7" t="str">
            <v>سرéà</v>
          </cell>
        </row>
        <row r="8">
          <cell r="C8" t="str">
            <v>çسçر وآتهآه</v>
          </cell>
          <cell r="E8" t="str">
            <v>تçâنé</v>
          </cell>
          <cell r="F8">
            <v>1076</v>
          </cell>
          <cell r="G8">
            <v>1076</v>
          </cell>
          <cell r="H8">
            <v>2733</v>
          </cell>
          <cell r="I8" t="str">
            <v xml:space="preserve">رآسآب çلنقè بéآبآو </v>
          </cell>
          <cell r="J8">
            <v>4</v>
          </cell>
          <cell r="T8">
            <v>2645</v>
          </cell>
          <cell r="U8" t="str">
            <v xml:space="preserve">ذوح </v>
          </cell>
          <cell r="V8">
            <v>39</v>
          </cell>
          <cell r="AA8">
            <v>1</v>
          </cell>
        </row>
        <row r="9">
          <cell r="E9" t="str">
            <v>آضàورéآسé</v>
          </cell>
          <cell r="F9">
            <v>292</v>
          </cell>
          <cell r="G9">
            <v>284</v>
          </cell>
          <cell r="H9">
            <v>2421</v>
          </cell>
          <cell r="I9" t="str">
            <v>èهآéحآو ضةéرآو</v>
          </cell>
          <cell r="J9">
            <v>5</v>
          </cell>
          <cell r="T9">
            <v>2644</v>
          </cell>
          <cell r="U9" t="str">
            <v>èçرçبéرطèس</v>
          </cell>
          <cell r="V9">
            <v>40</v>
          </cell>
          <cell r="AA9">
            <v>2</v>
          </cell>
        </row>
        <row r="10">
          <cell r="E10" t="str">
            <v>آضàورéآسé</v>
          </cell>
          <cell r="F10">
            <v>1145</v>
          </cell>
          <cell r="G10">
            <v>1295</v>
          </cell>
          <cell r="H10">
            <v>2615</v>
          </cell>
          <cell r="I10" t="str">
            <v>âçآس</v>
          </cell>
          <cell r="J10">
            <v>6</v>
          </cell>
          <cell r="T10">
            <v>2633</v>
          </cell>
          <cell r="U10" t="str">
            <v xml:space="preserve">رèâçéè ç âçسرè </v>
          </cell>
          <cell r="V10">
            <v>41</v>
          </cell>
          <cell r="AA10">
            <v>3</v>
          </cell>
        </row>
        <row r="11">
          <cell r="C11" t="str">
            <v>çسçر وآتهآه</v>
          </cell>
          <cell r="E11" t="str">
            <v>آضàورéآسé</v>
          </cell>
          <cell r="F11">
            <v>1380</v>
          </cell>
          <cell r="G11">
            <v>1449</v>
          </cell>
          <cell r="H11">
            <v>4331</v>
          </cell>
          <cell r="I11" t="str">
            <v>طéسآش</v>
          </cell>
          <cell r="J11">
            <v>7</v>
          </cell>
          <cell r="T11">
            <v>2633</v>
          </cell>
          <cell r="U11" t="str">
            <v xml:space="preserve">àéرçéè ç مسهطت </v>
          </cell>
          <cell r="V11">
            <v>42</v>
          </cell>
          <cell r="AA11">
            <v>4</v>
          </cell>
        </row>
        <row r="12">
          <cell r="E12" t="str">
            <v>آبسآèéهé</v>
          </cell>
          <cell r="F12">
            <v>684</v>
          </cell>
          <cell r="G12">
            <v>614</v>
          </cell>
          <cell r="H12">
            <v>2534</v>
          </cell>
          <cell r="I12" t="str">
            <v>àسآطبور</v>
          </cell>
          <cell r="J12">
            <v>8</v>
          </cell>
          <cell r="T12">
            <v>4323</v>
          </cell>
          <cell r="U12" t="str">
            <v>وé سéش</v>
          </cell>
          <cell r="V12">
            <v>43</v>
          </cell>
          <cell r="AA12">
            <v>5</v>
          </cell>
        </row>
        <row r="13">
          <cell r="E13" t="str">
            <v>آبسآèéهé</v>
          </cell>
          <cell r="F13">
            <v>242</v>
          </cell>
          <cell r="G13">
            <v>249</v>
          </cell>
          <cell r="H13">
            <v>2535</v>
          </cell>
          <cell r="I13" t="str">
            <v>ذآوéâ çوçحéو</v>
          </cell>
          <cell r="J13">
            <v>9</v>
          </cell>
          <cell r="T13">
            <v>4931</v>
          </cell>
          <cell r="U13" t="str">
            <v xml:space="preserve">ةطتâçè </v>
          </cell>
          <cell r="V13">
            <v>44</v>
          </cell>
          <cell r="AA13">
            <v>6</v>
          </cell>
        </row>
        <row r="14">
          <cell r="E14" t="str">
            <v>آبسآèéهé</v>
          </cell>
          <cell r="F14">
            <v>558</v>
          </cell>
          <cell r="G14">
            <v>496</v>
          </cell>
          <cell r="H14">
            <v>4313</v>
          </cell>
          <cell r="I14" t="str">
            <v>ضقآرت طèس</v>
          </cell>
          <cell r="J14">
            <v>10</v>
          </cell>
          <cell r="T14">
            <v>4932</v>
          </cell>
          <cell r="U14" t="str">
            <v xml:space="preserve">لغسçéè </v>
          </cell>
          <cell r="V14">
            <v>45</v>
          </cell>
          <cell r="AA14">
            <v>7</v>
          </cell>
        </row>
        <row r="15">
          <cell r="E15" t="str">
            <v>èçطéآس</v>
          </cell>
          <cell r="F15">
            <v>2045</v>
          </cell>
          <cell r="G15">
            <v>3687</v>
          </cell>
          <cell r="H15">
            <v>4319</v>
          </cell>
          <cell r="I15" t="str">
            <v>هسçرطت çâسبآن</v>
          </cell>
          <cell r="J15">
            <v>11</v>
          </cell>
          <cell r="T15">
            <v>2722</v>
          </cell>
          <cell r="U15" t="str">
            <v>نآهسر ç منè رآس</v>
          </cell>
          <cell r="V15">
            <v>46</v>
          </cell>
          <cell r="AA15">
            <v>8</v>
          </cell>
        </row>
        <row r="16">
          <cell r="C16" t="str">
            <v>çسçر وآتهآه</v>
          </cell>
          <cell r="E16" t="str">
            <v>èçطéآس</v>
          </cell>
          <cell r="F16">
            <v>1809</v>
          </cell>
          <cell r="G16">
            <v>1967</v>
          </cell>
          <cell r="H16">
            <v>4321</v>
          </cell>
          <cell r="I16" t="str">
            <v>آسضوحآو çتçآبق</v>
          </cell>
          <cell r="J16">
            <v>12</v>
          </cell>
          <cell r="T16">
            <v>2634</v>
          </cell>
          <cell r="U16" t="str">
            <v xml:space="preserve">قنآأهسçرطت ç àرآك ç بéسه ç رآسآنهéشآو  </v>
          </cell>
          <cell r="V16">
            <v>47</v>
          </cell>
          <cell r="AA16">
            <v>9</v>
          </cell>
        </row>
        <row r="17">
          <cell r="E17" t="str">
            <v>àآذسé</v>
          </cell>
          <cell r="F17">
            <v>1839</v>
          </cell>
          <cell r="G17">
            <v>1837</v>
          </cell>
          <cell r="H17">
            <v>2523</v>
          </cell>
          <cell r="I17" t="str">
            <v>âآشسçو</v>
          </cell>
          <cell r="J17">
            <v>14</v>
          </cell>
          <cell r="T17">
            <v>4911</v>
          </cell>
          <cell r="U17" t="str">
            <v xml:space="preserve">ءبآرè </v>
          </cell>
          <cell r="V17">
            <v>48</v>
          </cell>
          <cell r="AA17">
            <v>10</v>
          </cell>
        </row>
        <row r="18">
          <cell r="C18" t="str">
            <v>çسçر وآتهآه</v>
          </cell>
          <cell r="E18" t="str">
            <v>àآذسé</v>
          </cell>
          <cell r="F18">
            <v>764</v>
          </cell>
          <cell r="G18">
            <v>764</v>
          </cell>
          <cell r="H18">
            <v>4322</v>
          </cell>
          <cell r="I18" t="str">
            <v>ءبآرè غطâ</v>
          </cell>
          <cell r="J18">
            <v>15</v>
          </cell>
          <cell r="T18">
            <v>4312</v>
          </cell>
          <cell r="U18" t="str">
            <v>رè بéر</v>
          </cell>
          <cell r="V18">
            <v>49</v>
          </cell>
          <cell r="AA18">
            <v>11</v>
          </cell>
        </row>
        <row r="19">
          <cell r="C19" t="str">
            <v>çسçر وآتهآه</v>
          </cell>
          <cell r="E19" t="str">
            <v>لèسهآوé</v>
          </cell>
          <cell r="F19">
            <v>1303</v>
          </cell>
          <cell r="G19">
            <v>1351</v>
          </cell>
          <cell r="H19">
            <v>4311</v>
          </cell>
          <cell r="I19" t="str">
            <v>وهرآو</v>
          </cell>
          <cell r="J19">
            <v>16</v>
          </cell>
          <cell r="T19">
            <v>4333</v>
          </cell>
          <cell r="U19" t="str">
            <v xml:space="preserve">ضسçضتآو </v>
          </cell>
          <cell r="V19">
            <v>50</v>
          </cell>
          <cell r="AA19">
            <v>12</v>
          </cell>
        </row>
        <row r="20">
          <cell r="C20" t="str">
            <v>çسçر وآتهآه</v>
          </cell>
          <cell r="E20" t="str">
            <v>قغآسشآرè</v>
          </cell>
          <cell r="F20">
            <v>394</v>
          </cell>
          <cell r="G20">
            <v>393</v>
          </cell>
          <cell r="H20">
            <v>2737</v>
          </cell>
          <cell r="I20" t="str">
            <v>رسشç ضآéبآو</v>
          </cell>
          <cell r="J20">
            <v>17</v>
          </cell>
          <cell r="T20">
            <v>4332</v>
          </cell>
          <cell r="U20" t="str">
            <v xml:space="preserve">لسè بآك </v>
          </cell>
          <cell r="V20">
            <v>51</v>
          </cell>
          <cell r="AA20">
            <v>13</v>
          </cell>
        </row>
        <row r="21">
          <cell r="E21" t="str">
            <v>قغآسشآرè</v>
          </cell>
          <cell r="F21">
            <v>319</v>
          </cell>
          <cell r="G21">
            <v>318</v>
          </cell>
          <cell r="H21">
            <v>2738</v>
          </cell>
          <cell r="I21" t="str">
            <v>ظدسآé بآك</v>
          </cell>
          <cell r="J21">
            <v>18</v>
          </cell>
          <cell r="T21">
            <v>2614</v>
          </cell>
          <cell r="U21" t="str">
            <v xml:space="preserve">ضéذ ç رآسومçو </v>
          </cell>
          <cell r="V21">
            <v>52</v>
          </cell>
          <cell r="AA21">
            <v>14</v>
          </cell>
        </row>
        <row r="22">
          <cell r="E22" t="str">
            <v>قغآسشآرè</v>
          </cell>
          <cell r="F22">
            <v>341</v>
          </cell>
          <cell r="G22">
            <v>341</v>
          </cell>
          <cell r="H22">
            <v>2731</v>
          </cell>
          <cell r="I22" t="str">
            <v>âèوè çةèوآçè</v>
          </cell>
          <cell r="J22">
            <v>19</v>
          </cell>
          <cell r="T22">
            <v>2510</v>
          </cell>
          <cell r="U22" t="str">
            <v xml:space="preserve">رطت آسصو </v>
          </cell>
          <cell r="V22">
            <v>53</v>
          </cell>
          <cell r="AA22">
            <v>15</v>
          </cell>
        </row>
        <row r="23">
          <cell r="C23" t="str">
            <v>çسçر وآتهآه</v>
          </cell>
          <cell r="E23" t="str">
            <v>قغآسشآرè</v>
          </cell>
          <cell r="F23">
            <v>445</v>
          </cell>
          <cell r="G23">
            <v>339</v>
          </cell>
          <cell r="H23">
            <v>2739</v>
          </cell>
          <cell r="I23" t="str">
            <v>نآس</v>
          </cell>
          <cell r="J23">
            <v>20</v>
          </cell>
          <cell r="T23">
            <v>4313</v>
          </cell>
          <cell r="U23" t="str">
            <v xml:space="preserve">ضسةوéسآو </v>
          </cell>
          <cell r="V23">
            <v>54</v>
          </cell>
          <cell r="AA23" t="str">
            <v>حهق</v>
          </cell>
        </row>
        <row r="24">
          <cell r="C24" t="str">
            <v>çسçر وآتهآه</v>
          </cell>
          <cell r="E24" t="str">
            <v>آهéس قعرé</v>
          </cell>
          <cell r="F24">
            <v>175</v>
          </cell>
          <cell r="G24">
            <v>175</v>
          </cell>
          <cell r="H24">
            <v>2521</v>
          </cell>
          <cell r="I24" t="str">
            <v>رطت بسه</v>
          </cell>
          <cell r="J24">
            <v>21</v>
          </cell>
        </row>
        <row r="25">
          <cell r="E25" t="str">
            <v>آهéس قعرé</v>
          </cell>
          <cell r="F25">
            <v>169</v>
          </cell>
          <cell r="G25">
            <v>171</v>
          </cell>
          <cell r="H25">
            <v>2522</v>
          </cell>
          <cell r="I25" t="str">
            <v>لآ اهéè</v>
          </cell>
          <cell r="J25">
            <v>22</v>
          </cell>
        </row>
        <row r="26">
          <cell r="E26" t="str">
            <v>آهéس قعرé</v>
          </cell>
          <cell r="F26">
            <v>316</v>
          </cell>
          <cell r="G26">
            <v>215</v>
          </cell>
          <cell r="H26">
            <v>2526</v>
          </cell>
          <cell r="I26" t="str">
            <v>ذطت</v>
          </cell>
          <cell r="J26">
            <v>23</v>
          </cell>
        </row>
        <row r="27">
          <cell r="E27" t="str">
            <v>آهéس قعرé</v>
          </cell>
          <cell r="F27">
            <v>11</v>
          </cell>
          <cell r="G27">
            <v>11</v>
          </cell>
          <cell r="H27">
            <v>2536</v>
          </cell>
          <cell r="I27" t="str">
            <v>حسè بآنآرè</v>
          </cell>
          <cell r="J27">
            <v>24</v>
          </cell>
        </row>
        <row r="28">
          <cell r="E28" t="str">
            <v>آهéس قعرé</v>
          </cell>
          <cell r="F28">
            <v>99</v>
          </cell>
          <cell r="G28">
            <v>99</v>
          </cell>
          <cell r="H28">
            <v>2537</v>
          </cell>
          <cell r="I28" t="str">
            <v>رآرéو</v>
          </cell>
          <cell r="J28">
            <v>25</v>
          </cell>
        </row>
        <row r="29">
          <cell r="E29" t="str">
            <v>آهéس قعرé</v>
          </cell>
          <cell r="F29">
            <v>85</v>
          </cell>
          <cell r="G29">
            <v>82</v>
          </cell>
          <cell r="H29">
            <v>2533</v>
          </cell>
          <cell r="I29" t="str">
            <v>بنبنâ çرسçوâ</v>
          </cell>
          <cell r="J29">
            <v>26</v>
          </cell>
        </row>
        <row r="30">
          <cell r="E30" t="str">
            <v>آهéس قعرé</v>
          </cell>
          <cell r="F30">
            <v>9</v>
          </cell>
          <cell r="G30">
            <v>9</v>
          </cell>
          <cell r="H30">
            <v>2525</v>
          </cell>
          <cell r="I30" t="str">
            <v>âهآسح</v>
          </cell>
          <cell r="J30">
            <v>27</v>
          </cell>
        </row>
        <row r="31">
          <cell r="C31" t="str">
            <v>çسçر وآتهآه</v>
          </cell>
          <cell r="E31" t="str">
            <v>آهéس قعرé</v>
          </cell>
          <cell r="F31">
            <v>1137</v>
          </cell>
          <cell r="G31">
            <v>1195</v>
          </cell>
          <cell r="H31">
            <v>4316</v>
          </cell>
          <cell r="I31" t="str">
            <v>ذàسâ ضéرآو</v>
          </cell>
          <cell r="J31">
            <v>28</v>
          </cell>
        </row>
        <row r="32">
          <cell r="C32" t="str">
            <v>çسçر وآتهآه</v>
          </cell>
          <cell r="E32" t="str">
            <v>ءظàé</v>
          </cell>
          <cell r="F32">
            <v>255</v>
          </cell>
          <cell r="G32">
            <v>1195</v>
          </cell>
          <cell r="H32">
            <v>2612</v>
          </cell>
          <cell r="I32" t="str">
            <v>ذغéسé</v>
          </cell>
          <cell r="J32">
            <v>29</v>
          </cell>
        </row>
        <row r="33">
          <cell r="E33" t="str">
            <v>ءظàé</v>
          </cell>
          <cell r="F33">
            <v>221</v>
          </cell>
          <cell r="H33">
            <v>2613</v>
          </cell>
          <cell r="I33" t="str">
            <v>ذآوè ذبéض</v>
          </cell>
          <cell r="J33">
            <v>30</v>
          </cell>
        </row>
        <row r="34">
          <cell r="E34" t="str">
            <v>ءظàé</v>
          </cell>
          <cell r="F34">
            <v>604</v>
          </cell>
          <cell r="G34">
            <v>493</v>
          </cell>
          <cell r="H34">
            <v>4317</v>
          </cell>
          <cell r="I34" t="str">
            <v>ءضةآض</v>
          </cell>
          <cell r="J34">
            <v>31</v>
          </cell>
        </row>
        <row r="35">
          <cell r="E35" t="str">
            <v>ءظàé</v>
          </cell>
          <cell r="F35">
            <v>187</v>
          </cell>
          <cell r="G35">
            <v>187</v>
          </cell>
          <cell r="H35">
            <v>4922</v>
          </cell>
          <cell r="I35" t="str">
            <v>ضسخآèآو</v>
          </cell>
          <cell r="J35">
            <v>32</v>
          </cell>
        </row>
        <row r="36">
          <cell r="E36" t="str">
            <v>ءظàé</v>
          </cell>
          <cell r="F36">
            <v>94</v>
          </cell>
          <cell r="G36">
            <v>94</v>
          </cell>
          <cell r="H36">
            <v>4921</v>
          </cell>
          <cell r="I36" t="str">
            <v>بçآوآت</v>
          </cell>
          <cell r="J36">
            <v>33</v>
          </cell>
        </row>
        <row r="37">
          <cell r="C37" t="str">
            <v>çسçر وآتهآه</v>
          </cell>
          <cell r="E37" t="str">
            <v>ءظàé</v>
          </cell>
          <cell r="F37">
            <v>387</v>
          </cell>
          <cell r="G37">
            <v>393</v>
          </cell>
          <cell r="H37">
            <v>2642</v>
          </cell>
          <cell r="I37" t="str">
            <v>حçéه çبوآسçéè</v>
          </cell>
          <cell r="J37">
            <v>34</v>
          </cell>
        </row>
        <row r="38">
          <cell r="C38" t="str">
            <v>çسçر وآتهآه</v>
          </cell>
          <cell r="E38" t="str">
            <v>حهق âن تآ 76/6/13</v>
          </cell>
          <cell r="F38">
            <v>0</v>
          </cell>
          <cell r="G38">
            <v>2631</v>
          </cell>
          <cell r="H38">
            <v>2631</v>
          </cell>
          <cell r="I38" t="str">
            <v>ضéà ءبآرçنآكس</v>
          </cell>
          <cell r="J38">
            <v>35</v>
          </cell>
        </row>
        <row r="39">
          <cell r="E39" t="str">
            <v>حهق âن تآ 76/6/13</v>
          </cell>
          <cell r="F39">
            <v>19735</v>
          </cell>
          <cell r="G39">
            <v>25208</v>
          </cell>
          <cell r="J39">
            <v>35</v>
          </cell>
        </row>
        <row r="83">
          <cell r="CY83" t="str">
            <v xml:space="preserve">بسوآ هè  èàتمé  çسçر ءهآس ضغد ءب خآ èèآé  هطآ èرè آé  ç ءهآس  هوآبق  ءب  شéس شهéوé </v>
          </cell>
        </row>
        <row r="87">
          <cell r="CY87" t="str">
            <v xml:space="preserve"> آش 15 طèسéçس هآè 1376</v>
          </cell>
        </row>
        <row r="90">
          <cell r="CY90" t="str">
            <v>17.30 تآ 18.45</v>
          </cell>
          <cell r="CZ90" t="str">
            <v>16.15 تآ 17.30</v>
          </cell>
          <cell r="DA90" t="str">
            <v>15 تآ 16.15</v>
          </cell>
          <cell r="DB90" t="str">
            <v xml:space="preserve"> 11 تآ 12</v>
          </cell>
          <cell r="DC90" t="str">
            <v>10  تآ 11</v>
          </cell>
          <cell r="DD90" t="str">
            <v>سçشèآé èàتـè</v>
          </cell>
        </row>
        <row r="91">
          <cell r="CY91" t="str">
            <v>آبسآèéهé</v>
          </cell>
          <cell r="CZ91" t="str">
            <v>حèآومéسé</v>
          </cell>
          <cell r="DA91" t="str">
            <v>آضàورéآسحèسهé</v>
          </cell>
          <cell r="DB91" t="str">
            <v>حèآومéسé</v>
          </cell>
          <cell r="DC91" t="str">
            <v>آضàورéآس حèسهé</v>
          </cell>
          <cell r="DD91" t="str">
            <v>طوبè</v>
          </cell>
        </row>
        <row r="92">
          <cell r="CY92" t="str">
            <v>ءظàé</v>
          </cell>
          <cell r="CZ92" t="str">
            <v>آ هéس قعرé</v>
          </cell>
          <cell r="DA92" t="str">
            <v>قغآسشآرè</v>
          </cell>
          <cell r="DB92" t="str">
            <v>آ هéس قعرé</v>
          </cell>
          <cell r="DC92" t="str">
            <v>ءظàé</v>
          </cell>
          <cell r="DD92" t="str">
            <v>éâ طوبè</v>
          </cell>
        </row>
        <row r="93">
          <cell r="CY93" t="str">
            <v>ءظàé</v>
          </cell>
          <cell r="CZ93" t="str">
            <v>èçطéآس</v>
          </cell>
          <cell r="DA93" t="str">
            <v>àآذسé</v>
          </cell>
          <cell r="DB93" t="str">
            <v>èçطéآس</v>
          </cell>
          <cell r="DC93" t="str">
            <v>طéبآوé</v>
          </cell>
          <cell r="DD93" t="str">
            <v>رç طوبè</v>
          </cell>
        </row>
        <row r="94">
          <cell r="CZ94" t="str">
            <v>èçطéآس</v>
          </cell>
          <cell r="DA94" t="str">
            <v>àآذسé</v>
          </cell>
          <cell r="DB94" t="str">
            <v>قغآسشآرè</v>
          </cell>
          <cell r="DC94" t="str">
            <v>آبسآèéهé</v>
          </cell>
          <cell r="DD94" t="str">
            <v>ضè طوبè</v>
          </cell>
        </row>
        <row r="95">
          <cell r="DB95" t="str">
            <v>قغآسشآرè</v>
          </cell>
          <cell r="DC95" t="str">
            <v>آبسآèéهé</v>
          </cell>
          <cell r="DD95" t="str">
            <v>خèآس طوبè</v>
          </cell>
        </row>
        <row r="96">
          <cell r="CZ96" t="str">
            <v>تــçâــنé</v>
          </cell>
          <cell r="DA96" t="str">
            <v>çسشوــــرè</v>
          </cell>
          <cell r="DB96" t="str">
            <v>çسشوــــرè</v>
          </cell>
          <cell r="DC96" t="str">
            <v>تــçâــنé</v>
          </cell>
          <cell r="DD96" t="str">
            <v>ةوح طوبè</v>
          </cell>
        </row>
        <row r="97">
          <cell r="DB97" t="str">
            <v>çسشوــــرè</v>
          </cell>
          <cell r="DD97" t="str">
            <v>ةوح طوبè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,P"/>
      <sheetName val="IR"/>
      <sheetName val="K"/>
      <sheetName val="chek"/>
      <sheetName val="Ea"/>
      <sheetName val="Soil"/>
      <sheetName val="Help"/>
      <sheetName val="Total(forecast)"/>
      <sheetName val="1"/>
      <sheetName val="2"/>
      <sheetName val="منابع در اختیار منطقه"/>
      <sheetName val="C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ک_ج"/>
      <sheetName val="ک_ش"/>
      <sheetName val="س_پ"/>
      <sheetName val="Att.13"/>
      <sheetName val="تصویب کمیسیون"/>
      <sheetName val="QHM"/>
      <sheetName val="Data1398"/>
      <sheetName val="Result"/>
      <sheetName val="Sheet1"/>
      <sheetName val="Result_13"/>
      <sheetName val="Att.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B2" t="str">
            <v xml:space="preserve">مجموع مساحت سال 1399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"/>
      <sheetName val="TreeQ"/>
      <sheetName val="o"/>
      <sheetName val="Area"/>
      <sheetName val="Analysis"/>
      <sheetName val="Q"/>
      <sheetName val="data-riz"/>
      <sheetName val="data-V"/>
      <sheetName val="Vol-Riz"/>
      <sheetName val="Regions"/>
      <sheetName val="District"/>
    </sheetNames>
    <sheetDataSet>
      <sheetData sheetId="0"/>
      <sheetData sheetId="1"/>
      <sheetData sheetId="2"/>
      <sheetData sheetId="3"/>
      <sheetData sheetId="4">
        <row r="1">
          <cell r="AJ1">
            <v>9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منابع در اختیار منطقه"/>
      <sheetName val="کمربند سبز"/>
      <sheetName val="Sheet1"/>
    </sheetNames>
    <sheetDataSet>
      <sheetData sheetId="0"/>
      <sheetData sheetId="1">
        <row r="4">
          <cell r="V4">
            <v>30</v>
          </cell>
          <cell r="Z4">
            <v>500</v>
          </cell>
          <cell r="AD4">
            <v>50</v>
          </cell>
        </row>
        <row r="5">
          <cell r="V5">
            <v>0</v>
          </cell>
          <cell r="Z5">
            <v>0</v>
          </cell>
          <cell r="AD5">
            <v>0</v>
          </cell>
        </row>
        <row r="6">
          <cell r="V6">
            <v>0</v>
          </cell>
          <cell r="Z6">
            <v>375</v>
          </cell>
          <cell r="AD6">
            <v>0</v>
          </cell>
        </row>
        <row r="7">
          <cell r="V7">
            <v>0</v>
          </cell>
          <cell r="Z7">
            <v>0</v>
          </cell>
          <cell r="AD7">
            <v>0</v>
          </cell>
        </row>
        <row r="8">
          <cell r="V8">
            <v>0</v>
          </cell>
          <cell r="Z8">
            <v>0</v>
          </cell>
          <cell r="AD8">
            <v>0</v>
          </cell>
        </row>
        <row r="9">
          <cell r="V9">
            <v>0</v>
          </cell>
          <cell r="Z9">
            <v>0</v>
          </cell>
          <cell r="AD9">
            <v>0</v>
          </cell>
        </row>
        <row r="10">
          <cell r="V10">
            <v>0</v>
          </cell>
          <cell r="Z10">
            <v>0</v>
          </cell>
          <cell r="AD10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6" Type="http://schemas.openxmlformats.org/officeDocument/2006/relationships/image" Target="../media/image4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3.w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1:AM91"/>
  <sheetViews>
    <sheetView rightToLeft="1" tabSelected="1" zoomScale="70" zoomScaleNormal="70" workbookViewId="0">
      <pane ySplit="4" topLeftCell="A5" activePane="bottomLeft" state="frozen"/>
      <selection activeCell="C1" sqref="C1"/>
      <selection pane="bottomLeft" activeCell="F14" sqref="F14"/>
    </sheetView>
  </sheetViews>
  <sheetFormatPr defaultColWidth="9.1796875" defaultRowHeight="14.5" x14ac:dyDescent="0.35"/>
  <cols>
    <col min="1" max="1" width="3" style="2" customWidth="1"/>
    <col min="2" max="2" width="8.1796875" style="2" customWidth="1"/>
    <col min="3" max="3" width="12" style="2" customWidth="1"/>
    <col min="4" max="5" width="9.81640625" style="2" customWidth="1"/>
    <col min="6" max="6" width="10.54296875" style="2" customWidth="1"/>
    <col min="7" max="7" width="8.54296875" style="2" customWidth="1"/>
    <col min="8" max="8" width="10" style="2" customWidth="1"/>
    <col min="9" max="9" width="14.453125" style="2" customWidth="1"/>
    <col min="10" max="10" width="10.26953125" style="2" customWidth="1"/>
    <col min="11" max="12" width="8.453125" style="2" customWidth="1"/>
    <col min="13" max="13" width="9.7265625" style="2" customWidth="1"/>
    <col min="14" max="14" width="11.81640625" style="2" customWidth="1"/>
    <col min="15" max="15" width="8.26953125" style="2" customWidth="1"/>
    <col min="16" max="16" width="11.26953125" style="2" customWidth="1"/>
    <col min="17" max="17" width="10.54296875" style="2" customWidth="1"/>
    <col min="18" max="18" width="11.54296875" style="2" customWidth="1"/>
    <col min="19" max="20" width="10.54296875" style="2" customWidth="1"/>
    <col min="21" max="21" width="12.7265625" style="2" customWidth="1"/>
    <col min="22" max="22" width="30.1796875" style="2" customWidth="1"/>
    <col min="23" max="23" width="10.54296875" style="2" customWidth="1"/>
    <col min="24" max="27" width="7.26953125" style="2" customWidth="1"/>
    <col min="28" max="28" width="11" style="2" customWidth="1"/>
    <col min="29" max="29" width="10.54296875" style="2" customWidth="1"/>
    <col min="30" max="30" width="16.54296875" style="2" customWidth="1"/>
    <col min="31" max="31" width="9" style="2" customWidth="1"/>
    <col min="32" max="32" width="3.453125" style="2" customWidth="1"/>
    <col min="33" max="33" width="10.54296875" style="2" customWidth="1"/>
    <col min="34" max="34" width="10" style="2" bestFit="1" customWidth="1"/>
    <col min="35" max="35" width="3.26953125" style="2" customWidth="1"/>
    <col min="36" max="36" width="9.453125" style="2" bestFit="1" customWidth="1"/>
    <col min="37" max="37" width="11.453125" style="2" bestFit="1" customWidth="1"/>
    <col min="38" max="38" width="9.453125" style="2" bestFit="1" customWidth="1"/>
    <col min="39" max="16384" width="9.1796875" style="2"/>
  </cols>
  <sheetData>
    <row r="1" spans="2:39" ht="10.5" customHeight="1" x14ac:dyDescent="0.35"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W1" s="158"/>
      <c r="X1" s="158"/>
      <c r="Y1" s="158"/>
      <c r="Z1" s="158"/>
      <c r="AA1" s="158"/>
      <c r="AB1" s="158"/>
      <c r="AC1" s="158"/>
      <c r="AD1" s="158"/>
      <c r="AE1" s="158"/>
    </row>
    <row r="2" spans="2:39" ht="24.75" customHeight="1" x14ac:dyDescent="0.9">
      <c r="B2" s="157"/>
      <c r="C2" s="159" t="s">
        <v>12</v>
      </c>
      <c r="D2" s="158"/>
      <c r="E2" s="158"/>
      <c r="F2" s="158"/>
      <c r="G2" s="157"/>
      <c r="H2" s="157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W2" s="158"/>
      <c r="X2" s="158"/>
      <c r="Y2" s="706">
        <v>0.7</v>
      </c>
      <c r="Z2" s="706">
        <v>0.3</v>
      </c>
      <c r="AA2" s="158"/>
      <c r="AB2" s="158"/>
      <c r="AC2" s="158"/>
      <c r="AD2" s="158"/>
      <c r="AE2" s="158"/>
    </row>
    <row r="3" spans="2:39" ht="24" customHeight="1" x14ac:dyDescent="0.35">
      <c r="B3" s="1091" t="s">
        <v>10</v>
      </c>
      <c r="C3" s="1093" t="s">
        <v>17</v>
      </c>
      <c r="D3" s="1093"/>
      <c r="E3" s="1093"/>
      <c r="F3" s="1093"/>
      <c r="G3" s="1094" t="s">
        <v>19</v>
      </c>
      <c r="H3" s="1096" t="s">
        <v>22</v>
      </c>
      <c r="I3" s="1098" t="s">
        <v>90</v>
      </c>
      <c r="J3" s="1100" t="s">
        <v>8</v>
      </c>
      <c r="K3" s="1101"/>
      <c r="L3" s="1101"/>
      <c r="M3" s="1101"/>
      <c r="N3" s="1101"/>
      <c r="O3" s="1101"/>
      <c r="P3" s="1102"/>
      <c r="Q3" s="1103" t="s">
        <v>15</v>
      </c>
      <c r="R3" s="1104"/>
      <c r="S3" s="1105"/>
      <c r="T3" s="1093" t="s">
        <v>89</v>
      </c>
      <c r="U3" s="1093"/>
      <c r="W3" s="1106" t="s">
        <v>311</v>
      </c>
      <c r="X3" s="1112" t="s">
        <v>302</v>
      </c>
      <c r="Y3" s="1112"/>
      <c r="Z3" s="1112"/>
      <c r="AA3" s="1113"/>
      <c r="AB3" s="1089" t="s">
        <v>310</v>
      </c>
      <c r="AC3" s="132"/>
      <c r="AD3" s="132" t="s">
        <v>24</v>
      </c>
      <c r="AE3" s="132"/>
      <c r="AG3" s="40"/>
      <c r="AH3" s="40"/>
    </row>
    <row r="4" spans="2:39" ht="41.25" customHeight="1" x14ac:dyDescent="0.35">
      <c r="B4" s="1092"/>
      <c r="C4" s="411" t="s">
        <v>21</v>
      </c>
      <c r="D4" s="412" t="s">
        <v>5</v>
      </c>
      <c r="E4" s="412" t="s">
        <v>6</v>
      </c>
      <c r="F4" s="412" t="s">
        <v>23</v>
      </c>
      <c r="G4" s="1095"/>
      <c r="H4" s="1097"/>
      <c r="I4" s="1099"/>
      <c r="J4" s="413" t="s">
        <v>3</v>
      </c>
      <c r="K4" s="414" t="s">
        <v>5</v>
      </c>
      <c r="L4" s="414" t="s">
        <v>6</v>
      </c>
      <c r="M4" s="414" t="s">
        <v>23</v>
      </c>
      <c r="N4" s="429" t="s">
        <v>153</v>
      </c>
      <c r="O4" s="430" t="s">
        <v>88</v>
      </c>
      <c r="P4" s="404" t="s">
        <v>7</v>
      </c>
      <c r="Q4" s="415" t="s">
        <v>13</v>
      </c>
      <c r="R4" s="412" t="s">
        <v>14</v>
      </c>
      <c r="S4" s="416" t="s">
        <v>18</v>
      </c>
      <c r="T4" s="417" t="s">
        <v>1</v>
      </c>
      <c r="U4" s="417" t="s">
        <v>91</v>
      </c>
      <c r="W4" s="1107"/>
      <c r="X4" s="27" t="s">
        <v>152</v>
      </c>
      <c r="Y4" s="27" t="s">
        <v>301</v>
      </c>
      <c r="Z4" s="27" t="s">
        <v>179</v>
      </c>
      <c r="AA4" s="696" t="s">
        <v>303</v>
      </c>
      <c r="AB4" s="1090"/>
      <c r="AC4" s="27" t="s">
        <v>91</v>
      </c>
      <c r="AD4" s="23" t="s">
        <v>25</v>
      </c>
      <c r="AE4" s="142" t="s">
        <v>26</v>
      </c>
      <c r="AG4" s="5" t="str">
        <f>'[5]Total(forecast)'!$AB$2</f>
        <v xml:space="preserve">مجموع مساحت سال 1399 </v>
      </c>
      <c r="AH4" s="5" t="s">
        <v>11</v>
      </c>
      <c r="AL4" s="8"/>
    </row>
    <row r="5" spans="2:39" ht="19.5" customHeight="1" x14ac:dyDescent="0.9">
      <c r="B5" s="157"/>
      <c r="C5" s="159" t="s">
        <v>151</v>
      </c>
      <c r="D5" s="158"/>
      <c r="E5" s="158"/>
      <c r="F5" s="158"/>
      <c r="G5" s="157"/>
      <c r="H5" s="157"/>
      <c r="I5" s="158"/>
      <c r="J5" s="158"/>
      <c r="K5" s="158"/>
      <c r="L5" s="158"/>
      <c r="M5" s="158"/>
      <c r="N5" s="158"/>
      <c r="O5" s="158"/>
      <c r="P5" s="158"/>
      <c r="Q5" s="158"/>
      <c r="R5" s="717">
        <f>HydroM.!K1</f>
        <v>0.23</v>
      </c>
      <c r="S5" s="158"/>
      <c r="T5" s="158"/>
      <c r="U5" s="158"/>
      <c r="W5" s="158"/>
      <c r="X5" s="158"/>
      <c r="Y5" s="158"/>
      <c r="Z5" s="158"/>
      <c r="AA5" s="158"/>
      <c r="AB5" s="158"/>
      <c r="AC5" s="158"/>
      <c r="AD5" s="158"/>
      <c r="AE5" s="158"/>
    </row>
    <row r="6" spans="2:39" s="9" customFormat="1" ht="19.5" customHeight="1" x14ac:dyDescent="0.35">
      <c r="B6" s="126">
        <f t="shared" ref="B6:B18" si="0">B34</f>
        <v>1</v>
      </c>
      <c r="C6" s="408">
        <f>HydroM.!W5</f>
        <v>54.591100000000004</v>
      </c>
      <c r="D6" s="28">
        <f t="shared" ref="D6:F18" si="1">D34</f>
        <v>1.1533</v>
      </c>
      <c r="E6" s="29">
        <f t="shared" si="1"/>
        <v>10.3858</v>
      </c>
      <c r="F6" s="29">
        <f t="shared" si="1"/>
        <v>0</v>
      </c>
      <c r="G6" s="349">
        <v>0.1</v>
      </c>
      <c r="H6" s="350">
        <v>0.05</v>
      </c>
      <c r="I6" s="422">
        <f>SUM(C6:F6)*(1+G6)*(1+H6)</f>
        <v>76.380381000000014</v>
      </c>
      <c r="J6" s="405">
        <f>HydroM.!X5*1000/31/24/3600*1000</f>
        <v>63.245714333532405</v>
      </c>
      <c r="K6" s="29">
        <f t="shared" ref="K6:M13" si="2">D6*$X6</f>
        <v>1.3361387174990598</v>
      </c>
      <c r="L6" s="29">
        <f t="shared" si="2"/>
        <v>12.032315522588863</v>
      </c>
      <c r="M6" s="29">
        <f t="shared" si="2"/>
        <v>0</v>
      </c>
      <c r="N6" s="438">
        <f t="shared" ref="N6:N11" si="3">SUM(J6:M6)*(H6+G6)</f>
        <v>11.49212528604305</v>
      </c>
      <c r="O6" s="431">
        <v>0.05</v>
      </c>
      <c r="P6" s="418">
        <f t="shared" ref="P6:P18" si="4">SUM(J6:M6)*(1+H6)*(1+O6)*(1+G6)</f>
        <v>92.913832937658057</v>
      </c>
      <c r="Q6" s="180">
        <f>P6*3600*24*31/1000/1000</f>
        <v>248.86041014022337</v>
      </c>
      <c r="R6" s="182">
        <f t="shared" ref="R6:R23" si="5">Q6/$R$5</f>
        <v>1082.0017832183623</v>
      </c>
      <c r="S6" s="150">
        <f t="shared" ref="S6:S18" si="6">S34</f>
        <v>0.23331162648683307</v>
      </c>
      <c r="T6" s="346">
        <f t="shared" ref="T6:T18" si="7">P6/I6</f>
        <v>1.216462024949287</v>
      </c>
      <c r="U6" s="356">
        <f t="shared" ref="U6:U18" si="8">R6*1000/I6</f>
        <v>14165.96472880074</v>
      </c>
      <c r="W6" s="38"/>
      <c r="X6" s="345">
        <f>HydroM.!Z5</f>
        <v>1.1585352618564639</v>
      </c>
      <c r="Y6" s="630"/>
      <c r="Z6" s="630"/>
      <c r="AA6" s="697"/>
      <c r="AB6" s="704">
        <f t="shared" ref="AB6:AB24" si="9">J6*3600*24*31/1000/1000</f>
        <v>169.39732127093316</v>
      </c>
      <c r="AC6" s="38">
        <f t="shared" ref="AC6:AC17" si="10">R6*1000*(1-O6)/I6</f>
        <v>13457.666492360702</v>
      </c>
      <c r="AD6" s="42">
        <v>23.8</v>
      </c>
      <c r="AE6" s="43"/>
      <c r="AG6" s="172">
        <v>424230</v>
      </c>
      <c r="AH6" s="173">
        <v>19688.197138905096</v>
      </c>
      <c r="AJ6" s="10" t="e">
        <f>(AG6/10000)-#REF!+AE6</f>
        <v>#REF!</v>
      </c>
      <c r="AK6" s="10" t="e">
        <f>(AH6)-#REF!</f>
        <v>#REF!</v>
      </c>
      <c r="AL6" s="351" t="e">
        <f>#REF!-I6</f>
        <v>#REF!</v>
      </c>
      <c r="AM6" s="351" t="e">
        <f>#REF!-P6</f>
        <v>#REF!</v>
      </c>
    </row>
    <row r="7" spans="2:39" s="9" customFormat="1" ht="19.5" customHeight="1" x14ac:dyDescent="0.35">
      <c r="B7" s="125">
        <f t="shared" si="0"/>
        <v>2</v>
      </c>
      <c r="C7" s="409">
        <f>HydroM.!W6</f>
        <v>142.60639999999998</v>
      </c>
      <c r="D7" s="30">
        <f t="shared" si="1"/>
        <v>30</v>
      </c>
      <c r="E7" s="31">
        <f t="shared" si="1"/>
        <v>115.27416419999899</v>
      </c>
      <c r="F7" s="31">
        <f t="shared" si="1"/>
        <v>0</v>
      </c>
      <c r="G7" s="34">
        <f t="shared" ref="G7:H18" si="11">G6</f>
        <v>0.1</v>
      </c>
      <c r="H7" s="35">
        <f>H6</f>
        <v>0.05</v>
      </c>
      <c r="I7" s="423">
        <f t="shared" ref="I7:I22" si="12">SUM(C7:F7)*(1+G7)*(1+H7)</f>
        <v>332.50205165099885</v>
      </c>
      <c r="J7" s="406">
        <f>HydroM.!X6*1000/31/24/3600*1000</f>
        <v>140.66792027244301</v>
      </c>
      <c r="K7" s="31">
        <f t="shared" si="2"/>
        <v>29.592203492783575</v>
      </c>
      <c r="L7" s="156">
        <f t="shared" si="2"/>
        <v>113.70721748223059</v>
      </c>
      <c r="M7" s="31">
        <f t="shared" si="2"/>
        <v>0</v>
      </c>
      <c r="N7" s="439">
        <f t="shared" si="3"/>
        <v>42.59510118711858</v>
      </c>
      <c r="O7" s="432">
        <f t="shared" ref="O7:O18" si="13">O6</f>
        <v>0.05</v>
      </c>
      <c r="P7" s="419">
        <f t="shared" si="4"/>
        <v>344.38139309785373</v>
      </c>
      <c r="Q7" s="179">
        <f t="shared" ref="Q7:Q23" si="14">P7*3600*24*31/1000/1000</f>
        <v>922.39112327329144</v>
      </c>
      <c r="R7" s="181">
        <f t="shared" si="5"/>
        <v>4010.3961881447453</v>
      </c>
      <c r="S7" s="149">
        <f t="shared" si="6"/>
        <v>0.23069006029358075</v>
      </c>
      <c r="T7" s="345">
        <f t="shared" si="7"/>
        <v>1.0357271222474251</v>
      </c>
      <c r="U7" s="355">
        <f t="shared" si="8"/>
        <v>12061.267496641318</v>
      </c>
      <c r="W7" s="38"/>
      <c r="X7" s="345">
        <f>HydroM.!Z6</f>
        <v>0.98640678309278584</v>
      </c>
      <c r="Y7" s="630"/>
      <c r="Z7" s="630"/>
      <c r="AA7" s="697"/>
      <c r="AB7" s="704">
        <f t="shared" si="9"/>
        <v>376.76495765771142</v>
      </c>
      <c r="AC7" s="38">
        <f t="shared" si="10"/>
        <v>11458.204121809253</v>
      </c>
      <c r="AD7" s="41">
        <v>180.83484519999899</v>
      </c>
      <c r="AE7" s="43"/>
      <c r="AG7" s="174">
        <v>1290044</v>
      </c>
      <c r="AH7" s="175">
        <v>15184.222112845862</v>
      </c>
      <c r="AJ7" s="45" t="e">
        <f>(AG7/10000)-#REF!+AE7</f>
        <v>#REF!</v>
      </c>
      <c r="AK7" s="10" t="e">
        <f>(AH7)-#REF!</f>
        <v>#REF!</v>
      </c>
      <c r="AL7" s="351" t="e">
        <f>#REF!-I7</f>
        <v>#REF!</v>
      </c>
      <c r="AM7" s="351" t="e">
        <f>#REF!-P7</f>
        <v>#REF!</v>
      </c>
    </row>
    <row r="8" spans="2:39" s="9" customFormat="1" ht="19.5" customHeight="1" x14ac:dyDescent="0.35">
      <c r="B8" s="125">
        <f t="shared" si="0"/>
        <v>3</v>
      </c>
      <c r="C8" s="409">
        <f>HydroM.!W7</f>
        <v>110.974</v>
      </c>
      <c r="D8" s="30">
        <f t="shared" si="1"/>
        <v>0</v>
      </c>
      <c r="E8" s="31">
        <f t="shared" si="1"/>
        <v>147.7848628313503</v>
      </c>
      <c r="F8" s="31">
        <f>F36</f>
        <v>10</v>
      </c>
      <c r="G8" s="34">
        <f t="shared" si="11"/>
        <v>0.1</v>
      </c>
      <c r="H8" s="35">
        <f t="shared" si="11"/>
        <v>0.05</v>
      </c>
      <c r="I8" s="423">
        <f t="shared" si="12"/>
        <v>310.41648657020966</v>
      </c>
      <c r="J8" s="406">
        <f>HydroM.!X7*1000/31/24/3600*1000</f>
        <v>113.18458745773961</v>
      </c>
      <c r="K8" s="31">
        <f t="shared" si="2"/>
        <v>0</v>
      </c>
      <c r="L8" s="31">
        <f t="shared" si="2"/>
        <v>150.72871782638299</v>
      </c>
      <c r="M8" s="31">
        <f t="shared" si="2"/>
        <v>10.199198682370614</v>
      </c>
      <c r="N8" s="439">
        <f t="shared" si="3"/>
        <v>41.116875594973983</v>
      </c>
      <c r="O8" s="432">
        <f t="shared" si="13"/>
        <v>0.05</v>
      </c>
      <c r="P8" s="419">
        <f t="shared" si="4"/>
        <v>332.42993918536473</v>
      </c>
      <c r="Q8" s="179">
        <f t="shared" si="14"/>
        <v>890.3803491140809</v>
      </c>
      <c r="R8" s="181">
        <f t="shared" si="5"/>
        <v>3871.2189091916557</v>
      </c>
      <c r="S8" s="149">
        <f t="shared" si="6"/>
        <v>0.2297858923097244</v>
      </c>
      <c r="T8" s="345">
        <f t="shared" si="7"/>
        <v>1.0709158616489143</v>
      </c>
      <c r="U8" s="355">
        <f t="shared" si="8"/>
        <v>12471.048016697618</v>
      </c>
      <c r="W8" s="38"/>
      <c r="X8" s="345">
        <f>HydroM.!Z7</f>
        <v>1.0199198682370614</v>
      </c>
      <c r="Y8" s="630"/>
      <c r="Z8" s="630"/>
      <c r="AA8" s="697"/>
      <c r="AB8" s="704">
        <f t="shared" si="9"/>
        <v>303.15359904680975</v>
      </c>
      <c r="AC8" s="38">
        <f t="shared" si="10"/>
        <v>11847.495615862737</v>
      </c>
      <c r="AD8" s="42">
        <v>271.3</v>
      </c>
      <c r="AE8" s="43"/>
      <c r="AG8" s="174">
        <v>1036659</v>
      </c>
      <c r="AH8" s="175">
        <v>14878.665028822257</v>
      </c>
      <c r="AJ8" s="10" t="e">
        <f>(AG8/10000)-#REF!+AE8</f>
        <v>#REF!</v>
      </c>
      <c r="AK8" s="10" t="e">
        <f>(AH8)-#REF!</f>
        <v>#REF!</v>
      </c>
      <c r="AL8" s="351" t="e">
        <f>#REF!-I8</f>
        <v>#REF!</v>
      </c>
      <c r="AM8" s="351" t="e">
        <f>#REF!-P8</f>
        <v>#REF!</v>
      </c>
    </row>
    <row r="9" spans="2:39" s="9" customFormat="1" ht="19.5" customHeight="1" x14ac:dyDescent="0.35">
      <c r="B9" s="127">
        <f t="shared" si="0"/>
        <v>4</v>
      </c>
      <c r="C9" s="410">
        <f>HydroM.!W8</f>
        <v>67.195999999999998</v>
      </c>
      <c r="D9" s="51">
        <f t="shared" si="1"/>
        <v>13.375275</v>
      </c>
      <c r="E9" s="54">
        <f t="shared" si="1"/>
        <v>67.01360003998586</v>
      </c>
      <c r="F9" s="54">
        <f t="shared" si="1"/>
        <v>0</v>
      </c>
      <c r="G9" s="52">
        <f t="shared" si="11"/>
        <v>0.1</v>
      </c>
      <c r="H9" s="53">
        <f t="shared" si="11"/>
        <v>0.05</v>
      </c>
      <c r="I9" s="424">
        <f t="shared" si="12"/>
        <v>170.46053067118368</v>
      </c>
      <c r="J9" s="407">
        <f>HydroM.!X8*1000/31/24/3600*1000</f>
        <v>65.710575922216208</v>
      </c>
      <c r="K9" s="54">
        <f t="shared" si="2"/>
        <v>13.079603300315801</v>
      </c>
      <c r="L9" s="54">
        <f t="shared" si="2"/>
        <v>65.532208066678422</v>
      </c>
      <c r="M9" s="54">
        <f t="shared" si="2"/>
        <v>0</v>
      </c>
      <c r="N9" s="441">
        <f t="shared" si="3"/>
        <v>21.648358093381571</v>
      </c>
      <c r="O9" s="435">
        <f t="shared" si="13"/>
        <v>0.05</v>
      </c>
      <c r="P9" s="420">
        <f t="shared" si="4"/>
        <v>175.02697518498996</v>
      </c>
      <c r="Q9" s="353">
        <f>P9*3600*24*31/1000/1000</f>
        <v>468.79225033547704</v>
      </c>
      <c r="R9" s="354">
        <f t="shared" si="5"/>
        <v>2038.2271753716393</v>
      </c>
      <c r="S9" s="151">
        <f t="shared" si="6"/>
        <v>0.22871257364973213</v>
      </c>
      <c r="T9" s="347">
        <f t="shared" si="7"/>
        <v>1.0267888671695791</v>
      </c>
      <c r="U9" s="357">
        <f t="shared" si="8"/>
        <v>11957.179573160869</v>
      </c>
      <c r="W9" s="38"/>
      <c r="X9" s="345">
        <f>HydroM.!Z8</f>
        <v>0.97789415920912293</v>
      </c>
      <c r="Y9" s="630"/>
      <c r="Z9" s="630"/>
      <c r="AA9" s="697"/>
      <c r="AB9" s="704">
        <f t="shared" si="9"/>
        <v>175.99920655006392</v>
      </c>
      <c r="AC9" s="38">
        <f t="shared" si="10"/>
        <v>11359.320594502824</v>
      </c>
      <c r="AD9" s="42">
        <v>117.5</v>
      </c>
      <c r="AE9" s="43"/>
      <c r="AG9" s="174">
        <v>516710</v>
      </c>
      <c r="AH9" s="175">
        <v>17309.179961631362</v>
      </c>
      <c r="AJ9" s="10" t="e">
        <f>(AG9/10000)-#REF!+AE9</f>
        <v>#REF!</v>
      </c>
      <c r="AK9" s="10" t="e">
        <f>(AH9)-#REF!</f>
        <v>#REF!</v>
      </c>
      <c r="AL9" s="351" t="e">
        <f>#REF!-I9</f>
        <v>#REF!</v>
      </c>
      <c r="AM9" s="351" t="e">
        <f>#REF!-P9</f>
        <v>#REF!</v>
      </c>
    </row>
    <row r="10" spans="2:39" s="9" customFormat="1" ht="19.5" customHeight="1" x14ac:dyDescent="0.35">
      <c r="B10" s="126">
        <f t="shared" si="0"/>
        <v>5</v>
      </c>
      <c r="C10" s="408">
        <f>HydroM.!W9</f>
        <v>73.179300000000012</v>
      </c>
      <c r="D10" s="46">
        <f t="shared" si="1"/>
        <v>81.644000000000005</v>
      </c>
      <c r="E10" s="47">
        <f t="shared" si="1"/>
        <v>47.1736</v>
      </c>
      <c r="F10" s="47">
        <f t="shared" si="1"/>
        <v>23.8</v>
      </c>
      <c r="G10" s="32">
        <f t="shared" si="11"/>
        <v>0.1</v>
      </c>
      <c r="H10" s="33">
        <f t="shared" si="11"/>
        <v>0.05</v>
      </c>
      <c r="I10" s="422">
        <f t="shared" si="12"/>
        <v>260.79541950000004</v>
      </c>
      <c r="J10" s="405">
        <f>HydroM.!X9*1000/31/24/3600*1000</f>
        <v>66.019845545551888</v>
      </c>
      <c r="K10" s="47">
        <f t="shared" si="2"/>
        <v>73.656406520983907</v>
      </c>
      <c r="L10" s="47">
        <f t="shared" si="2"/>
        <v>42.558398151220985</v>
      </c>
      <c r="M10" s="47">
        <f t="shared" si="2"/>
        <v>21.471540777024849</v>
      </c>
      <c r="N10" s="440">
        <f t="shared" si="3"/>
        <v>30.555928649217247</v>
      </c>
      <c r="O10" s="433">
        <f t="shared" si="13"/>
        <v>0.05</v>
      </c>
      <c r="P10" s="418">
        <f t="shared" si="4"/>
        <v>247.04468312892146</v>
      </c>
      <c r="Q10" s="180">
        <f t="shared" si="14"/>
        <v>661.68447929250328</v>
      </c>
      <c r="R10" s="182">
        <f t="shared" si="5"/>
        <v>2876.8890404021881</v>
      </c>
      <c r="S10" s="150">
        <f t="shared" si="6"/>
        <v>0.2305010560239647</v>
      </c>
      <c r="T10" s="346">
        <f t="shared" si="7"/>
        <v>0.94727385780992002</v>
      </c>
      <c r="U10" s="356">
        <f t="shared" si="8"/>
        <v>11031.210003296042</v>
      </c>
      <c r="W10" s="48"/>
      <c r="X10" s="346">
        <f>HydroM.!Z9</f>
        <v>0.90216557886659032</v>
      </c>
      <c r="Y10" s="631"/>
      <c r="Z10" s="631"/>
      <c r="AA10" s="698"/>
      <c r="AB10" s="705">
        <f t="shared" si="9"/>
        <v>176.82755430920616</v>
      </c>
      <c r="AC10" s="48">
        <f t="shared" si="10"/>
        <v>10479.649503131239</v>
      </c>
      <c r="AD10" s="49">
        <v>96</v>
      </c>
      <c r="AE10" s="50"/>
      <c r="AG10" s="174">
        <v>452492</v>
      </c>
      <c r="AH10" s="175">
        <v>20353.95501845314</v>
      </c>
      <c r="AJ10" s="10" t="e">
        <f>(AG10/10000)-#REF!+AE10</f>
        <v>#REF!</v>
      </c>
      <c r="AK10" s="10" t="e">
        <f>(AH10)-#REF!</f>
        <v>#REF!</v>
      </c>
      <c r="AL10" s="351" t="e">
        <f>#REF!-I10</f>
        <v>#REF!</v>
      </c>
      <c r="AM10" s="351" t="e">
        <f>#REF!-P10</f>
        <v>#REF!</v>
      </c>
    </row>
    <row r="11" spans="2:39" s="9" customFormat="1" ht="19.5" customHeight="1" x14ac:dyDescent="0.35">
      <c r="B11" s="125">
        <f t="shared" si="0"/>
        <v>6</v>
      </c>
      <c r="C11" s="409">
        <f>HydroM.!W10</f>
        <v>89.3827</v>
      </c>
      <c r="D11" s="30">
        <f t="shared" si="1"/>
        <v>5.6</v>
      </c>
      <c r="E11" s="31">
        <f t="shared" si="1"/>
        <v>150.22808941892904</v>
      </c>
      <c r="F11" s="31">
        <f t="shared" si="1"/>
        <v>0</v>
      </c>
      <c r="G11" s="36">
        <f t="shared" si="11"/>
        <v>0.1</v>
      </c>
      <c r="H11" s="37">
        <f t="shared" si="11"/>
        <v>0.05</v>
      </c>
      <c r="I11" s="423">
        <f t="shared" si="12"/>
        <v>283.21846177886312</v>
      </c>
      <c r="J11" s="406">
        <f>HydroM.!X10*1000/31/24/3600*1000</f>
        <v>96.054449544147289</v>
      </c>
      <c r="K11" s="31">
        <f t="shared" si="2"/>
        <v>6.0179980851688812</v>
      </c>
      <c r="L11" s="31">
        <f t="shared" si="2"/>
        <v>161.44149186815974</v>
      </c>
      <c r="M11" s="31">
        <f t="shared" si="2"/>
        <v>0</v>
      </c>
      <c r="N11" s="439">
        <f t="shared" si="3"/>
        <v>39.52709092462139</v>
      </c>
      <c r="O11" s="434">
        <f t="shared" si="13"/>
        <v>0.05</v>
      </c>
      <c r="P11" s="419">
        <f t="shared" si="4"/>
        <v>319.57653012556398</v>
      </c>
      <c r="Q11" s="179">
        <f t="shared" si="14"/>
        <v>855.95377828831067</v>
      </c>
      <c r="R11" s="181">
        <f t="shared" si="5"/>
        <v>3721.5381664709157</v>
      </c>
      <c r="S11" s="149">
        <f t="shared" si="6"/>
        <v>0.22870888945130086</v>
      </c>
      <c r="T11" s="345">
        <f t="shared" si="7"/>
        <v>1.1283746409691655</v>
      </c>
      <c r="U11" s="355">
        <f t="shared" si="8"/>
        <v>13140.167992920926</v>
      </c>
      <c r="W11" s="38"/>
      <c r="X11" s="345">
        <f>HydroM.!Z10</f>
        <v>1.0746425152087289</v>
      </c>
      <c r="Y11" s="630">
        <v>0.90563869674208608</v>
      </c>
      <c r="Z11" s="630">
        <v>1.4135314177599241</v>
      </c>
      <c r="AA11" s="697">
        <v>0.20284312006491648</v>
      </c>
      <c r="AB11" s="705">
        <f t="shared" si="9"/>
        <v>257.27223765904415</v>
      </c>
      <c r="AC11" s="38">
        <f t="shared" si="10"/>
        <v>12483.159593274879</v>
      </c>
      <c r="AD11" s="42">
        <v>187.6</v>
      </c>
      <c r="AE11" s="43"/>
      <c r="AG11" s="174">
        <v>784996</v>
      </c>
      <c r="AH11" s="175">
        <v>16722.497667630407</v>
      </c>
      <c r="AJ11" s="10" t="e">
        <f>(AG11/10000)-#REF!+AE11</f>
        <v>#REF!</v>
      </c>
      <c r="AK11" s="10" t="e">
        <f>(AH11)-#REF!</f>
        <v>#REF!</v>
      </c>
      <c r="AL11" s="351" t="e">
        <f>#REF!-I11</f>
        <v>#REF!</v>
      </c>
      <c r="AM11" s="351" t="e">
        <f>#REF!-P11</f>
        <v>#REF!</v>
      </c>
    </row>
    <row r="12" spans="2:39" s="9" customFormat="1" ht="19.5" customHeight="1" x14ac:dyDescent="0.35">
      <c r="B12" s="125">
        <f t="shared" si="0"/>
        <v>7</v>
      </c>
      <c r="C12" s="409">
        <f>HydroM.!W11</f>
        <v>527.73967999999991</v>
      </c>
      <c r="D12" s="30">
        <f t="shared" si="1"/>
        <v>0</v>
      </c>
      <c r="E12" s="31">
        <f t="shared" si="1"/>
        <v>285.43950580184759</v>
      </c>
      <c r="F12" s="31">
        <f t="shared" si="1"/>
        <v>0</v>
      </c>
      <c r="G12" s="34">
        <f t="shared" si="11"/>
        <v>0.1</v>
      </c>
      <c r="H12" s="35">
        <f t="shared" si="11"/>
        <v>0.05</v>
      </c>
      <c r="I12" s="423">
        <f t="shared" si="12"/>
        <v>939.22195960113402</v>
      </c>
      <c r="J12" s="406">
        <f>HydroM.!X11*1000/31/24/3600*1000</f>
        <v>320.79474833661266</v>
      </c>
      <c r="K12" s="31">
        <f t="shared" si="2"/>
        <v>0</v>
      </c>
      <c r="L12" s="31">
        <f t="shared" si="2"/>
        <v>173.50883001450791</v>
      </c>
      <c r="M12" s="31">
        <f t="shared" si="2"/>
        <v>0</v>
      </c>
      <c r="N12" s="439">
        <f>SUM(J12:M12)*(H12+G12)</f>
        <v>74.145536752668093</v>
      </c>
      <c r="O12" s="432">
        <f t="shared" si="13"/>
        <v>0.05</v>
      </c>
      <c r="P12" s="419">
        <f t="shared" si="4"/>
        <v>599.46666464532154</v>
      </c>
      <c r="Q12" s="179">
        <f t="shared" si="14"/>
        <v>1605.6115145860294</v>
      </c>
      <c r="R12" s="181">
        <f t="shared" si="5"/>
        <v>6980.9196286349106</v>
      </c>
      <c r="S12" s="149">
        <f t="shared" si="6"/>
        <v>0.23620973064907808</v>
      </c>
      <c r="T12" s="345">
        <f t="shared" si="7"/>
        <v>0.63825878272682346</v>
      </c>
      <c r="U12" s="355">
        <f t="shared" si="8"/>
        <v>7432.6622767631488</v>
      </c>
      <c r="W12" s="38"/>
      <c r="X12" s="345">
        <f>HydroM.!Z11</f>
        <v>0.60786550735887945</v>
      </c>
      <c r="Y12" s="630"/>
      <c r="Z12" s="630"/>
      <c r="AA12" s="697"/>
      <c r="AB12" s="705">
        <f t="shared" si="9"/>
        <v>859.21665394478339</v>
      </c>
      <c r="AC12" s="38">
        <f t="shared" si="10"/>
        <v>7061.0291629249914</v>
      </c>
      <c r="AD12" s="42">
        <v>601.6</v>
      </c>
      <c r="AE12" s="43"/>
      <c r="AG12" s="174">
        <v>4523250</v>
      </c>
      <c r="AH12" s="175">
        <v>6122.5543536037876</v>
      </c>
      <c r="AJ12" s="44" t="e">
        <f>(AG12/10000)-#REF!+AE12</f>
        <v>#REF!</v>
      </c>
      <c r="AK12" s="10" t="e">
        <f>(AH12)-#REF!</f>
        <v>#REF!</v>
      </c>
      <c r="AL12" s="351" t="e">
        <f>#REF!-I12</f>
        <v>#REF!</v>
      </c>
      <c r="AM12" s="351" t="e">
        <f>#REF!-P12</f>
        <v>#REF!</v>
      </c>
    </row>
    <row r="13" spans="2:39" s="12" customFormat="1" ht="19.5" customHeight="1" x14ac:dyDescent="0.35">
      <c r="B13" s="127">
        <f t="shared" si="0"/>
        <v>8</v>
      </c>
      <c r="C13" s="410">
        <f>HydroM.!W12</f>
        <v>105.15430000000001</v>
      </c>
      <c r="D13" s="51">
        <f t="shared" si="1"/>
        <v>0</v>
      </c>
      <c r="E13" s="54">
        <f t="shared" si="1"/>
        <v>79.388787695034168</v>
      </c>
      <c r="F13" s="54">
        <f t="shared" si="1"/>
        <v>0</v>
      </c>
      <c r="G13" s="52">
        <f t="shared" si="11"/>
        <v>0.1</v>
      </c>
      <c r="H13" s="53">
        <f t="shared" si="11"/>
        <v>0.05</v>
      </c>
      <c r="I13" s="424">
        <f t="shared" si="12"/>
        <v>213.14726628776447</v>
      </c>
      <c r="J13" s="407">
        <f>HydroM.!X12*1000/31/24/3600*1000</f>
        <v>81.523423898351979</v>
      </c>
      <c r="K13" s="54">
        <f t="shared" si="2"/>
        <v>0</v>
      </c>
      <c r="L13" s="54">
        <f t="shared" si="2"/>
        <v>61.548084976444528</v>
      </c>
      <c r="M13" s="54">
        <f t="shared" si="2"/>
        <v>0</v>
      </c>
      <c r="N13" s="441">
        <f t="shared" ref="N13:N18" si="15">SUM(J13:M13)*(H13+G13)</f>
        <v>21.46072633121948</v>
      </c>
      <c r="O13" s="435">
        <f t="shared" si="13"/>
        <v>0.05</v>
      </c>
      <c r="P13" s="420">
        <f t="shared" si="4"/>
        <v>173.5099723879095</v>
      </c>
      <c r="Q13" s="353">
        <f t="shared" si="14"/>
        <v>464.72911004377676</v>
      </c>
      <c r="R13" s="354">
        <f t="shared" si="5"/>
        <v>2020.5613480164207</v>
      </c>
      <c r="S13" s="151">
        <f t="shared" si="6"/>
        <v>0.23318937701237816</v>
      </c>
      <c r="T13" s="347">
        <f t="shared" si="7"/>
        <v>0.81403799077422034</v>
      </c>
      <c r="U13" s="357">
        <f t="shared" si="8"/>
        <v>9479.6493673463974</v>
      </c>
      <c r="W13" s="55"/>
      <c r="X13" s="347">
        <f>HydroM.!Z12</f>
        <v>0.7752742769278288</v>
      </c>
      <c r="Y13" s="632"/>
      <c r="Z13" s="632"/>
      <c r="AA13" s="699"/>
      <c r="AB13" s="705">
        <f t="shared" si="9"/>
        <v>218.35233856934593</v>
      </c>
      <c r="AC13" s="55">
        <f t="shared" si="10"/>
        <v>9005.6668989790778</v>
      </c>
      <c r="AD13" s="56">
        <v>283.5</v>
      </c>
      <c r="AE13" s="57"/>
      <c r="AG13" s="174">
        <v>1119727</v>
      </c>
      <c r="AH13" s="175">
        <v>8814.2902563960324</v>
      </c>
      <c r="AJ13" s="10" t="e">
        <f>(AG13/10000)-#REF!+AE13</f>
        <v>#REF!</v>
      </c>
      <c r="AK13" s="10" t="e">
        <f>(AH13)-#REF!</f>
        <v>#REF!</v>
      </c>
      <c r="AL13" s="351" t="e">
        <f>#REF!-I13</f>
        <v>#REF!</v>
      </c>
      <c r="AM13" s="351" t="e">
        <f>#REF!-P13</f>
        <v>#REF!</v>
      </c>
    </row>
    <row r="14" spans="2:39" s="12" customFormat="1" ht="19.5" customHeight="1" x14ac:dyDescent="0.35">
      <c r="B14" s="126">
        <f t="shared" si="0"/>
        <v>9</v>
      </c>
      <c r="C14" s="408">
        <f>HydroM.!W13</f>
        <v>324.26009999999997</v>
      </c>
      <c r="D14" s="46">
        <f t="shared" si="1"/>
        <v>0</v>
      </c>
      <c r="E14" s="47">
        <f t="shared" si="1"/>
        <v>363.69600000000003</v>
      </c>
      <c r="F14" s="47">
        <f t="shared" si="1"/>
        <v>0</v>
      </c>
      <c r="G14" s="58">
        <f t="shared" si="11"/>
        <v>0.1</v>
      </c>
      <c r="H14" s="59">
        <f t="shared" si="11"/>
        <v>0.05</v>
      </c>
      <c r="I14" s="422">
        <f t="shared" si="12"/>
        <v>794.58929550000005</v>
      </c>
      <c r="J14" s="405">
        <f>HydroM.!X13*1000/31/24/3600*1000</f>
        <v>238.3887061131644</v>
      </c>
      <c r="K14" s="47">
        <f t="shared" ref="K14:K23" si="16">D14*$X14</f>
        <v>0</v>
      </c>
      <c r="L14" s="152">
        <f>E14*($AA14+Z14)/2</f>
        <v>219.49356410399994</v>
      </c>
      <c r="M14" s="47">
        <f t="shared" ref="M14:M23" si="17">F14*$X14</f>
        <v>0</v>
      </c>
      <c r="N14" s="440">
        <f>SUM(J14:M14)*(H14+G14)</f>
        <v>68.682340532574656</v>
      </c>
      <c r="O14" s="436">
        <f t="shared" si="13"/>
        <v>0.05</v>
      </c>
      <c r="P14" s="418">
        <f t="shared" si="4"/>
        <v>555.2967232058661</v>
      </c>
      <c r="Q14" s="180">
        <f t="shared" si="14"/>
        <v>1487.3067434345917</v>
      </c>
      <c r="R14" s="182">
        <f t="shared" si="5"/>
        <v>6466.5510584112681</v>
      </c>
      <c r="S14" s="150">
        <f t="shared" si="6"/>
        <v>0.23221308672578037</v>
      </c>
      <c r="T14" s="346">
        <f t="shared" si="7"/>
        <v>0.69884747548284343</v>
      </c>
      <c r="U14" s="356">
        <f t="shared" si="8"/>
        <v>8138.2307753619471</v>
      </c>
      <c r="W14" s="48"/>
      <c r="X14" s="346">
        <f>HydroM.!Z13</f>
        <v>0.7351774273589764</v>
      </c>
      <c r="Y14" s="693">
        <v>1.3661977542344972</v>
      </c>
      <c r="Z14" s="693">
        <v>0.98427729467004854</v>
      </c>
      <c r="AA14" s="700">
        <v>0.22273935717104903</v>
      </c>
      <c r="AB14" s="705">
        <f t="shared" si="9"/>
        <v>638.50031045349942</v>
      </c>
      <c r="AC14" s="48">
        <f t="shared" si="10"/>
        <v>7731.3192365938485</v>
      </c>
      <c r="AD14" s="49">
        <v>1018.5</v>
      </c>
      <c r="AE14" s="50"/>
      <c r="AG14" s="174">
        <v>4185880</v>
      </c>
      <c r="AH14" s="175">
        <v>8482.2215550271558</v>
      </c>
      <c r="AJ14" s="45" t="e">
        <f>(AG14/10000)-#REF!+AE14</f>
        <v>#REF!</v>
      </c>
      <c r="AK14" s="10" t="e">
        <f>(AH14)-#REF!</f>
        <v>#REF!</v>
      </c>
      <c r="AL14" s="351" t="e">
        <f>#REF!-I14</f>
        <v>#REF!</v>
      </c>
      <c r="AM14" s="351" t="e">
        <f>#REF!-P14</f>
        <v>#REF!</v>
      </c>
    </row>
    <row r="15" spans="2:39" s="12" customFormat="1" ht="19.5" customHeight="1" x14ac:dyDescent="0.35">
      <c r="B15" s="125">
        <f t="shared" si="0"/>
        <v>10</v>
      </c>
      <c r="C15" s="409">
        <f>HydroM.!W14</f>
        <v>189.87299999999999</v>
      </c>
      <c r="D15" s="30">
        <f t="shared" si="1"/>
        <v>0</v>
      </c>
      <c r="E15" s="31">
        <f t="shared" si="1"/>
        <v>39.023783849653412</v>
      </c>
      <c r="F15" s="31">
        <f t="shared" si="1"/>
        <v>0</v>
      </c>
      <c r="G15" s="34">
        <f t="shared" si="11"/>
        <v>0.1</v>
      </c>
      <c r="H15" s="35">
        <f t="shared" si="11"/>
        <v>0.05</v>
      </c>
      <c r="I15" s="423">
        <f t="shared" si="12"/>
        <v>264.37578534634969</v>
      </c>
      <c r="J15" s="406">
        <f>HydroM.!X14*1000/31/24/3600*1000</f>
        <v>167.57237887766607</v>
      </c>
      <c r="K15" s="31">
        <f t="shared" si="16"/>
        <v>0</v>
      </c>
      <c r="L15" s="31">
        <f t="shared" ref="L15:L23" si="18">E15*$X15</f>
        <v>34.440432776088592</v>
      </c>
      <c r="M15" s="31">
        <f t="shared" si="17"/>
        <v>0</v>
      </c>
      <c r="N15" s="439">
        <f t="shared" si="15"/>
        <v>30.301921748063201</v>
      </c>
      <c r="O15" s="432">
        <f t="shared" si="13"/>
        <v>0.05</v>
      </c>
      <c r="P15" s="419">
        <f t="shared" si="4"/>
        <v>244.99103733309096</v>
      </c>
      <c r="Q15" s="179">
        <f t="shared" si="14"/>
        <v>656.18399439295081</v>
      </c>
      <c r="R15" s="181">
        <f t="shared" si="5"/>
        <v>2852.9738886650034</v>
      </c>
      <c r="S15" s="149">
        <f t="shared" si="6"/>
        <v>0.22930325464684231</v>
      </c>
      <c r="T15" s="345">
        <f t="shared" si="7"/>
        <v>0.92667729388353992</v>
      </c>
      <c r="U15" s="355">
        <f t="shared" si="8"/>
        <v>10791.358538859447</v>
      </c>
      <c r="W15" s="38"/>
      <c r="X15" s="345">
        <f>HydroM.!Z14</f>
        <v>0.88254980369860969</v>
      </c>
      <c r="Y15" s="694">
        <v>0.90563869674208608</v>
      </c>
      <c r="Z15" s="694">
        <v>1.4135314177599241</v>
      </c>
      <c r="AA15" s="701">
        <v>0.20284312006491648</v>
      </c>
      <c r="AB15" s="705">
        <f t="shared" si="9"/>
        <v>448.8258595859408</v>
      </c>
      <c r="AC15" s="38">
        <f t="shared" si="10"/>
        <v>10251.790611916475</v>
      </c>
      <c r="AD15" s="42">
        <v>124.5</v>
      </c>
      <c r="AE15" s="43">
        <v>1.51</v>
      </c>
      <c r="AG15" s="174">
        <v>1535818</v>
      </c>
      <c r="AH15" s="175">
        <v>13805.755778426143</v>
      </c>
      <c r="AJ15" s="44" t="e">
        <f>(AG15/10000)-#REF!+AE15</f>
        <v>#REF!</v>
      </c>
      <c r="AK15" s="10" t="e">
        <f>(AH15)-#REF!</f>
        <v>#REF!</v>
      </c>
      <c r="AL15" s="351" t="e">
        <f>#REF!-I15</f>
        <v>#REF!</v>
      </c>
      <c r="AM15" s="351" t="e">
        <f>#REF!-P15</f>
        <v>#REF!</v>
      </c>
    </row>
    <row r="16" spans="2:39" s="12" customFormat="1" ht="19.5" customHeight="1" x14ac:dyDescent="0.35">
      <c r="B16" s="125">
        <f t="shared" si="0"/>
        <v>11</v>
      </c>
      <c r="C16" s="409">
        <f>HydroM.!W15</f>
        <v>121.60599999999999</v>
      </c>
      <c r="D16" s="30">
        <f t="shared" si="1"/>
        <v>0</v>
      </c>
      <c r="E16" s="31">
        <f t="shared" si="1"/>
        <v>162.86717936000002</v>
      </c>
      <c r="F16" s="31">
        <f t="shared" si="1"/>
        <v>0</v>
      </c>
      <c r="G16" s="34">
        <f t="shared" si="11"/>
        <v>0.1</v>
      </c>
      <c r="H16" s="35">
        <f t="shared" si="11"/>
        <v>0.05</v>
      </c>
      <c r="I16" s="423">
        <f t="shared" si="12"/>
        <v>328.5665221608001</v>
      </c>
      <c r="J16" s="406">
        <f>HydroM.!X15*1000/31/24/3600*1000</f>
        <v>135.98004587781031</v>
      </c>
      <c r="K16" s="31">
        <f t="shared" si="16"/>
        <v>0</v>
      </c>
      <c r="L16" s="156">
        <f t="shared" si="18"/>
        <v>182.11837015741295</v>
      </c>
      <c r="M16" s="31">
        <f t="shared" si="17"/>
        <v>0</v>
      </c>
      <c r="N16" s="439">
        <f t="shared" si="15"/>
        <v>47.714762405283501</v>
      </c>
      <c r="O16" s="432">
        <f t="shared" si="13"/>
        <v>0.05</v>
      </c>
      <c r="P16" s="419">
        <f t="shared" si="4"/>
        <v>385.77385404671713</v>
      </c>
      <c r="Q16" s="179">
        <f t="shared" si="14"/>
        <v>1033.2566906787272</v>
      </c>
      <c r="R16" s="181">
        <f t="shared" si="5"/>
        <v>4492.4203942553349</v>
      </c>
      <c r="S16" s="149">
        <f t="shared" si="6"/>
        <v>0.22857702789652698</v>
      </c>
      <c r="T16" s="345">
        <f t="shared" si="7"/>
        <v>1.1741118708920679</v>
      </c>
      <c r="U16" s="355">
        <f t="shared" si="8"/>
        <v>13672.787978249193</v>
      </c>
      <c r="W16" s="38"/>
      <c r="X16" s="345">
        <f>HydroM.!Z15</f>
        <v>1.1182017818019694</v>
      </c>
      <c r="Y16" s="694">
        <v>1.6802585877446199</v>
      </c>
      <c r="Z16" s="694">
        <v>1.5804142461152473</v>
      </c>
      <c r="AA16" s="701">
        <v>0.12517512044029988</v>
      </c>
      <c r="AB16" s="705">
        <f t="shared" si="9"/>
        <v>364.20895487912713</v>
      </c>
      <c r="AC16" s="38">
        <f t="shared" si="10"/>
        <v>12989.148579336734</v>
      </c>
      <c r="AD16" s="41"/>
      <c r="AE16" s="43"/>
      <c r="AG16" s="174">
        <v>1096369</v>
      </c>
      <c r="AH16" s="175">
        <v>17361.294784940943</v>
      </c>
      <c r="AJ16" s="45" t="e">
        <f>(AG16/10000)-#REF!+AE16</f>
        <v>#REF!</v>
      </c>
      <c r="AK16" s="10" t="e">
        <f>(AH16)-#REF!</f>
        <v>#REF!</v>
      </c>
      <c r="AL16" s="351" t="e">
        <f>#REF!-I16</f>
        <v>#REF!</v>
      </c>
      <c r="AM16" s="351" t="e">
        <f>#REF!-P16</f>
        <v>#REF!</v>
      </c>
    </row>
    <row r="17" spans="2:39" s="9" customFormat="1" ht="19.5" customHeight="1" x14ac:dyDescent="0.35">
      <c r="B17" s="127">
        <f t="shared" si="0"/>
        <v>12</v>
      </c>
      <c r="C17" s="410">
        <f>HydroM.!W16</f>
        <v>123.75879999999999</v>
      </c>
      <c r="D17" s="51">
        <f t="shared" si="1"/>
        <v>60</v>
      </c>
      <c r="E17" s="54">
        <f t="shared" si="1"/>
        <v>344.33337748019386</v>
      </c>
      <c r="F17" s="54">
        <f t="shared" si="1"/>
        <v>40</v>
      </c>
      <c r="G17" s="60">
        <f t="shared" si="11"/>
        <v>0.1</v>
      </c>
      <c r="H17" s="61">
        <f t="shared" si="11"/>
        <v>0.05</v>
      </c>
      <c r="I17" s="424">
        <f>SUM(C17:F17)*(1+G17)*(1+H17)</f>
        <v>656.14646498962406</v>
      </c>
      <c r="J17" s="407">
        <f>HydroM.!X16*1000/31/24/3600*1000</f>
        <v>88.545304235907381</v>
      </c>
      <c r="K17" s="54">
        <f t="shared" si="16"/>
        <v>42.928003941169791</v>
      </c>
      <c r="L17" s="54">
        <f t="shared" si="18"/>
        <v>246.3590764257678</v>
      </c>
      <c r="M17" s="342">
        <f t="shared" si="17"/>
        <v>28.618669294113197</v>
      </c>
      <c r="N17" s="441">
        <f t="shared" si="15"/>
        <v>60.967658084543736</v>
      </c>
      <c r="O17" s="437">
        <f t="shared" si="13"/>
        <v>0.05</v>
      </c>
      <c r="P17" s="420">
        <f t="shared" si="4"/>
        <v>492.9235156135361</v>
      </c>
      <c r="Q17" s="353">
        <f t="shared" si="14"/>
        <v>1320.246344219295</v>
      </c>
      <c r="R17" s="354">
        <f t="shared" si="5"/>
        <v>5740.2014966056304</v>
      </c>
      <c r="S17" s="151">
        <f t="shared" si="6"/>
        <v>0.23518907530012997</v>
      </c>
      <c r="T17" s="347">
        <f t="shared" si="7"/>
        <v>0.75124006897047124</v>
      </c>
      <c r="U17" s="357">
        <f t="shared" si="8"/>
        <v>8748.3539162196084</v>
      </c>
      <c r="W17" s="55"/>
      <c r="X17" s="347">
        <f>HydroM.!Z16</f>
        <v>0.71546673235282987</v>
      </c>
      <c r="Y17" s="695">
        <v>1.2430307494163801</v>
      </c>
      <c r="Z17" s="695">
        <v>1.5334127514622276</v>
      </c>
      <c r="AA17" s="702">
        <v>0.18708023911548247</v>
      </c>
      <c r="AB17" s="705">
        <f t="shared" si="9"/>
        <v>237.15974286545435</v>
      </c>
      <c r="AC17" s="55">
        <f t="shared" si="10"/>
        <v>8310.9362204086283</v>
      </c>
      <c r="AD17" s="56">
        <v>394.8446068720018</v>
      </c>
      <c r="AE17" s="57">
        <v>0.12</v>
      </c>
      <c r="AG17" s="174">
        <v>854013</v>
      </c>
      <c r="AH17" s="175">
        <v>11949.043987934025</v>
      </c>
      <c r="AJ17" s="10" t="e">
        <f>(AG17/10000)-#REF!+AE17</f>
        <v>#REF!</v>
      </c>
      <c r="AK17" s="10" t="e">
        <f>(AH17)-#REF!</f>
        <v>#REF!</v>
      </c>
      <c r="AL17" s="351" t="e">
        <f>#REF!-I17</f>
        <v>#REF!</v>
      </c>
      <c r="AM17" s="351" t="e">
        <f>#REF!-P17</f>
        <v>#REF!</v>
      </c>
    </row>
    <row r="18" spans="2:39" s="9" customFormat="1" ht="19.5" customHeight="1" x14ac:dyDescent="0.35">
      <c r="B18" s="1035">
        <f t="shared" si="0"/>
        <v>13</v>
      </c>
      <c r="C18" s="1036">
        <f>HydroM.!W17</f>
        <v>9.1692999999999998</v>
      </c>
      <c r="D18" s="1037">
        <f t="shared" si="1"/>
        <v>0</v>
      </c>
      <c r="E18" s="1038">
        <f t="shared" si="1"/>
        <v>0</v>
      </c>
      <c r="F18" s="1038">
        <f t="shared" si="1"/>
        <v>0</v>
      </c>
      <c r="G18" s="1039">
        <f t="shared" si="11"/>
        <v>0.1</v>
      </c>
      <c r="H18" s="1040">
        <f t="shared" si="11"/>
        <v>0.05</v>
      </c>
      <c r="I18" s="1041">
        <f t="shared" si="12"/>
        <v>10.5905415</v>
      </c>
      <c r="J18" s="1042">
        <f>HydroM.!X17*1000/31/24/3600*1000</f>
        <v>11.109159195460535</v>
      </c>
      <c r="K18" s="1038">
        <f t="shared" si="16"/>
        <v>0</v>
      </c>
      <c r="L18" s="1038">
        <f t="shared" si="18"/>
        <v>0</v>
      </c>
      <c r="M18" s="1038">
        <f t="shared" si="17"/>
        <v>0</v>
      </c>
      <c r="N18" s="1043">
        <f t="shared" si="15"/>
        <v>1.6663738793190805</v>
      </c>
      <c r="O18" s="1044">
        <f t="shared" si="13"/>
        <v>0.05</v>
      </c>
      <c r="P18" s="1045">
        <f t="shared" si="4"/>
        <v>13.472632814294768</v>
      </c>
      <c r="Q18" s="1046">
        <f t="shared" si="14"/>
        <v>36.085099729807105</v>
      </c>
      <c r="R18" s="1047">
        <f t="shared" si="5"/>
        <v>156.89173795568306</v>
      </c>
      <c r="S18" s="1048">
        <f t="shared" si="6"/>
        <v>0.2345117043399374</v>
      </c>
      <c r="T18" s="1049">
        <f t="shared" si="7"/>
        <v>1.2721382390404463</v>
      </c>
      <c r="U18" s="1050">
        <f t="shared" si="8"/>
        <v>14814.326345417092</v>
      </c>
      <c r="W18" s="38"/>
      <c r="X18" s="345">
        <f>HydroM.!Z17</f>
        <v>1.2115602276575679</v>
      </c>
      <c r="Y18" s="630"/>
      <c r="Z18" s="630"/>
      <c r="AA18" s="697"/>
      <c r="AB18" s="705">
        <f t="shared" si="9"/>
        <v>29.754771989121497</v>
      </c>
      <c r="AC18" s="38">
        <f>R18*1000*(1-O18)/I18</f>
        <v>14073.610028146239</v>
      </c>
      <c r="AD18" s="41">
        <v>0</v>
      </c>
      <c r="AE18" s="43"/>
      <c r="AG18" s="174">
        <v>72237</v>
      </c>
      <c r="AH18" s="175">
        <v>20774.762894657615</v>
      </c>
      <c r="AJ18" s="10" t="e">
        <f>(AG18/10000)-#REF!+AE18</f>
        <v>#REF!</v>
      </c>
      <c r="AK18" s="10" t="e">
        <f>(AH18)-#REF!</f>
        <v>#REF!</v>
      </c>
      <c r="AL18" s="351" t="e">
        <f>#REF!-I18</f>
        <v>#REF!</v>
      </c>
      <c r="AM18" s="351" t="e">
        <f>#REF!-P18</f>
        <v>#REF!</v>
      </c>
    </row>
    <row r="19" spans="2:39" s="9" customFormat="1" ht="19.5" customHeight="1" x14ac:dyDescent="0.35">
      <c r="B19" s="125">
        <v>7.1</v>
      </c>
      <c r="C19" s="409">
        <f>'16'!D5/10000</f>
        <v>8.1110000000000007</v>
      </c>
      <c r="D19" s="30">
        <v>0</v>
      </c>
      <c r="E19" s="31">
        <v>0</v>
      </c>
      <c r="F19" s="31">
        <v>0</v>
      </c>
      <c r="G19" s="36">
        <v>0</v>
      </c>
      <c r="H19" s="37">
        <v>0</v>
      </c>
      <c r="I19" s="465">
        <f t="shared" si="12"/>
        <v>8.1110000000000007</v>
      </c>
      <c r="J19" s="409">
        <f>'16'!M5*1000/31/24/3600*1000</f>
        <v>6.3556779928888876</v>
      </c>
      <c r="K19" s="31">
        <f t="shared" si="16"/>
        <v>0</v>
      </c>
      <c r="L19" s="31">
        <f t="shared" si="18"/>
        <v>0</v>
      </c>
      <c r="M19" s="31">
        <f t="shared" si="17"/>
        <v>0</v>
      </c>
      <c r="N19" s="439">
        <f>SUM(J19:M19)*(H19+G19)</f>
        <v>0</v>
      </c>
      <c r="O19" s="434">
        <v>0.05</v>
      </c>
      <c r="P19" s="474">
        <f>SUM(J19:M19)*(1+H19)*(1+O19)*(1+G19)</f>
        <v>6.6734618925333322</v>
      </c>
      <c r="Q19" s="476">
        <f t="shared" si="14"/>
        <v>17.874200332961273</v>
      </c>
      <c r="R19" s="477">
        <f t="shared" si="5"/>
        <v>77.713914491135967</v>
      </c>
      <c r="S19" s="149">
        <f>Q19/R19</f>
        <v>0.23</v>
      </c>
      <c r="T19" s="345">
        <f>P19/I19</f>
        <v>0.82276684657050081</v>
      </c>
      <c r="U19" s="355">
        <f>R19*1000/I19</f>
        <v>9581.2987906714279</v>
      </c>
      <c r="W19" s="38"/>
      <c r="X19" s="345"/>
      <c r="Y19" s="630"/>
      <c r="Z19" s="630"/>
      <c r="AA19" s="697"/>
      <c r="AB19" s="705">
        <f t="shared" si="9"/>
        <v>17.023047936153599</v>
      </c>
      <c r="AC19" s="38">
        <f t="shared" ref="AC19:AC23" si="19">R19*1000*(1-O19)/I19</f>
        <v>9102.2338511378566</v>
      </c>
      <c r="AD19" s="41"/>
      <c r="AE19" s="43"/>
      <c r="AG19" s="174"/>
      <c r="AH19" s="175"/>
      <c r="AJ19" s="10"/>
      <c r="AK19" s="10"/>
      <c r="AL19" s="351"/>
      <c r="AM19" s="351"/>
    </row>
    <row r="20" spans="2:39" s="9" customFormat="1" ht="19.5" customHeight="1" x14ac:dyDescent="0.35">
      <c r="B20" s="125">
        <v>7.2</v>
      </c>
      <c r="C20" s="409">
        <f>'16'!D6/10000</f>
        <v>17.476800000000001</v>
      </c>
      <c r="D20" s="30">
        <v>0</v>
      </c>
      <c r="E20" s="31">
        <v>0</v>
      </c>
      <c r="F20" s="31">
        <v>0</v>
      </c>
      <c r="G20" s="36">
        <v>0</v>
      </c>
      <c r="H20" s="37">
        <v>0</v>
      </c>
      <c r="I20" s="465">
        <f t="shared" si="12"/>
        <v>17.476800000000001</v>
      </c>
      <c r="J20" s="409">
        <f>'16'!M6*1000/31/24/3600*1000</f>
        <v>19.00915972266667</v>
      </c>
      <c r="K20" s="31">
        <f t="shared" si="16"/>
        <v>0</v>
      </c>
      <c r="L20" s="31">
        <f t="shared" si="18"/>
        <v>0</v>
      </c>
      <c r="M20" s="31">
        <f t="shared" si="17"/>
        <v>0</v>
      </c>
      <c r="N20" s="439">
        <f>SUM(J20:M20)*(H20+G20)</f>
        <v>0</v>
      </c>
      <c r="O20" s="432">
        <f t="shared" ref="O20:O23" si="20">O19</f>
        <v>0.05</v>
      </c>
      <c r="P20" s="474">
        <f>SUM(J20:M20)*(1+H20)*(1+O20)*(1+G20)</f>
        <v>19.959617708800003</v>
      </c>
      <c r="Q20" s="476">
        <f t="shared" si="14"/>
        <v>53.459840071249936</v>
      </c>
      <c r="R20" s="477">
        <f t="shared" si="5"/>
        <v>232.43408726630406</v>
      </c>
      <c r="S20" s="149">
        <f t="shared" ref="S20:S23" si="21">Q20/R20</f>
        <v>0.23</v>
      </c>
      <c r="T20" s="345">
        <f>P20/I20</f>
        <v>1.1420636334340384</v>
      </c>
      <c r="U20" s="355">
        <f>R20*1000/I20</f>
        <v>13299.579286042299</v>
      </c>
      <c r="W20" s="38"/>
      <c r="X20" s="345"/>
      <c r="Y20" s="630"/>
      <c r="Z20" s="630"/>
      <c r="AA20" s="697"/>
      <c r="AB20" s="705">
        <f t="shared" si="9"/>
        <v>50.914133401190419</v>
      </c>
      <c r="AC20" s="38">
        <f t="shared" si="19"/>
        <v>12634.600321740183</v>
      </c>
      <c r="AD20" s="41"/>
      <c r="AE20" s="43"/>
      <c r="AG20" s="174"/>
      <c r="AH20" s="175"/>
      <c r="AJ20" s="10"/>
      <c r="AK20" s="10"/>
      <c r="AL20" s="351"/>
      <c r="AM20" s="351"/>
    </row>
    <row r="21" spans="2:39" s="9" customFormat="1" ht="19.5" customHeight="1" x14ac:dyDescent="0.35">
      <c r="B21" s="125">
        <v>10</v>
      </c>
      <c r="C21" s="409">
        <f>'16'!D7/10000</f>
        <v>1.3428</v>
      </c>
      <c r="D21" s="30">
        <v>0</v>
      </c>
      <c r="E21" s="31">
        <v>0</v>
      </c>
      <c r="F21" s="31">
        <v>0</v>
      </c>
      <c r="G21" s="36">
        <v>0</v>
      </c>
      <c r="H21" s="37">
        <v>0</v>
      </c>
      <c r="I21" s="465">
        <f t="shared" si="12"/>
        <v>1.3428</v>
      </c>
      <c r="J21" s="409">
        <f>'16'!M7*1000/31/24/3600*1000</f>
        <v>1.5763397759999997</v>
      </c>
      <c r="K21" s="31">
        <f t="shared" si="16"/>
        <v>0</v>
      </c>
      <c r="L21" s="31">
        <f t="shared" si="18"/>
        <v>0</v>
      </c>
      <c r="M21" s="31">
        <f t="shared" si="17"/>
        <v>0</v>
      </c>
      <c r="N21" s="439">
        <f>SUM(J21:M21)*(H21+G21)</f>
        <v>0</v>
      </c>
      <c r="O21" s="432">
        <f t="shared" si="20"/>
        <v>0.05</v>
      </c>
      <c r="P21" s="474">
        <f>SUM(J21:M21)*(1+H21)*(1+O21)*(1+G21)</f>
        <v>1.6551567647999998</v>
      </c>
      <c r="Q21" s="476">
        <f t="shared" si="14"/>
        <v>4.4331718788403194</v>
      </c>
      <c r="R21" s="477">
        <f t="shared" si="5"/>
        <v>19.274660342783996</v>
      </c>
      <c r="S21" s="149">
        <f t="shared" si="21"/>
        <v>0.23</v>
      </c>
      <c r="T21" s="345">
        <f>P21/I21</f>
        <v>1.2326159999999999</v>
      </c>
      <c r="U21" s="355">
        <f>R21*1000/I21</f>
        <v>14354.081279999997</v>
      </c>
      <c r="W21" s="38"/>
      <c r="X21" s="345"/>
      <c r="Y21" s="630"/>
      <c r="Z21" s="630"/>
      <c r="AA21" s="697"/>
      <c r="AB21" s="705">
        <f t="shared" si="9"/>
        <v>4.2220684560383992</v>
      </c>
      <c r="AC21" s="38">
        <f t="shared" si="19"/>
        <v>13636.377215999993</v>
      </c>
      <c r="AD21" s="41"/>
      <c r="AE21" s="43"/>
      <c r="AG21" s="174"/>
      <c r="AH21" s="175"/>
      <c r="AJ21" s="10"/>
      <c r="AK21" s="10"/>
      <c r="AL21" s="351"/>
      <c r="AM21" s="351"/>
    </row>
    <row r="22" spans="2:39" s="9" customFormat="1" ht="19.5" customHeight="1" x14ac:dyDescent="0.35">
      <c r="B22" s="125">
        <v>11</v>
      </c>
      <c r="C22" s="409">
        <f>'16'!D8/10000</f>
        <v>1.3333999999999999</v>
      </c>
      <c r="D22" s="30">
        <v>0</v>
      </c>
      <c r="E22" s="31">
        <v>0</v>
      </c>
      <c r="F22" s="31">
        <v>0</v>
      </c>
      <c r="G22" s="36">
        <v>0</v>
      </c>
      <c r="H22" s="37">
        <v>0</v>
      </c>
      <c r="I22" s="465">
        <f t="shared" si="12"/>
        <v>1.3333999999999999</v>
      </c>
      <c r="J22" s="409">
        <f>'16'!M8*1000/31/24/3600*1000</f>
        <v>1.5653049280000004</v>
      </c>
      <c r="K22" s="31">
        <f t="shared" si="16"/>
        <v>0</v>
      </c>
      <c r="L22" s="31">
        <f t="shared" si="18"/>
        <v>0</v>
      </c>
      <c r="M22" s="31">
        <f t="shared" si="17"/>
        <v>0</v>
      </c>
      <c r="N22" s="439">
        <f>SUM(J22:M22)*(H22+G22)</f>
        <v>0</v>
      </c>
      <c r="O22" s="432">
        <f t="shared" si="20"/>
        <v>0.05</v>
      </c>
      <c r="P22" s="474">
        <f>SUM(J22:M22)*(1+H22)*(1+O22)*(1+G22)</f>
        <v>1.6435701744000004</v>
      </c>
      <c r="Q22" s="476">
        <f t="shared" si="14"/>
        <v>4.4021383551129603</v>
      </c>
      <c r="R22" s="477">
        <f t="shared" si="5"/>
        <v>19.139731978752</v>
      </c>
      <c r="S22" s="149">
        <f t="shared" si="21"/>
        <v>0.23</v>
      </c>
      <c r="T22" s="345">
        <f>P22/I22</f>
        <v>1.2326160000000004</v>
      </c>
      <c r="U22" s="355">
        <f>R22*1000/I22</f>
        <v>14354.08128</v>
      </c>
      <c r="W22" s="38"/>
      <c r="X22" s="345"/>
      <c r="Y22" s="630"/>
      <c r="Z22" s="630"/>
      <c r="AA22" s="697"/>
      <c r="AB22" s="705">
        <f t="shared" si="9"/>
        <v>4.192512719155201</v>
      </c>
      <c r="AC22" s="38">
        <f t="shared" si="19"/>
        <v>13636.377215999999</v>
      </c>
      <c r="AD22" s="41"/>
      <c r="AE22" s="43"/>
      <c r="AG22" s="174"/>
      <c r="AH22" s="175"/>
      <c r="AJ22" s="10"/>
      <c r="AK22" s="10"/>
      <c r="AL22" s="351"/>
      <c r="AM22" s="351"/>
    </row>
    <row r="23" spans="2:39" s="9" customFormat="1" ht="19.5" customHeight="1" x14ac:dyDescent="0.35">
      <c r="B23" s="442">
        <v>12</v>
      </c>
      <c r="C23" s="443">
        <f>'16'!D9/10000</f>
        <v>5.4</v>
      </c>
      <c r="D23" s="444">
        <v>0</v>
      </c>
      <c r="E23" s="445">
        <v>0</v>
      </c>
      <c r="F23" s="445">
        <v>0</v>
      </c>
      <c r="G23" s="446">
        <v>0</v>
      </c>
      <c r="H23" s="447">
        <v>0</v>
      </c>
      <c r="I23" s="464">
        <f>SUM(C23:F23)*(1+G23)*(1+H23)</f>
        <v>5.4</v>
      </c>
      <c r="J23" s="443">
        <f>'16'!M9*1000/31/24/3600*1000</f>
        <v>6.3391679999999999</v>
      </c>
      <c r="K23" s="445">
        <f t="shared" si="16"/>
        <v>0</v>
      </c>
      <c r="L23" s="445">
        <f t="shared" si="18"/>
        <v>0</v>
      </c>
      <c r="M23" s="445">
        <f t="shared" si="17"/>
        <v>0</v>
      </c>
      <c r="N23" s="448">
        <f>SUM(J23:M23)*(H23+G23)</f>
        <v>0</v>
      </c>
      <c r="O23" s="432">
        <f t="shared" si="20"/>
        <v>0.05</v>
      </c>
      <c r="P23" s="475">
        <f>SUM(J23:M23)*(1+H23)*(1+O23)*(1+G23)</f>
        <v>6.6561263999999998</v>
      </c>
      <c r="Q23" s="478">
        <f t="shared" si="14"/>
        <v>17.827768949759996</v>
      </c>
      <c r="R23" s="479">
        <f t="shared" si="5"/>
        <v>77.51203891199998</v>
      </c>
      <c r="S23" s="449">
        <f t="shared" si="21"/>
        <v>0.23</v>
      </c>
      <c r="T23" s="1018">
        <f>P23/I23</f>
        <v>1.2326159999999999</v>
      </c>
      <c r="U23" s="450">
        <f>R23*1000/I23</f>
        <v>14354.081279999995</v>
      </c>
      <c r="W23" s="55"/>
      <c r="X23" s="347">
        <f>HydroM.!Z20</f>
        <v>0.79805576182215032</v>
      </c>
      <c r="Y23" s="632"/>
      <c r="Z23" s="632"/>
      <c r="AA23" s="699"/>
      <c r="AB23" s="705">
        <f t="shared" si="9"/>
        <v>16.9788275712</v>
      </c>
      <c r="AC23" s="38">
        <f t="shared" si="19"/>
        <v>13636.377215999993</v>
      </c>
      <c r="AD23" s="56"/>
      <c r="AE23" s="57"/>
      <c r="AG23" s="174"/>
      <c r="AH23" s="175"/>
      <c r="AJ23" s="10"/>
      <c r="AK23" s="10"/>
      <c r="AL23" s="351" t="e">
        <f>#REF!-I23</f>
        <v>#REF!</v>
      </c>
      <c r="AM23" s="351" t="e">
        <f>#REF!-P23</f>
        <v>#REF!</v>
      </c>
    </row>
    <row r="24" spans="2:39" s="9" customFormat="1" ht="29.25" customHeight="1" x14ac:dyDescent="0.35">
      <c r="B24" s="451" t="s">
        <v>4</v>
      </c>
      <c r="C24" s="452">
        <f>SUM(C6:C23)</f>
        <v>1973.1546799999999</v>
      </c>
      <c r="D24" s="453">
        <f>SUM(D6:D23)</f>
        <v>191.77257500000002</v>
      </c>
      <c r="E24" s="453">
        <f>SUM(E6:E23)</f>
        <v>1812.6087506769929</v>
      </c>
      <c r="F24" s="453">
        <f>SUM(F6:F23)</f>
        <v>73.8</v>
      </c>
      <c r="G24" s="454">
        <f>SUM($C24:$F24)*(G25)</f>
        <v>398.22161456490352</v>
      </c>
      <c r="H24" s="453">
        <f>SUM($C24:$G24)*(H25)</f>
        <v>218.68218498161883</v>
      </c>
      <c r="I24" s="463">
        <f t="shared" ref="I24:N24" si="22">SUM(I6:I23)</f>
        <v>4674.0751665569287</v>
      </c>
      <c r="J24" s="453">
        <f t="shared" si="22"/>
        <v>1623.642510030159</v>
      </c>
      <c r="K24" s="453">
        <f t="shared" si="22"/>
        <v>166.61035405792103</v>
      </c>
      <c r="L24" s="453">
        <f t="shared" si="22"/>
        <v>1463.4687073714833</v>
      </c>
      <c r="M24" s="453">
        <f t="shared" si="22"/>
        <v>60.28940875350866</v>
      </c>
      <c r="N24" s="455">
        <f t="shared" si="22"/>
        <v>491.87479946902755</v>
      </c>
      <c r="O24" s="456">
        <f>SUM($J24:$N24)*(O25)</f>
        <v>190.29428898410495</v>
      </c>
      <c r="P24" s="462">
        <f>SUM(P6:P23)</f>
        <v>4013.3956866476215</v>
      </c>
      <c r="Q24" s="457">
        <f>SUM(Q6:Q23)</f>
        <v>10749.47900711699</v>
      </c>
      <c r="R24" s="458">
        <f>SUM(R6:R23)</f>
        <v>46736.865248334718</v>
      </c>
      <c r="S24" s="459">
        <f>SUMPRODUCT(S6:S23,I6:I23)/I24</f>
        <v>0.23236045138637101</v>
      </c>
      <c r="T24" s="460">
        <f>SUMPRODUCT(T6:T23,I6:I23)/I24</f>
        <v>0.85865022354871867</v>
      </c>
      <c r="U24" s="461">
        <f>ROUND(SUMPRODUCT(U6:U23,I6:I23)/I24,-1)</f>
        <v>10000</v>
      </c>
      <c r="W24" s="168"/>
      <c r="X24" s="358">
        <f>SUMPRODUCT(X6:X23,I6:I23)/I24</f>
        <v>0.82306240526958863</v>
      </c>
      <c r="Y24" s="358"/>
      <c r="Z24" s="358"/>
      <c r="AA24" s="703"/>
      <c r="AB24" s="705">
        <f t="shared" si="9"/>
        <v>4348.7640988647781</v>
      </c>
      <c r="AC24" s="168">
        <f>ROUND(SUMPRODUCT(AC6:AC23,I6:I23)/I24,-1)</f>
        <v>9500</v>
      </c>
      <c r="AD24" s="169"/>
      <c r="AE24" s="170"/>
      <c r="AG24" s="174"/>
      <c r="AH24" s="175"/>
      <c r="AJ24" s="10"/>
      <c r="AK24" s="10"/>
    </row>
    <row r="25" spans="2:39" s="398" customFormat="1" ht="29.25" customHeight="1" x14ac:dyDescent="0.35">
      <c r="B25" s="426"/>
      <c r="C25" s="365" t="s">
        <v>148</v>
      </c>
      <c r="D25" s="365"/>
      <c r="E25" s="365" t="s">
        <v>149</v>
      </c>
      <c r="F25" s="365"/>
      <c r="G25" s="428">
        <f>SUMPRODUCT(G6:G23,$C6:$C23)/$C24</f>
        <v>9.8293899594328812E-2</v>
      </c>
      <c r="H25" s="428">
        <f>SUMPRODUCT(H6:H23,$C6:$C23)/$C24</f>
        <v>4.9146949797164406E-2</v>
      </c>
      <c r="I25" s="426"/>
      <c r="J25" s="399">
        <f>J24/1000*3600*24*31/S24/1000/1000</f>
        <v>18.715594985799083</v>
      </c>
      <c r="K25" s="426"/>
      <c r="L25" s="426"/>
      <c r="M25" s="426"/>
      <c r="N25" s="426"/>
      <c r="O25" s="428">
        <f>SUMPRODUCT(O6:O23,$C6:$C23)/$C24</f>
        <v>4.9999999999999996E-2</v>
      </c>
      <c r="P25" s="715">
        <f>P24/J24</f>
        <v>2.4718468886190181</v>
      </c>
      <c r="Q25" s="426"/>
      <c r="R25" s="399">
        <f>R24/1000</f>
        <v>46.736865248334716</v>
      </c>
      <c r="S25" s="426"/>
      <c r="T25" s="426"/>
      <c r="U25" s="399">
        <f>U24*I24/1000/1000</f>
        <v>46.740751665569292</v>
      </c>
      <c r="W25" s="399"/>
      <c r="AC25" s="399">
        <f>AC24*I24/1000/1000</f>
        <v>44.403714082290819</v>
      </c>
    </row>
    <row r="26" spans="2:39" s="398" customFormat="1" ht="124.5" customHeight="1" x14ac:dyDescent="0.35">
      <c r="B26" s="426"/>
      <c r="C26" s="365"/>
      <c r="D26" s="365"/>
      <c r="E26" s="365"/>
      <c r="F26" s="365"/>
      <c r="I26" s="426"/>
      <c r="J26" s="426"/>
      <c r="K26" s="426"/>
      <c r="L26" s="426"/>
      <c r="M26" s="426"/>
      <c r="N26" s="426"/>
      <c r="P26" s="400"/>
      <c r="Q26" s="426"/>
      <c r="R26" s="426"/>
      <c r="S26" s="426"/>
      <c r="T26" s="426"/>
      <c r="U26" s="426"/>
    </row>
    <row r="27" spans="2:39" s="9" customFormat="1" ht="19.5" customHeight="1" x14ac:dyDescent="0.35">
      <c r="B27" s="125">
        <f>B47</f>
        <v>14</v>
      </c>
      <c r="C27" s="406">
        <v>3500</v>
      </c>
      <c r="D27" s="30">
        <f>D47</f>
        <v>0</v>
      </c>
      <c r="E27" s="31">
        <f>9931-C27-1</f>
        <v>6430</v>
      </c>
      <c r="F27" s="31">
        <f>F47</f>
        <v>0</v>
      </c>
      <c r="G27" s="36">
        <v>0</v>
      </c>
      <c r="H27" s="37">
        <v>0</v>
      </c>
      <c r="I27" s="423">
        <f>SUM(C27:F27)*(1+G27)*(1+H27)</f>
        <v>9930</v>
      </c>
      <c r="J27" s="406">
        <f>HydroM.!X18*1000/31/24/3600*1000</f>
        <v>0</v>
      </c>
      <c r="K27" s="31">
        <f t="shared" ref="K27:M28" si="23">D27*$X27</f>
        <v>0</v>
      </c>
      <c r="L27" s="31">
        <f t="shared" si="23"/>
        <v>0</v>
      </c>
      <c r="M27" s="31">
        <f t="shared" si="23"/>
        <v>0</v>
      </c>
      <c r="N27" s="439">
        <f>SUM(J27:M27)*(H27+G27)</f>
        <v>0</v>
      </c>
      <c r="O27" s="434">
        <v>0</v>
      </c>
      <c r="P27" s="419">
        <f>SUM(J27:M27)*(1+H27)*(1+O27)*(1+G27)</f>
        <v>0</v>
      </c>
      <c r="Q27" s="179">
        <f>U27*I27/1000</f>
        <v>14895</v>
      </c>
      <c r="R27" s="181">
        <f>Q27/$R$5</f>
        <v>64760.869565217392</v>
      </c>
      <c r="S27" s="149">
        <f>S47</f>
        <v>0</v>
      </c>
      <c r="T27" s="343">
        <v>0.23</v>
      </c>
      <c r="U27" s="355">
        <v>1500</v>
      </c>
      <c r="V27" s="9">
        <f>U27*1000/31/24/3600</f>
        <v>0.56003584229390679</v>
      </c>
      <c r="W27" s="38"/>
      <c r="X27" s="345">
        <f>HydroM.!Z18</f>
        <v>0</v>
      </c>
      <c r="Y27" s="630"/>
      <c r="Z27" s="630"/>
      <c r="AA27" s="697"/>
      <c r="AB27" s="705">
        <f>J27*3600*24*31/1000/1000</f>
        <v>0</v>
      </c>
      <c r="AC27" s="38"/>
      <c r="AD27" s="41"/>
      <c r="AE27" s="43"/>
      <c r="AG27" s="174"/>
      <c r="AH27" s="175"/>
      <c r="AJ27" s="10"/>
      <c r="AK27" s="10"/>
      <c r="AL27" s="351" t="e">
        <f>#REF!-I27</f>
        <v>#REF!</v>
      </c>
      <c r="AM27" s="351" t="e">
        <f>#REF!-P27</f>
        <v>#REF!</v>
      </c>
    </row>
    <row r="28" spans="2:39" s="9" customFormat="1" ht="19.5" customHeight="1" x14ac:dyDescent="0.35">
      <c r="B28" s="127">
        <f>B48</f>
        <v>15</v>
      </c>
      <c r="C28" s="407">
        <v>181</v>
      </c>
      <c r="D28" s="51">
        <f>D48</f>
        <v>0</v>
      </c>
      <c r="E28" s="54">
        <f>536-C28-1</f>
        <v>354</v>
      </c>
      <c r="F28" s="54">
        <f>F48</f>
        <v>0</v>
      </c>
      <c r="G28" s="60">
        <v>0</v>
      </c>
      <c r="H28" s="61">
        <v>0</v>
      </c>
      <c r="I28" s="424">
        <f>SUM(C28:F28)*(1+G28)*(1+H28)</f>
        <v>535</v>
      </c>
      <c r="J28" s="407">
        <f>HydroM.!X19*1000/31/24/3600*1000</f>
        <v>0</v>
      </c>
      <c r="K28" s="54">
        <f t="shared" si="23"/>
        <v>0</v>
      </c>
      <c r="L28" s="54">
        <f t="shared" si="23"/>
        <v>0</v>
      </c>
      <c r="M28" s="54">
        <f t="shared" si="23"/>
        <v>0</v>
      </c>
      <c r="N28" s="441">
        <f>SUM(J28:M28)*(H28+G28)</f>
        <v>0</v>
      </c>
      <c r="O28" s="437">
        <v>0</v>
      </c>
      <c r="P28" s="420">
        <f>SUM(J28:M28)*(1+H28)*(1+O28)*(1+G28)</f>
        <v>0</v>
      </c>
      <c r="Q28" s="353">
        <f>U28*I28/1000</f>
        <v>802.5</v>
      </c>
      <c r="R28" s="354">
        <f>Q28/$R$5</f>
        <v>3489.1304347826085</v>
      </c>
      <c r="S28" s="151">
        <f>S48</f>
        <v>0</v>
      </c>
      <c r="T28" s="344">
        <v>0.23</v>
      </c>
      <c r="U28" s="357">
        <v>1500</v>
      </c>
      <c r="W28" s="38"/>
      <c r="X28" s="345">
        <f>HydroM.!Z19</f>
        <v>0</v>
      </c>
      <c r="Y28" s="630"/>
      <c r="Z28" s="630"/>
      <c r="AA28" s="697"/>
      <c r="AB28" s="705">
        <f>J28*3600*24*31/1000/1000</f>
        <v>0</v>
      </c>
      <c r="AC28" s="38"/>
      <c r="AD28" s="41"/>
      <c r="AE28" s="43"/>
      <c r="AG28" s="174"/>
      <c r="AH28" s="175"/>
      <c r="AJ28" s="10"/>
      <c r="AK28" s="10"/>
      <c r="AL28" s="351" t="e">
        <f>#REF!-I28</f>
        <v>#REF!</v>
      </c>
      <c r="AM28" s="351" t="e">
        <f>#REF!-P28</f>
        <v>#REF!</v>
      </c>
    </row>
    <row r="29" spans="2:39" ht="27" customHeight="1" x14ac:dyDescent="0.35">
      <c r="I29" s="423">
        <f t="shared" ref="I29:N29" si="24">SUM(I14:I17)</f>
        <v>2043.678067996774</v>
      </c>
      <c r="J29" s="406">
        <f t="shared" si="24"/>
        <v>630.48643510454815</v>
      </c>
      <c r="K29" s="31">
        <f t="shared" si="24"/>
        <v>42.928003941169791</v>
      </c>
      <c r="L29" s="156">
        <f t="shared" si="24"/>
        <v>682.41144346326928</v>
      </c>
      <c r="M29" s="31">
        <f t="shared" si="24"/>
        <v>28.618669294113197</v>
      </c>
      <c r="N29" s="439">
        <f t="shared" si="24"/>
        <v>207.66668277046509</v>
      </c>
      <c r="O29" s="432"/>
      <c r="P29" s="419">
        <f>SUM(P14:P17)</f>
        <v>1678.9851301992103</v>
      </c>
    </row>
    <row r="30" spans="2:39" ht="22.5" customHeight="1" x14ac:dyDescent="0.35">
      <c r="G30" s="453">
        <f>G25*H24</f>
        <v>21.495124733651682</v>
      </c>
      <c r="H30" s="453">
        <f>H25*G24</f>
        <v>19.571377699167066</v>
      </c>
      <c r="P30" s="419">
        <f>P29*1.5</f>
        <v>2518.4776952988154</v>
      </c>
    </row>
    <row r="31" spans="2:39" ht="22.5" customHeight="1" x14ac:dyDescent="0.35">
      <c r="H31" s="453">
        <f>(SUM($C24:$F24)*(G25))*H25</f>
        <v>19.571377699167066</v>
      </c>
    </row>
    <row r="32" spans="2:39" ht="50.25" customHeight="1" x14ac:dyDescent="0.35"/>
    <row r="33" spans="2:39" ht="19.5" customHeight="1" x14ac:dyDescent="0.9">
      <c r="B33" s="157"/>
      <c r="C33" s="159" t="s">
        <v>309</v>
      </c>
      <c r="D33" s="158"/>
      <c r="E33" s="158"/>
      <c r="F33" s="158"/>
      <c r="G33" s="157"/>
      <c r="H33" s="157"/>
      <c r="I33" s="158"/>
      <c r="J33" s="158"/>
      <c r="K33" s="158"/>
      <c r="L33" s="158"/>
      <c r="M33" s="158"/>
      <c r="N33" s="158"/>
      <c r="O33" s="158"/>
      <c r="P33" s="158"/>
      <c r="Q33" s="158"/>
      <c r="R33" s="427"/>
      <c r="S33" s="158"/>
      <c r="T33" s="158"/>
      <c r="U33" s="158"/>
      <c r="W33" s="158"/>
      <c r="AC33" s="158"/>
      <c r="AD33" s="158"/>
      <c r="AE33" s="158"/>
    </row>
    <row r="34" spans="2:39" s="9" customFormat="1" ht="19.5" customHeight="1" x14ac:dyDescent="0.35">
      <c r="B34" s="124">
        <f t="shared" ref="B34:B46" si="25">B75</f>
        <v>1</v>
      </c>
      <c r="C34" s="229">
        <f t="shared" ref="C34:C46" si="26">E75</f>
        <v>42.423000000000002</v>
      </c>
      <c r="D34" s="28">
        <f t="shared" ref="D34:D46" si="27">F75</f>
        <v>1.1533</v>
      </c>
      <c r="E34" s="29">
        <f t="shared" ref="E34:E46" si="28">G75</f>
        <v>10.3858</v>
      </c>
      <c r="F34" s="29">
        <f t="shared" ref="F34:F46" si="29">H75</f>
        <v>0</v>
      </c>
      <c r="G34" s="349">
        <f>D75</f>
        <v>0.15</v>
      </c>
      <c r="H34" s="350">
        <v>0.2</v>
      </c>
      <c r="I34" s="422">
        <f>SUM(C34:F34)*(1+G34)*(1+H34)</f>
        <v>74.467697999999999</v>
      </c>
      <c r="J34" s="232">
        <f>J75</f>
        <v>72.755909034370646</v>
      </c>
      <c r="K34" s="29">
        <f>K75</f>
        <v>0</v>
      </c>
      <c r="L34" s="29">
        <f>L75</f>
        <v>0</v>
      </c>
      <c r="M34" s="29">
        <f>M75</f>
        <v>0</v>
      </c>
      <c r="N34" s="29"/>
      <c r="O34" s="348">
        <v>0.05</v>
      </c>
      <c r="P34" s="418">
        <f t="shared" ref="P34:P46" si="30">SUM(J34:M34)*(1+H34)*(1+O34)*(1+G34)</f>
        <v>105.42331219080306</v>
      </c>
      <c r="Q34" s="143">
        <f>O75*(1+H34)</f>
        <v>282.36579937184695</v>
      </c>
      <c r="R34" s="144">
        <f>P75*(1+H34)</f>
        <v>1210.251729087244</v>
      </c>
      <c r="S34" s="149">
        <f t="shared" ref="S34:S46" si="31">S75</f>
        <v>0.23331162648683307</v>
      </c>
      <c r="T34" s="345">
        <f t="shared" ref="T34:T46" si="32">Q75*(1+O34)</f>
        <v>1.8007614851870255</v>
      </c>
      <c r="U34" s="355">
        <f t="shared" ref="U34:U46" si="33">R34*1000/I34</f>
        <v>16252.036273328122</v>
      </c>
      <c r="W34" s="38"/>
      <c r="X34" s="345">
        <f t="shared" ref="X34:X46" si="34">J34/C34</f>
        <v>1.7150109382733574</v>
      </c>
      <c r="Y34" s="345"/>
      <c r="Z34" s="345"/>
      <c r="AA34" s="345"/>
      <c r="AC34" s="38">
        <f t="shared" ref="AC34:AC45" si="35">ROUND(R75,-1)</f>
        <v>19690</v>
      </c>
      <c r="AD34" s="42">
        <v>23.8</v>
      </c>
      <c r="AE34" s="43"/>
      <c r="AG34" s="172">
        <v>424230</v>
      </c>
      <c r="AH34" s="173">
        <v>19688.197138905096</v>
      </c>
      <c r="AJ34" s="10">
        <f t="shared" ref="AJ34:AJ46" si="36">(AG34/10000)-E75+AE34</f>
        <v>0</v>
      </c>
      <c r="AK34" s="10">
        <f t="shared" ref="AK34:AK46" si="37">(AH34)-R75</f>
        <v>0</v>
      </c>
      <c r="AL34" s="351">
        <f t="shared" ref="AL34:AL49" si="38">I75-I34</f>
        <v>-25.681248000000004</v>
      </c>
      <c r="AM34" s="351">
        <f t="shared" ref="AM34:AM49" si="39">N75-P34</f>
        <v>-17.570552031800517</v>
      </c>
    </row>
    <row r="35" spans="2:39" s="9" customFormat="1" ht="19.5" customHeight="1" x14ac:dyDescent="0.35">
      <c r="B35" s="125">
        <f t="shared" si="25"/>
        <v>2</v>
      </c>
      <c r="C35" s="230">
        <f t="shared" si="26"/>
        <v>129.0044</v>
      </c>
      <c r="D35" s="30">
        <f t="shared" si="27"/>
        <v>30</v>
      </c>
      <c r="E35" s="31">
        <f t="shared" si="28"/>
        <v>115.27416419999899</v>
      </c>
      <c r="F35" s="31">
        <f t="shared" si="29"/>
        <v>0</v>
      </c>
      <c r="G35" s="34">
        <f t="shared" ref="G35:G46" si="40">G34</f>
        <v>0.15</v>
      </c>
      <c r="H35" s="35">
        <f>H34</f>
        <v>0.2</v>
      </c>
      <c r="I35" s="423">
        <f>SUM(C35:F35)*(1+G35)*(1+H35)</f>
        <v>378.50441859599857</v>
      </c>
      <c r="J35" s="233">
        <f t="shared" ref="J35:K46" si="41">J76</f>
        <v>155.55245600433528</v>
      </c>
      <c r="K35" s="31">
        <f t="shared" si="41"/>
        <v>0</v>
      </c>
      <c r="L35" s="156">
        <f>E35*X35</f>
        <v>138.99664937906664</v>
      </c>
      <c r="M35" s="31">
        <f t="shared" ref="M35:M44" si="42">M76</f>
        <v>0</v>
      </c>
      <c r="N35" s="31"/>
      <c r="O35" s="137">
        <f t="shared" ref="O35:O46" si="43">O34</f>
        <v>0.05</v>
      </c>
      <c r="P35" s="419">
        <f t="shared" si="30"/>
        <v>426.80165370054931</v>
      </c>
      <c r="Q35" s="179">
        <f>O76*(1+H35)*(J35+L35)/J35</f>
        <v>1143.1455492715515</v>
      </c>
      <c r="R35" s="181">
        <f>P76*(1+H35)*(J35+L35)/J35</f>
        <v>4955.3307490438101</v>
      </c>
      <c r="S35" s="149">
        <f t="shared" si="31"/>
        <v>0.23069006029358075</v>
      </c>
      <c r="T35" s="345">
        <f t="shared" si="32"/>
        <v>1.2660814577220005</v>
      </c>
      <c r="U35" s="355">
        <f t="shared" si="33"/>
        <v>13091.870280999136</v>
      </c>
      <c r="W35" s="38"/>
      <c r="X35" s="345">
        <f t="shared" si="34"/>
        <v>1.2057918644971433</v>
      </c>
      <c r="Y35" s="345"/>
      <c r="Z35" s="345"/>
      <c r="AA35" s="345"/>
      <c r="AC35" s="38">
        <f t="shared" si="35"/>
        <v>14000</v>
      </c>
      <c r="AD35" s="41">
        <v>180.83484519999899</v>
      </c>
      <c r="AE35" s="43"/>
      <c r="AG35" s="174">
        <v>1290044</v>
      </c>
      <c r="AH35" s="175">
        <v>15184.222112845862</v>
      </c>
      <c r="AJ35" s="45">
        <f t="shared" si="36"/>
        <v>0</v>
      </c>
      <c r="AK35" s="10">
        <f t="shared" si="37"/>
        <v>1184.5165088891754</v>
      </c>
      <c r="AL35" s="351">
        <f t="shared" si="38"/>
        <v>-230.14935859599859</v>
      </c>
      <c r="AM35" s="351">
        <f t="shared" si="39"/>
        <v>-238.97206307531448</v>
      </c>
    </row>
    <row r="36" spans="2:39" s="9" customFormat="1" ht="19.5" customHeight="1" x14ac:dyDescent="0.35">
      <c r="B36" s="125">
        <f t="shared" si="25"/>
        <v>3</v>
      </c>
      <c r="C36" s="230">
        <f t="shared" si="26"/>
        <v>103.66589999999999</v>
      </c>
      <c r="D36" s="30">
        <f t="shared" si="27"/>
        <v>0</v>
      </c>
      <c r="E36" s="31">
        <f t="shared" si="28"/>
        <v>147.7848628313503</v>
      </c>
      <c r="F36" s="31">
        <f t="shared" si="29"/>
        <v>10</v>
      </c>
      <c r="G36" s="34">
        <f t="shared" si="40"/>
        <v>0.15</v>
      </c>
      <c r="H36" s="35">
        <f t="shared" ref="H36:H46" si="44">H35</f>
        <v>0.2</v>
      </c>
      <c r="I36" s="423">
        <f t="shared" ref="I36:I46" si="45">SUM(C36:F36)*(1+G36)*(1+H36)</f>
        <v>360.80205270726333</v>
      </c>
      <c r="J36" s="233">
        <f t="shared" si="41"/>
        <v>122.01480894035521</v>
      </c>
      <c r="K36" s="31">
        <f t="shared" si="41"/>
        <v>0</v>
      </c>
      <c r="L36" s="31">
        <f t="shared" ref="L36:L41" si="46">L77</f>
        <v>173.94284719125392</v>
      </c>
      <c r="M36" s="31">
        <f t="shared" si="42"/>
        <v>0</v>
      </c>
      <c r="N36" s="31"/>
      <c r="O36" s="137">
        <f t="shared" si="43"/>
        <v>0.05</v>
      </c>
      <c r="P36" s="419">
        <f t="shared" si="30"/>
        <v>428.84264373470165</v>
      </c>
      <c r="Q36" s="145">
        <f t="shared" ref="Q36:Q41" si="47">O77*(1+H36)</f>
        <v>1148.6121369790246</v>
      </c>
      <c r="R36" s="146">
        <f t="shared" ref="R36:R41" si="48">P77*(1+H36)</f>
        <v>4998.6190424207171</v>
      </c>
      <c r="S36" s="149">
        <f t="shared" si="31"/>
        <v>0.2297858923097244</v>
      </c>
      <c r="T36" s="345">
        <f t="shared" si="32"/>
        <v>1.2358504521484208</v>
      </c>
      <c r="U36" s="355">
        <f t="shared" si="33"/>
        <v>13854.186817712885</v>
      </c>
      <c r="W36" s="38"/>
      <c r="X36" s="345">
        <f t="shared" si="34"/>
        <v>1.1770004306175437</v>
      </c>
      <c r="Y36" s="345"/>
      <c r="Z36" s="345"/>
      <c r="AA36" s="345"/>
      <c r="AC36" s="38">
        <f t="shared" si="35"/>
        <v>13720</v>
      </c>
      <c r="AD36" s="42">
        <v>271.3</v>
      </c>
      <c r="AE36" s="43"/>
      <c r="AG36" s="174">
        <v>1036659</v>
      </c>
      <c r="AH36" s="175">
        <v>14878.665028822257</v>
      </c>
      <c r="AJ36" s="10">
        <f t="shared" si="36"/>
        <v>0</v>
      </c>
      <c r="AK36" s="10">
        <f t="shared" si="37"/>
        <v>1159.4679028435294</v>
      </c>
      <c r="AL36" s="351">
        <f t="shared" si="38"/>
        <v>-71.633675451210536</v>
      </c>
      <c r="AM36" s="351">
        <f t="shared" si="39"/>
        <v>-71.473773955783656</v>
      </c>
    </row>
    <row r="37" spans="2:39" s="9" customFormat="1" ht="19.5" customHeight="1" x14ac:dyDescent="0.35">
      <c r="B37" s="125">
        <f t="shared" si="25"/>
        <v>4</v>
      </c>
      <c r="C37" s="230">
        <f t="shared" si="26"/>
        <v>51.670999999999999</v>
      </c>
      <c r="D37" s="30">
        <f t="shared" si="27"/>
        <v>13.375275</v>
      </c>
      <c r="E37" s="31">
        <f t="shared" si="28"/>
        <v>67.01360003998586</v>
      </c>
      <c r="F37" s="31">
        <f t="shared" si="29"/>
        <v>0</v>
      </c>
      <c r="G37" s="34">
        <f t="shared" si="40"/>
        <v>0.15</v>
      </c>
      <c r="H37" s="35">
        <f t="shared" si="44"/>
        <v>0.2</v>
      </c>
      <c r="I37" s="423">
        <f t="shared" si="45"/>
        <v>182.24262755518046</v>
      </c>
      <c r="J37" s="233">
        <f t="shared" si="41"/>
        <v>76.372668353603601</v>
      </c>
      <c r="K37" s="31">
        <f t="shared" si="41"/>
        <v>19.769414985451132</v>
      </c>
      <c r="L37" s="31">
        <f t="shared" si="46"/>
        <v>99.049901318628969</v>
      </c>
      <c r="M37" s="31">
        <f t="shared" si="42"/>
        <v>0</v>
      </c>
      <c r="N37" s="31"/>
      <c r="O37" s="137">
        <f t="shared" si="43"/>
        <v>0.05</v>
      </c>
      <c r="P37" s="419">
        <f t="shared" si="30"/>
        <v>282.83318576898364</v>
      </c>
      <c r="Q37" s="145">
        <f t="shared" si="47"/>
        <v>757.54040476364582</v>
      </c>
      <c r="R37" s="146">
        <f t="shared" si="48"/>
        <v>3312.1939588848354</v>
      </c>
      <c r="S37" s="149">
        <f t="shared" si="31"/>
        <v>0.22871257364973213</v>
      </c>
      <c r="T37" s="345">
        <f t="shared" si="32"/>
        <v>1.551959547353134</v>
      </c>
      <c r="U37" s="355">
        <f t="shared" si="33"/>
        <v>18174.638959712927</v>
      </c>
      <c r="W37" s="38"/>
      <c r="X37" s="345">
        <f t="shared" si="34"/>
        <v>1.4780567117648895</v>
      </c>
      <c r="Y37" s="345"/>
      <c r="Z37" s="345"/>
      <c r="AA37" s="345"/>
      <c r="AC37" s="38">
        <f t="shared" si="35"/>
        <v>17310</v>
      </c>
      <c r="AD37" s="42">
        <v>117.5</v>
      </c>
      <c r="AE37" s="43"/>
      <c r="AG37" s="174">
        <v>516710</v>
      </c>
      <c r="AH37" s="175">
        <v>17309.179961631362</v>
      </c>
      <c r="AJ37" s="10">
        <f t="shared" si="36"/>
        <v>0</v>
      </c>
      <c r="AK37" s="10">
        <f t="shared" si="37"/>
        <v>0</v>
      </c>
      <c r="AL37" s="351">
        <f t="shared" si="38"/>
        <v>-30.373771259196729</v>
      </c>
      <c r="AM37" s="351">
        <f t="shared" si="39"/>
        <v>-47.138864294830597</v>
      </c>
    </row>
    <row r="38" spans="2:39" s="9" customFormat="1" ht="19.5" customHeight="1" x14ac:dyDescent="0.35">
      <c r="B38" s="126">
        <f t="shared" si="25"/>
        <v>5</v>
      </c>
      <c r="C38" s="229">
        <f t="shared" si="26"/>
        <v>45.249200000000002</v>
      </c>
      <c r="D38" s="46">
        <f t="shared" si="27"/>
        <v>81.644000000000005</v>
      </c>
      <c r="E38" s="47">
        <f t="shared" si="28"/>
        <v>47.1736</v>
      </c>
      <c r="F38" s="47">
        <f t="shared" si="29"/>
        <v>23.8</v>
      </c>
      <c r="G38" s="32">
        <f t="shared" si="40"/>
        <v>0.15</v>
      </c>
      <c r="H38" s="33">
        <f t="shared" si="44"/>
        <v>0.2</v>
      </c>
      <c r="I38" s="422">
        <f t="shared" si="45"/>
        <v>273.05618399999997</v>
      </c>
      <c r="J38" s="232">
        <f t="shared" si="41"/>
        <v>73.086671126616082</v>
      </c>
      <c r="K38" s="47">
        <f t="shared" si="41"/>
        <v>131.87168342117525</v>
      </c>
      <c r="L38" s="47">
        <f t="shared" si="46"/>
        <v>76.194968951020925</v>
      </c>
      <c r="M38" s="47">
        <f t="shared" si="42"/>
        <v>38.44184588486565</v>
      </c>
      <c r="N38" s="47"/>
      <c r="O38" s="136">
        <f t="shared" si="43"/>
        <v>0.05</v>
      </c>
      <c r="P38" s="418">
        <f t="shared" si="30"/>
        <v>463.09340043694925</v>
      </c>
      <c r="Q38" s="143">
        <f t="shared" si="47"/>
        <v>1240.3493637303247</v>
      </c>
      <c r="R38" s="144">
        <f t="shared" si="48"/>
        <v>5381.1005690202492</v>
      </c>
      <c r="S38" s="150">
        <f t="shared" si="31"/>
        <v>0.2305010560239647</v>
      </c>
      <c r="T38" s="346">
        <f t="shared" si="32"/>
        <v>1.6959637890381905</v>
      </c>
      <c r="U38" s="356">
        <f t="shared" si="33"/>
        <v>19706.935364702269</v>
      </c>
      <c r="W38" s="48"/>
      <c r="X38" s="346">
        <f t="shared" si="34"/>
        <v>1.6152036086078003</v>
      </c>
      <c r="Y38" s="346"/>
      <c r="Z38" s="346"/>
      <c r="AA38" s="346"/>
      <c r="AC38" s="48">
        <f t="shared" si="35"/>
        <v>18770</v>
      </c>
      <c r="AD38" s="49">
        <v>96</v>
      </c>
      <c r="AE38" s="50"/>
      <c r="AG38" s="174">
        <v>452492</v>
      </c>
      <c r="AH38" s="175">
        <v>20353.95501845314</v>
      </c>
      <c r="AJ38" s="10">
        <f t="shared" si="36"/>
        <v>0</v>
      </c>
      <c r="AK38" s="10">
        <f t="shared" si="37"/>
        <v>1585.4451473081208</v>
      </c>
      <c r="AL38" s="351">
        <f t="shared" si="38"/>
        <v>-45.509363999999977</v>
      </c>
      <c r="AM38" s="351">
        <f t="shared" si="39"/>
        <v>-77.182233406158161</v>
      </c>
    </row>
    <row r="39" spans="2:39" s="9" customFormat="1" ht="19.5" customHeight="1" x14ac:dyDescent="0.35">
      <c r="B39" s="125">
        <f t="shared" si="25"/>
        <v>6</v>
      </c>
      <c r="C39" s="230">
        <f t="shared" si="26"/>
        <v>78.499600000000001</v>
      </c>
      <c r="D39" s="30">
        <f t="shared" si="27"/>
        <v>5.6</v>
      </c>
      <c r="E39" s="31">
        <f t="shared" si="28"/>
        <v>150.22808941892904</v>
      </c>
      <c r="F39" s="31">
        <f t="shared" si="29"/>
        <v>0</v>
      </c>
      <c r="G39" s="36">
        <f t="shared" si="40"/>
        <v>0.15</v>
      </c>
      <c r="H39" s="37">
        <f t="shared" si="44"/>
        <v>0.2</v>
      </c>
      <c r="I39" s="423">
        <f t="shared" si="45"/>
        <v>323.37221139812203</v>
      </c>
      <c r="J39" s="233">
        <f t="shared" si="41"/>
        <v>103.37367076351237</v>
      </c>
      <c r="K39" s="31">
        <f t="shared" si="41"/>
        <v>7.3744650453718137</v>
      </c>
      <c r="L39" s="31">
        <f t="shared" si="46"/>
        <v>197.83067754515778</v>
      </c>
      <c r="M39" s="31">
        <f t="shared" si="42"/>
        <v>0</v>
      </c>
      <c r="N39" s="31"/>
      <c r="O39" s="138">
        <f t="shared" si="43"/>
        <v>0.05</v>
      </c>
      <c r="P39" s="419">
        <f t="shared" si="30"/>
        <v>447.13070055000674</v>
      </c>
      <c r="Q39" s="145">
        <f t="shared" si="47"/>
        <v>1197.5948683531381</v>
      </c>
      <c r="R39" s="146">
        <f t="shared" si="48"/>
        <v>5236.3284664024513</v>
      </c>
      <c r="S39" s="149">
        <f t="shared" si="31"/>
        <v>0.22870888945130086</v>
      </c>
      <c r="T39" s="345">
        <f t="shared" si="32"/>
        <v>1.3827121960072153</v>
      </c>
      <c r="U39" s="355">
        <f t="shared" si="33"/>
        <v>16192.88325290174</v>
      </c>
      <c r="W39" s="38"/>
      <c r="X39" s="345">
        <f t="shared" si="34"/>
        <v>1.3168687581021097</v>
      </c>
      <c r="Y39" s="345"/>
      <c r="Z39" s="345"/>
      <c r="AA39" s="345"/>
      <c r="AC39" s="38">
        <f t="shared" si="35"/>
        <v>15420</v>
      </c>
      <c r="AD39" s="42">
        <v>187.6</v>
      </c>
      <c r="AE39" s="43"/>
      <c r="AG39" s="174">
        <v>784996</v>
      </c>
      <c r="AH39" s="175">
        <v>16722.497667630407</v>
      </c>
      <c r="AJ39" s="10">
        <f t="shared" si="36"/>
        <v>0</v>
      </c>
      <c r="AK39" s="10">
        <f t="shared" si="37"/>
        <v>1300.704093438273</v>
      </c>
      <c r="AL39" s="351">
        <f t="shared" si="38"/>
        <v>-53.895368566353682</v>
      </c>
      <c r="AM39" s="351">
        <f t="shared" si="39"/>
        <v>-74.521783425001104</v>
      </c>
    </row>
    <row r="40" spans="2:39" s="9" customFormat="1" ht="19.5" customHeight="1" x14ac:dyDescent="0.35">
      <c r="B40" s="125">
        <f t="shared" si="25"/>
        <v>7</v>
      </c>
      <c r="C40" s="230">
        <f t="shared" si="26"/>
        <v>452.32499999999999</v>
      </c>
      <c r="D40" s="30">
        <f t="shared" si="27"/>
        <v>0</v>
      </c>
      <c r="E40" s="31">
        <f t="shared" si="28"/>
        <v>285.43950580184759</v>
      </c>
      <c r="F40" s="31">
        <f t="shared" si="29"/>
        <v>0</v>
      </c>
      <c r="G40" s="34">
        <f t="shared" si="40"/>
        <v>0.15</v>
      </c>
      <c r="H40" s="35">
        <f t="shared" si="44"/>
        <v>0.2</v>
      </c>
      <c r="I40" s="423">
        <f t="shared" si="45"/>
        <v>1018.1150180065495</v>
      </c>
      <c r="J40" s="233">
        <f t="shared" si="41"/>
        <v>244.23370023666456</v>
      </c>
      <c r="K40" s="31">
        <f t="shared" si="41"/>
        <v>0</v>
      </c>
      <c r="L40" s="31">
        <f t="shared" si="46"/>
        <v>155.0584003836986</v>
      </c>
      <c r="M40" s="31">
        <f t="shared" si="42"/>
        <v>0</v>
      </c>
      <c r="N40" s="31"/>
      <c r="O40" s="137">
        <f t="shared" si="43"/>
        <v>0.05</v>
      </c>
      <c r="P40" s="419">
        <f t="shared" si="30"/>
        <v>578.57425379890617</v>
      </c>
      <c r="Q40" s="145">
        <f t="shared" si="47"/>
        <v>1549.6532813749902</v>
      </c>
      <c r="R40" s="146">
        <f t="shared" si="48"/>
        <v>6560.4972204858595</v>
      </c>
      <c r="S40" s="149">
        <f t="shared" si="31"/>
        <v>0.23620973064907808</v>
      </c>
      <c r="T40" s="345">
        <f t="shared" si="32"/>
        <v>0.57038818066027386</v>
      </c>
      <c r="U40" s="355">
        <f t="shared" si="33"/>
        <v>6443.768242738618</v>
      </c>
      <c r="W40" s="38"/>
      <c r="X40" s="345">
        <f t="shared" si="34"/>
        <v>0.53995180508851948</v>
      </c>
      <c r="Y40" s="345"/>
      <c r="Z40" s="345"/>
      <c r="AA40" s="345"/>
      <c r="AC40" s="38">
        <f t="shared" si="35"/>
        <v>6160</v>
      </c>
      <c r="AD40" s="42">
        <v>601.6</v>
      </c>
      <c r="AE40" s="43"/>
      <c r="AG40" s="174">
        <v>4523250</v>
      </c>
      <c r="AH40" s="175">
        <v>6122.5543536037876</v>
      </c>
      <c r="AJ40" s="44">
        <f t="shared" si="36"/>
        <v>0</v>
      </c>
      <c r="AK40" s="10">
        <f t="shared" si="37"/>
        <v>-37.135854079146156</v>
      </c>
      <c r="AL40" s="351">
        <f t="shared" si="38"/>
        <v>-172.82188633442479</v>
      </c>
      <c r="AM40" s="351">
        <f t="shared" si="39"/>
        <v>-96.429042299817695</v>
      </c>
    </row>
    <row r="41" spans="2:39" s="12" customFormat="1" ht="19.5" customHeight="1" x14ac:dyDescent="0.35">
      <c r="B41" s="127">
        <f t="shared" si="25"/>
        <v>8</v>
      </c>
      <c r="C41" s="231">
        <f t="shared" si="26"/>
        <v>188.93360000000001</v>
      </c>
      <c r="D41" s="51">
        <f t="shared" si="27"/>
        <v>0</v>
      </c>
      <c r="E41" s="54">
        <f t="shared" si="28"/>
        <v>79.388787695034168</v>
      </c>
      <c r="F41" s="54">
        <f t="shared" si="29"/>
        <v>0</v>
      </c>
      <c r="G41" s="52">
        <f t="shared" si="40"/>
        <v>0.15</v>
      </c>
      <c r="H41" s="53">
        <f t="shared" si="44"/>
        <v>0.2</v>
      </c>
      <c r="I41" s="424">
        <f t="shared" si="45"/>
        <v>370.2848950191472</v>
      </c>
      <c r="J41" s="234">
        <f t="shared" si="41"/>
        <v>171.85525629119167</v>
      </c>
      <c r="K41" s="54">
        <f t="shared" si="41"/>
        <v>0</v>
      </c>
      <c r="L41" s="54">
        <f t="shared" si="46"/>
        <v>72.212568097877238</v>
      </c>
      <c r="M41" s="54">
        <f t="shared" si="42"/>
        <v>0</v>
      </c>
      <c r="N41" s="54"/>
      <c r="O41" s="139">
        <f t="shared" si="43"/>
        <v>0.05</v>
      </c>
      <c r="P41" s="420">
        <f t="shared" si="30"/>
        <v>353.65427753976076</v>
      </c>
      <c r="Q41" s="147">
        <f t="shared" si="47"/>
        <v>947.2276169624954</v>
      </c>
      <c r="R41" s="148">
        <f t="shared" si="48"/>
        <v>4062.0530364563501</v>
      </c>
      <c r="S41" s="151">
        <f t="shared" si="31"/>
        <v>0.23318937701237816</v>
      </c>
      <c r="T41" s="347">
        <f t="shared" si="32"/>
        <v>0.95508696762117085</v>
      </c>
      <c r="U41" s="357">
        <f t="shared" si="33"/>
        <v>10970.074910148047</v>
      </c>
      <c r="W41" s="55"/>
      <c r="X41" s="347">
        <f t="shared" si="34"/>
        <v>0.90960663582968648</v>
      </c>
      <c r="Y41" s="347"/>
      <c r="Z41" s="347"/>
      <c r="AA41" s="347"/>
      <c r="AC41" s="55">
        <f t="shared" si="35"/>
        <v>10450</v>
      </c>
      <c r="AD41" s="56">
        <v>283.5</v>
      </c>
      <c r="AE41" s="57"/>
      <c r="AG41" s="174">
        <v>1119727</v>
      </c>
      <c r="AH41" s="175">
        <v>8814.2902563960324</v>
      </c>
      <c r="AJ41" s="10">
        <f t="shared" si="36"/>
        <v>-76.960900000000009</v>
      </c>
      <c r="AK41" s="10">
        <f t="shared" si="37"/>
        <v>-1633.4001342211577</v>
      </c>
      <c r="AL41" s="351">
        <f t="shared" si="38"/>
        <v>-61.714149169857876</v>
      </c>
      <c r="AM41" s="351">
        <f t="shared" si="39"/>
        <v>-58.942379589960069</v>
      </c>
    </row>
    <row r="42" spans="2:39" s="12" customFormat="1" ht="19.5" customHeight="1" x14ac:dyDescent="0.35">
      <c r="B42" s="126">
        <f t="shared" si="25"/>
        <v>9</v>
      </c>
      <c r="C42" s="229">
        <f t="shared" si="26"/>
        <v>418.58800000000002</v>
      </c>
      <c r="D42" s="46">
        <f t="shared" si="27"/>
        <v>0</v>
      </c>
      <c r="E42" s="47">
        <f t="shared" si="28"/>
        <v>363.69600000000003</v>
      </c>
      <c r="F42" s="47">
        <f t="shared" si="29"/>
        <v>0</v>
      </c>
      <c r="G42" s="58">
        <f t="shared" si="40"/>
        <v>0.15</v>
      </c>
      <c r="H42" s="59">
        <f t="shared" si="44"/>
        <v>0.2</v>
      </c>
      <c r="I42" s="422">
        <f t="shared" si="45"/>
        <v>1079.5519200000001</v>
      </c>
      <c r="J42" s="232">
        <f t="shared" si="41"/>
        <v>283.80500367592487</v>
      </c>
      <c r="K42" s="47">
        <f t="shared" si="41"/>
        <v>0</v>
      </c>
      <c r="L42" s="152">
        <f>E42*X42</f>
        <v>246.58792085993665</v>
      </c>
      <c r="M42" s="47">
        <f t="shared" si="42"/>
        <v>0</v>
      </c>
      <c r="N42" s="47"/>
      <c r="O42" s="140">
        <f t="shared" si="43"/>
        <v>0.05</v>
      </c>
      <c r="P42" s="418">
        <f t="shared" si="30"/>
        <v>768.53934765246322</v>
      </c>
      <c r="Q42" s="180">
        <f>O83*(1+H42)*(J42+L42)/J42</f>
        <v>2058.4557887523579</v>
      </c>
      <c r="R42" s="182">
        <f>P83*(1+H42)*(J42+L42)/J42</f>
        <v>8864.5124087393979</v>
      </c>
      <c r="S42" s="150">
        <f t="shared" si="31"/>
        <v>0.23221308672578037</v>
      </c>
      <c r="T42" s="346">
        <f t="shared" si="32"/>
        <v>0.71190586892056418</v>
      </c>
      <c r="U42" s="356">
        <f t="shared" si="33"/>
        <v>8211.2886323609109</v>
      </c>
      <c r="W42" s="48"/>
      <c r="X42" s="346">
        <f t="shared" si="34"/>
        <v>0.67800558944815625</v>
      </c>
      <c r="Y42" s="346"/>
      <c r="Z42" s="346"/>
      <c r="AA42" s="346"/>
      <c r="AC42" s="48">
        <f t="shared" si="35"/>
        <v>7820</v>
      </c>
      <c r="AD42" s="49">
        <v>1018.5</v>
      </c>
      <c r="AE42" s="50"/>
      <c r="AG42" s="174">
        <v>4185880</v>
      </c>
      <c r="AH42" s="175">
        <v>8482.2215550271558</v>
      </c>
      <c r="AJ42" s="45">
        <f t="shared" si="36"/>
        <v>0</v>
      </c>
      <c r="AK42" s="10">
        <f t="shared" si="37"/>
        <v>661.94666706438238</v>
      </c>
      <c r="AL42" s="351">
        <f t="shared" si="38"/>
        <v>-598.17572000000018</v>
      </c>
      <c r="AM42" s="351">
        <f t="shared" si="39"/>
        <v>-425.84480571378396</v>
      </c>
    </row>
    <row r="43" spans="2:39" s="12" customFormat="1" ht="19.5" customHeight="1" x14ac:dyDescent="0.35">
      <c r="B43" s="125">
        <f t="shared" si="25"/>
        <v>10</v>
      </c>
      <c r="C43" s="230">
        <f t="shared" si="26"/>
        <v>157.22989999999999</v>
      </c>
      <c r="D43" s="30">
        <f t="shared" si="27"/>
        <v>0</v>
      </c>
      <c r="E43" s="31">
        <f t="shared" si="28"/>
        <v>39.023783849653412</v>
      </c>
      <c r="F43" s="31">
        <f t="shared" si="29"/>
        <v>0</v>
      </c>
      <c r="G43" s="34">
        <f t="shared" si="40"/>
        <v>0.15</v>
      </c>
      <c r="H43" s="35">
        <f t="shared" si="44"/>
        <v>0.2</v>
      </c>
      <c r="I43" s="423">
        <f t="shared" si="45"/>
        <v>270.83008371252163</v>
      </c>
      <c r="J43" s="233">
        <f t="shared" si="41"/>
        <v>170.62453565497094</v>
      </c>
      <c r="K43" s="31">
        <f t="shared" si="41"/>
        <v>0</v>
      </c>
      <c r="L43" s="31">
        <f>L84</f>
        <v>42.758921620467703</v>
      </c>
      <c r="M43" s="31">
        <f t="shared" si="42"/>
        <v>0</v>
      </c>
      <c r="N43" s="31"/>
      <c r="O43" s="137">
        <f t="shared" si="43"/>
        <v>0.05</v>
      </c>
      <c r="P43" s="419">
        <f t="shared" si="30"/>
        <v>309.19262959211056</v>
      </c>
      <c r="Q43" s="145">
        <f>O84*(1+H43)</f>
        <v>828.14153909950892</v>
      </c>
      <c r="R43" s="146">
        <f>P84*(1+H43)</f>
        <v>3611.5559736601103</v>
      </c>
      <c r="S43" s="149">
        <f t="shared" si="31"/>
        <v>0.22930325464684231</v>
      </c>
      <c r="T43" s="345">
        <f t="shared" si="32"/>
        <v>1.1505001123024066</v>
      </c>
      <c r="U43" s="355">
        <f t="shared" si="33"/>
        <v>13335.135905705636</v>
      </c>
      <c r="W43" s="38"/>
      <c r="X43" s="345">
        <f t="shared" si="34"/>
        <v>1.0851914022394655</v>
      </c>
      <c r="Y43" s="345"/>
      <c r="Z43" s="345"/>
      <c r="AA43" s="345"/>
      <c r="AC43" s="38">
        <f t="shared" si="35"/>
        <v>12800</v>
      </c>
      <c r="AD43" s="42">
        <v>124.5</v>
      </c>
      <c r="AE43" s="43">
        <v>1.51</v>
      </c>
      <c r="AG43" s="174">
        <v>1535818</v>
      </c>
      <c r="AH43" s="175">
        <v>13805.755778426143</v>
      </c>
      <c r="AJ43" s="44">
        <f t="shared" si="36"/>
        <v>-2.1380999999999997</v>
      </c>
      <c r="AK43" s="10">
        <f t="shared" si="37"/>
        <v>1007.152314011897</v>
      </c>
      <c r="AL43" s="351">
        <f t="shared" si="38"/>
        <v>-46.87484728542023</v>
      </c>
      <c r="AM43" s="351">
        <f t="shared" si="39"/>
        <v>-51.532104932018399</v>
      </c>
    </row>
    <row r="44" spans="2:39" s="12" customFormat="1" ht="19.5" customHeight="1" x14ac:dyDescent="0.35">
      <c r="B44" s="125">
        <f t="shared" si="25"/>
        <v>11</v>
      </c>
      <c r="C44" s="230">
        <f t="shared" si="26"/>
        <v>109.6369</v>
      </c>
      <c r="D44" s="30">
        <f t="shared" si="27"/>
        <v>0</v>
      </c>
      <c r="E44" s="31">
        <f t="shared" si="28"/>
        <v>162.86717936000002</v>
      </c>
      <c r="F44" s="31">
        <f t="shared" si="29"/>
        <v>0</v>
      </c>
      <c r="G44" s="34">
        <f t="shared" si="40"/>
        <v>0.15</v>
      </c>
      <c r="H44" s="35">
        <f t="shared" si="44"/>
        <v>0.2</v>
      </c>
      <c r="I44" s="423">
        <f t="shared" si="45"/>
        <v>376.05562951679997</v>
      </c>
      <c r="J44" s="233">
        <f t="shared" si="41"/>
        <v>162.44113063927753</v>
      </c>
      <c r="K44" s="31">
        <f t="shared" si="41"/>
        <v>0</v>
      </c>
      <c r="L44" s="156">
        <f>E44*X44</f>
        <v>241.30861743873101</v>
      </c>
      <c r="M44" s="31">
        <f t="shared" si="42"/>
        <v>0</v>
      </c>
      <c r="N44" s="31"/>
      <c r="O44" s="137">
        <f t="shared" si="43"/>
        <v>0.05</v>
      </c>
      <c r="P44" s="419">
        <f t="shared" si="30"/>
        <v>585.03338496503432</v>
      </c>
      <c r="Q44" s="179">
        <f>O85*(1+H44)*(J44+L44)/J44</f>
        <v>1566.9534182903483</v>
      </c>
      <c r="R44" s="181">
        <f>P85*(1+H44)*(J44+L44)/J44</f>
        <v>6855.2532715565894</v>
      </c>
      <c r="S44" s="149">
        <f t="shared" si="31"/>
        <v>0.22857702789652698</v>
      </c>
      <c r="T44" s="345">
        <f t="shared" si="32"/>
        <v>1.555709685071736</v>
      </c>
      <c r="U44" s="355">
        <f t="shared" si="33"/>
        <v>18229.359524187996</v>
      </c>
      <c r="W44" s="38"/>
      <c r="X44" s="345">
        <f t="shared" si="34"/>
        <v>1.4816282714968914</v>
      </c>
      <c r="Y44" s="345"/>
      <c r="Z44" s="345"/>
      <c r="AA44" s="345"/>
      <c r="AC44" s="38">
        <f t="shared" si="35"/>
        <v>17360</v>
      </c>
      <c r="AD44" s="41"/>
      <c r="AE44" s="43"/>
      <c r="AG44" s="174">
        <v>1096369</v>
      </c>
      <c r="AH44" s="175">
        <v>17361.294784940943</v>
      </c>
      <c r="AJ44" s="45">
        <f t="shared" si="36"/>
        <v>0</v>
      </c>
      <c r="AK44" s="10">
        <f t="shared" si="37"/>
        <v>0</v>
      </c>
      <c r="AL44" s="351">
        <f t="shared" si="38"/>
        <v>-249.97319451679999</v>
      </c>
      <c r="AM44" s="351">
        <f t="shared" si="39"/>
        <v>-388.88571971810666</v>
      </c>
    </row>
    <row r="45" spans="2:39" s="9" customFormat="1" ht="19.5" customHeight="1" x14ac:dyDescent="0.35">
      <c r="B45" s="127">
        <f t="shared" si="25"/>
        <v>12</v>
      </c>
      <c r="C45" s="231">
        <f t="shared" si="26"/>
        <v>85.521299999999997</v>
      </c>
      <c r="D45" s="51">
        <f t="shared" si="27"/>
        <v>60</v>
      </c>
      <c r="E45" s="54">
        <f t="shared" si="28"/>
        <v>344.33337748019386</v>
      </c>
      <c r="F45" s="54">
        <f t="shared" si="29"/>
        <v>40</v>
      </c>
      <c r="G45" s="60">
        <f t="shared" si="40"/>
        <v>0.15</v>
      </c>
      <c r="H45" s="61">
        <f t="shared" si="44"/>
        <v>0.2</v>
      </c>
      <c r="I45" s="424">
        <f>SUM(C45:F45)*(1+G45)*(1+H45)</f>
        <v>731.19945492266754</v>
      </c>
      <c r="J45" s="234">
        <f t="shared" si="41"/>
        <v>89.606466077927749</v>
      </c>
      <c r="K45" s="54">
        <f t="shared" si="41"/>
        <v>62.866069209374331</v>
      </c>
      <c r="L45" s="54">
        <f>L86</f>
        <v>360.78143232945803</v>
      </c>
      <c r="M45" s="342">
        <f>F45*X45</f>
        <v>41.910712806249549</v>
      </c>
      <c r="N45" s="342"/>
      <c r="O45" s="141">
        <f t="shared" si="43"/>
        <v>0.05</v>
      </c>
      <c r="P45" s="420">
        <f t="shared" si="30"/>
        <v>804.43362193294081</v>
      </c>
      <c r="Q45" s="353">
        <f>O86*(1+H45)*(J45+K45+L45+M45)/(J45+K45+L45+0)</f>
        <v>2154.595012985189</v>
      </c>
      <c r="R45" s="354">
        <f>P86*(1+H45)*(J45+K45+L45+M45)/(J45+K45+L45+0)</f>
        <v>9161.1186031309626</v>
      </c>
      <c r="S45" s="151">
        <f t="shared" si="31"/>
        <v>0.23518907530012997</v>
      </c>
      <c r="T45" s="347">
        <f t="shared" si="32"/>
        <v>1.1001562111640508</v>
      </c>
      <c r="U45" s="357">
        <f t="shared" si="33"/>
        <v>12528.89145561501</v>
      </c>
      <c r="W45" s="55"/>
      <c r="X45" s="347">
        <f t="shared" si="34"/>
        <v>1.0477678201562388</v>
      </c>
      <c r="Y45" s="347"/>
      <c r="Z45" s="347"/>
      <c r="AA45" s="347"/>
      <c r="AC45" s="55">
        <f t="shared" si="35"/>
        <v>11930</v>
      </c>
      <c r="AD45" s="56">
        <v>394.8446068720018</v>
      </c>
      <c r="AE45" s="57">
        <v>0.12</v>
      </c>
      <c r="AG45" s="174">
        <v>854013</v>
      </c>
      <c r="AH45" s="175">
        <v>11949.043987934025</v>
      </c>
      <c r="AJ45" s="10">
        <f t="shared" si="36"/>
        <v>9.6589403142388619E-15</v>
      </c>
      <c r="AK45" s="10">
        <f t="shared" si="37"/>
        <v>16.766411157826951</v>
      </c>
      <c r="AL45" s="351">
        <f t="shared" si="38"/>
        <v>-167.86657582044461</v>
      </c>
      <c r="AM45" s="351">
        <f t="shared" si="39"/>
        <v>-184.67945603570308</v>
      </c>
    </row>
    <row r="46" spans="2:39" s="9" customFormat="1" ht="19.5" customHeight="1" x14ac:dyDescent="0.35">
      <c r="B46" s="125">
        <f t="shared" si="25"/>
        <v>13</v>
      </c>
      <c r="C46" s="230">
        <f t="shared" si="26"/>
        <v>7.2237</v>
      </c>
      <c r="D46" s="30">
        <f t="shared" si="27"/>
        <v>0</v>
      </c>
      <c r="E46" s="31">
        <f t="shared" si="28"/>
        <v>0</v>
      </c>
      <c r="F46" s="47">
        <f t="shared" si="29"/>
        <v>0</v>
      </c>
      <c r="G46" s="36">
        <f t="shared" si="40"/>
        <v>0.15</v>
      </c>
      <c r="H46" s="37">
        <f t="shared" si="44"/>
        <v>0.2</v>
      </c>
      <c r="I46" s="423">
        <f t="shared" si="45"/>
        <v>9.9687059999999992</v>
      </c>
      <c r="J46" s="233">
        <f t="shared" si="41"/>
        <v>13.139682276843978</v>
      </c>
      <c r="K46" s="31">
        <f t="shared" si="41"/>
        <v>0</v>
      </c>
      <c r="L46" s="31">
        <f>L87</f>
        <v>0</v>
      </c>
      <c r="M46" s="31">
        <f>M87</f>
        <v>0</v>
      </c>
      <c r="N46" s="31"/>
      <c r="O46" s="138">
        <f t="shared" si="43"/>
        <v>0.05</v>
      </c>
      <c r="P46" s="419">
        <f t="shared" si="30"/>
        <v>19.03939961914692</v>
      </c>
      <c r="Q46" s="145">
        <f>O87*(1+H46)</f>
        <v>50.995127939923123</v>
      </c>
      <c r="R46" s="146">
        <f>P87*(1+H46)</f>
        <v>217.45237869237829</v>
      </c>
      <c r="S46" s="149">
        <f t="shared" si="31"/>
        <v>0.2345117043399374</v>
      </c>
      <c r="T46" s="345">
        <f t="shared" si="32"/>
        <v>1.909916855722992</v>
      </c>
      <c r="U46" s="355">
        <f t="shared" si="33"/>
        <v>21813.501039390499</v>
      </c>
      <c r="W46" s="38"/>
      <c r="X46" s="345">
        <f t="shared" si="34"/>
        <v>1.818968434021897</v>
      </c>
      <c r="Y46" s="345"/>
      <c r="Z46" s="345"/>
      <c r="AA46" s="345"/>
      <c r="AC46" s="38">
        <f>R46*1000*(1-O46)/I46</f>
        <v>20722.825987420973</v>
      </c>
      <c r="AD46" s="41">
        <v>0</v>
      </c>
      <c r="AE46" s="43"/>
      <c r="AG46" s="174">
        <v>72237</v>
      </c>
      <c r="AH46" s="175">
        <v>20774.762894657615</v>
      </c>
      <c r="AJ46" s="10">
        <f t="shared" si="36"/>
        <v>0</v>
      </c>
      <c r="AK46" s="10">
        <f t="shared" si="37"/>
        <v>15902.837840973367</v>
      </c>
      <c r="AL46" s="351">
        <f t="shared" si="38"/>
        <v>-1.6614509999999996</v>
      </c>
      <c r="AM46" s="351">
        <f t="shared" si="39"/>
        <v>-3.1732332698578176</v>
      </c>
    </row>
    <row r="47" spans="2:39" s="9" customFormat="1" ht="19.5" customHeight="1" x14ac:dyDescent="0.35">
      <c r="B47" s="125">
        <v>14</v>
      </c>
      <c r="C47" s="230"/>
      <c r="D47" s="30"/>
      <c r="E47" s="31"/>
      <c r="F47" s="31"/>
      <c r="G47" s="36"/>
      <c r="H47" s="37"/>
      <c r="I47" s="423"/>
      <c r="J47" s="233"/>
      <c r="K47" s="31"/>
      <c r="L47" s="31"/>
      <c r="M47" s="31"/>
      <c r="N47" s="31"/>
      <c r="O47" s="138"/>
      <c r="P47" s="419"/>
      <c r="Q47" s="145"/>
      <c r="R47" s="146"/>
      <c r="S47" s="149"/>
      <c r="T47" s="343"/>
      <c r="U47" s="355"/>
      <c r="W47" s="38"/>
      <c r="X47" s="343"/>
      <c r="Y47" s="343"/>
      <c r="Z47" s="343"/>
      <c r="AA47" s="343"/>
      <c r="AC47" s="38"/>
      <c r="AD47" s="41"/>
      <c r="AE47" s="43"/>
      <c r="AG47" s="174"/>
      <c r="AH47" s="175"/>
      <c r="AJ47" s="10"/>
      <c r="AK47" s="10"/>
      <c r="AL47" s="351">
        <f t="shared" si="38"/>
        <v>0</v>
      </c>
      <c r="AM47" s="351">
        <f t="shared" si="39"/>
        <v>0</v>
      </c>
    </row>
    <row r="48" spans="2:39" s="9" customFormat="1" ht="19.5" customHeight="1" x14ac:dyDescent="0.35">
      <c r="B48" s="125">
        <v>15</v>
      </c>
      <c r="C48" s="230"/>
      <c r="D48" s="30"/>
      <c r="E48" s="31"/>
      <c r="F48" s="31"/>
      <c r="G48" s="36"/>
      <c r="H48" s="37"/>
      <c r="I48" s="423"/>
      <c r="J48" s="233"/>
      <c r="K48" s="31"/>
      <c r="L48" s="31"/>
      <c r="M48" s="31"/>
      <c r="N48" s="31"/>
      <c r="O48" s="138"/>
      <c r="P48" s="419"/>
      <c r="Q48" s="145"/>
      <c r="R48" s="146"/>
      <c r="S48" s="149"/>
      <c r="T48" s="343"/>
      <c r="U48" s="355"/>
      <c r="W48" s="38"/>
      <c r="X48" s="343"/>
      <c r="Y48" s="343"/>
      <c r="Z48" s="343"/>
      <c r="AA48" s="343"/>
      <c r="AC48" s="38"/>
      <c r="AD48" s="41"/>
      <c r="AE48" s="43"/>
      <c r="AG48" s="174"/>
      <c r="AH48" s="175"/>
      <c r="AJ48" s="10"/>
      <c r="AK48" s="10"/>
      <c r="AL48" s="351">
        <f t="shared" si="38"/>
        <v>0</v>
      </c>
      <c r="AM48" s="351">
        <f t="shared" si="39"/>
        <v>0</v>
      </c>
    </row>
    <row r="49" spans="2:39" s="9" customFormat="1" ht="19.5" customHeight="1" x14ac:dyDescent="0.35">
      <c r="B49" s="127">
        <v>16</v>
      </c>
      <c r="C49" s="231">
        <f>332012/10000</f>
        <v>33.2012</v>
      </c>
      <c r="D49" s="51">
        <v>0</v>
      </c>
      <c r="E49" s="54">
        <v>0</v>
      </c>
      <c r="F49" s="54">
        <v>0</v>
      </c>
      <c r="G49" s="60"/>
      <c r="H49" s="61"/>
      <c r="I49" s="424">
        <f>SUM(C49:F49)*(1+G49)*(1+H49)</f>
        <v>33.2012</v>
      </c>
      <c r="J49" s="234">
        <v>37.895949482004404</v>
      </c>
      <c r="K49" s="54">
        <v>0</v>
      </c>
      <c r="L49" s="54">
        <v>0</v>
      </c>
      <c r="M49" s="54">
        <v>0</v>
      </c>
      <c r="N49" s="54"/>
      <c r="O49" s="141"/>
      <c r="P49" s="420">
        <f>SUM(J49:M49)*(1+H49)*(1+O49)*(1+G49)</f>
        <v>37.895949482004404</v>
      </c>
      <c r="Q49" s="147">
        <v>101.5005110926006</v>
      </c>
      <c r="R49" s="148">
        <v>440.45090208256005</v>
      </c>
      <c r="S49" s="151">
        <f>Q49/R49</f>
        <v>0.23044682304584066</v>
      </c>
      <c r="T49" s="344">
        <f>J49/C49</f>
        <v>1.1414030059758202</v>
      </c>
      <c r="U49" s="357">
        <f>R49*1000/I49</f>
        <v>13266.113938127539</v>
      </c>
      <c r="W49" s="55"/>
      <c r="X49" s="344">
        <f>J49/C49</f>
        <v>1.1414030059758202</v>
      </c>
      <c r="Y49" s="344"/>
      <c r="Z49" s="344"/>
      <c r="AA49" s="344"/>
      <c r="AC49" s="55">
        <f>R49*1000*(1-O49)/I49</f>
        <v>13266.113938127539</v>
      </c>
      <c r="AD49" s="56"/>
      <c r="AE49" s="57"/>
      <c r="AG49" s="174"/>
      <c r="AH49" s="175"/>
      <c r="AJ49" s="10"/>
      <c r="AK49" s="10"/>
      <c r="AL49" s="351">
        <f t="shared" si="38"/>
        <v>-33.2012</v>
      </c>
      <c r="AM49" s="351">
        <f t="shared" si="39"/>
        <v>-37.895949482004404</v>
      </c>
    </row>
    <row r="50" spans="2:39" s="9" customFormat="1" ht="29.25" customHeight="1" x14ac:dyDescent="0.35">
      <c r="B50" s="160" t="s">
        <v>4</v>
      </c>
      <c r="C50" s="352">
        <f>SUM(C34:C49)</f>
        <v>1903.1727000000001</v>
      </c>
      <c r="D50" s="339">
        <f>SUM(D34:D49)</f>
        <v>191.77257500000002</v>
      </c>
      <c r="E50" s="339">
        <f>SUM(E34:E49)</f>
        <v>1812.6087506769929</v>
      </c>
      <c r="F50" s="339">
        <f>SUM(F34:F49)</f>
        <v>73.8</v>
      </c>
      <c r="G50" s="161"/>
      <c r="H50" s="162"/>
      <c r="I50" s="425">
        <f>SUM(I34:I49)</f>
        <v>5481.65209943425</v>
      </c>
      <c r="J50" s="339">
        <f>SUM(J34:J49)</f>
        <v>1776.757908557599</v>
      </c>
      <c r="K50" s="339">
        <f>SUM(K34:K49)</f>
        <v>221.88163266137252</v>
      </c>
      <c r="L50" s="339">
        <f>SUM(L34:L49)</f>
        <v>1804.7229051152976</v>
      </c>
      <c r="M50" s="339">
        <f>SUM(M34:M49)</f>
        <v>80.352558691115206</v>
      </c>
      <c r="N50" s="339"/>
      <c r="O50" s="163"/>
      <c r="P50" s="421">
        <f>SUM(P34:P49)</f>
        <v>5610.4877609643609</v>
      </c>
      <c r="Q50" s="164">
        <f>SUM(Q34:Q49)</f>
        <v>15027.130418966943</v>
      </c>
      <c r="R50" s="165">
        <f>SUM(R34:R49)</f>
        <v>64866.718309663527</v>
      </c>
      <c r="S50" s="166">
        <f>SUMPRODUCT(S34:S49,I34:I49)/I50</f>
        <v>0.23236020389764417</v>
      </c>
      <c r="T50" s="358">
        <f>SUMPRODUCT(T34:T49,I34:I49)/I50</f>
        <v>1.0422364183893116</v>
      </c>
      <c r="U50" s="168">
        <f>ROUND(SUMPRODUCT(U34:U49,I34:I49)/I50,-1)</f>
        <v>11830</v>
      </c>
      <c r="W50" s="168"/>
      <c r="X50" s="358">
        <f>SUMPRODUCT(X34:X49,I34:I49)/I50</f>
        <v>0.99180713204201276</v>
      </c>
      <c r="Y50" s="358"/>
      <c r="Z50" s="358"/>
      <c r="AA50" s="358"/>
      <c r="AC50" s="168">
        <f>ROUND(SUMPRODUCT(AC34:AC49,I34:I49)/I50,-1)</f>
        <v>11480</v>
      </c>
      <c r="AD50" s="169"/>
      <c r="AE50" s="170"/>
      <c r="AG50" s="174"/>
      <c r="AH50" s="175"/>
      <c r="AJ50" s="10"/>
      <c r="AK50" s="10"/>
    </row>
    <row r="51" spans="2:39" ht="29.25" customHeight="1" x14ac:dyDescent="0.35">
      <c r="J51" s="366">
        <f>J50/1000*3600*24*31/S50/1000/1000</f>
        <v>20.480565529099721</v>
      </c>
      <c r="P51" s="369">
        <f>P50/J50</f>
        <v>3.1577108698613006</v>
      </c>
      <c r="R51" s="366">
        <f>R50/1000</f>
        <v>64.866718309663526</v>
      </c>
      <c r="U51" s="366">
        <f>U50*I50/1000/1000</f>
        <v>64.847944336307179</v>
      </c>
      <c r="W51" s="366"/>
      <c r="AC51" s="366">
        <f>AC50*I50/1000/1000</f>
        <v>62.929366101505188</v>
      </c>
    </row>
    <row r="52" spans="2:39" ht="29.25" customHeight="1" x14ac:dyDescent="0.35"/>
    <row r="53" spans="2:39" s="338" customFormat="1" ht="19.5" customHeight="1" x14ac:dyDescent="0.35">
      <c r="B53" s="124">
        <f>B34</f>
        <v>1</v>
      </c>
      <c r="C53" s="229"/>
      <c r="D53" s="28"/>
      <c r="E53" s="29"/>
      <c r="F53" s="29"/>
      <c r="G53" s="32"/>
      <c r="H53" s="33"/>
      <c r="I53" s="176"/>
      <c r="J53" s="232">
        <f t="shared" ref="J53:J68" si="49">C34*$X34</f>
        <v>72.755909034370646</v>
      </c>
      <c r="K53" s="29">
        <f t="shared" ref="K53:K68" si="50">D34*$X34</f>
        <v>1.977922115110663</v>
      </c>
      <c r="L53" s="29">
        <f t="shared" ref="L53:L68" si="51">E34*$X34</f>
        <v>17.811760602719435</v>
      </c>
      <c r="M53" s="29">
        <f t="shared" ref="M53:M68" si="52">F34*$X34</f>
        <v>0</v>
      </c>
      <c r="N53" s="29"/>
      <c r="O53" s="136"/>
      <c r="P53" s="133">
        <f t="shared" ref="P53:P68" si="53">SUM(J53:M53)*(1+H34)*(1+O34)*(1+G34)</f>
        <v>134.09856244893885</v>
      </c>
      <c r="Q53" s="143">
        <f>P53*3600*24*31/1000/1000</f>
        <v>359.16958966323779</v>
      </c>
      <c r="R53" s="144">
        <f t="shared" ref="R53:R65" si="54">Q53/S34</f>
        <v>1539.4414546396706</v>
      </c>
      <c r="S53" s="149"/>
      <c r="T53" s="153"/>
      <c r="U53" s="38"/>
    </row>
    <row r="54" spans="2:39" s="338" customFormat="1" ht="19.5" customHeight="1" x14ac:dyDescent="0.35">
      <c r="B54" s="125">
        <f t="shared" ref="B54:B65" si="55">B35</f>
        <v>2</v>
      </c>
      <c r="C54" s="230"/>
      <c r="D54" s="30"/>
      <c r="E54" s="31"/>
      <c r="F54" s="31"/>
      <c r="G54" s="34"/>
      <c r="H54" s="35"/>
      <c r="I54" s="177"/>
      <c r="J54" s="233">
        <f t="shared" si="49"/>
        <v>155.55245600433528</v>
      </c>
      <c r="K54" s="31">
        <f t="shared" si="50"/>
        <v>36.173755934914297</v>
      </c>
      <c r="L54" s="156">
        <f t="shared" si="51"/>
        <v>138.99664937906664</v>
      </c>
      <c r="M54" s="31">
        <f t="shared" si="52"/>
        <v>0</v>
      </c>
      <c r="N54" s="31"/>
      <c r="O54" s="137"/>
      <c r="P54" s="134">
        <f t="shared" si="53"/>
        <v>479.21742605024019</v>
      </c>
      <c r="Q54" s="179">
        <f t="shared" ref="Q54:Q68" si="56">P54*3600*24*31/1000/1000</f>
        <v>1283.5359539329634</v>
      </c>
      <c r="R54" s="181">
        <f t="shared" si="54"/>
        <v>5563.8979516478084</v>
      </c>
      <c r="S54" s="149"/>
      <c r="T54" s="153"/>
      <c r="U54" s="38"/>
    </row>
    <row r="55" spans="2:39" s="338" customFormat="1" ht="19.5" customHeight="1" x14ac:dyDescent="0.35">
      <c r="B55" s="125">
        <f t="shared" si="55"/>
        <v>3</v>
      </c>
      <c r="C55" s="230"/>
      <c r="D55" s="30"/>
      <c r="E55" s="31"/>
      <c r="F55" s="31"/>
      <c r="G55" s="34"/>
      <c r="H55" s="35"/>
      <c r="I55" s="177"/>
      <c r="J55" s="233">
        <f t="shared" si="49"/>
        <v>122.01480894035521</v>
      </c>
      <c r="K55" s="31">
        <f t="shared" si="50"/>
        <v>0</v>
      </c>
      <c r="L55" s="31">
        <f t="shared" si="51"/>
        <v>173.94284719125392</v>
      </c>
      <c r="M55" s="31">
        <f t="shared" si="52"/>
        <v>11.770004306175437</v>
      </c>
      <c r="N55" s="31"/>
      <c r="O55" s="137"/>
      <c r="P55" s="134">
        <f t="shared" si="53"/>
        <v>445.89737997434986</v>
      </c>
      <c r="Q55" s="145">
        <f t="shared" si="56"/>
        <v>1194.2915425232986</v>
      </c>
      <c r="R55" s="146">
        <f t="shared" si="54"/>
        <v>5197.4102087761503</v>
      </c>
      <c r="S55" s="149"/>
      <c r="T55" s="153"/>
      <c r="U55" s="38"/>
    </row>
    <row r="56" spans="2:39" s="338" customFormat="1" ht="19.5" customHeight="1" x14ac:dyDescent="0.35">
      <c r="B56" s="125">
        <f t="shared" si="55"/>
        <v>4</v>
      </c>
      <c r="C56" s="230"/>
      <c r="D56" s="30"/>
      <c r="E56" s="31"/>
      <c r="F56" s="31"/>
      <c r="G56" s="34"/>
      <c r="H56" s="35"/>
      <c r="I56" s="177"/>
      <c r="J56" s="233">
        <f t="shared" si="49"/>
        <v>76.372668353603601</v>
      </c>
      <c r="K56" s="31">
        <f t="shared" si="50"/>
        <v>19.769414985451132</v>
      </c>
      <c r="L56" s="31">
        <f t="shared" si="51"/>
        <v>99.049901318628969</v>
      </c>
      <c r="M56" s="31">
        <f t="shared" si="52"/>
        <v>0</v>
      </c>
      <c r="N56" s="31"/>
      <c r="O56" s="137"/>
      <c r="P56" s="134">
        <f t="shared" si="53"/>
        <v>282.83318576898364</v>
      </c>
      <c r="Q56" s="145">
        <f t="shared" si="56"/>
        <v>757.54040476364571</v>
      </c>
      <c r="R56" s="146">
        <f t="shared" si="54"/>
        <v>3312.1939588848354</v>
      </c>
      <c r="S56" s="149"/>
      <c r="T56" s="153"/>
      <c r="U56" s="38"/>
    </row>
    <row r="57" spans="2:39" s="338" customFormat="1" ht="19.5" customHeight="1" x14ac:dyDescent="0.35">
      <c r="B57" s="126">
        <f t="shared" si="55"/>
        <v>5</v>
      </c>
      <c r="C57" s="229"/>
      <c r="D57" s="46"/>
      <c r="E57" s="47"/>
      <c r="F57" s="47"/>
      <c r="G57" s="32"/>
      <c r="H57" s="33"/>
      <c r="I57" s="176"/>
      <c r="J57" s="232">
        <f t="shared" si="49"/>
        <v>73.086671126616082</v>
      </c>
      <c r="K57" s="47">
        <f t="shared" si="50"/>
        <v>131.87168342117525</v>
      </c>
      <c r="L57" s="47">
        <f t="shared" si="51"/>
        <v>76.194968951020925</v>
      </c>
      <c r="M57" s="47">
        <f t="shared" si="52"/>
        <v>38.44184588486565</v>
      </c>
      <c r="N57" s="47"/>
      <c r="O57" s="136"/>
      <c r="P57" s="133">
        <f t="shared" si="53"/>
        <v>463.09340043694925</v>
      </c>
      <c r="Q57" s="143">
        <f t="shared" si="56"/>
        <v>1240.349363730325</v>
      </c>
      <c r="R57" s="144">
        <f t="shared" si="54"/>
        <v>5381.1005690202501</v>
      </c>
      <c r="S57" s="150"/>
      <c r="T57" s="154"/>
      <c r="U57" s="48"/>
    </row>
    <row r="58" spans="2:39" s="338" customFormat="1" ht="19.5" customHeight="1" x14ac:dyDescent="0.35">
      <c r="B58" s="125">
        <f t="shared" si="55"/>
        <v>6</v>
      </c>
      <c r="C58" s="230"/>
      <c r="D58" s="30"/>
      <c r="E58" s="31"/>
      <c r="F58" s="31"/>
      <c r="G58" s="36"/>
      <c r="H58" s="37"/>
      <c r="I58" s="177"/>
      <c r="J58" s="233">
        <f t="shared" si="49"/>
        <v>103.37367076351237</v>
      </c>
      <c r="K58" s="31">
        <f t="shared" si="50"/>
        <v>7.3744650453718137</v>
      </c>
      <c r="L58" s="31">
        <f t="shared" si="51"/>
        <v>197.83067754515778</v>
      </c>
      <c r="M58" s="31">
        <f t="shared" si="52"/>
        <v>0</v>
      </c>
      <c r="N58" s="31"/>
      <c r="O58" s="138"/>
      <c r="P58" s="134">
        <f t="shared" si="53"/>
        <v>447.13070055000674</v>
      </c>
      <c r="Q58" s="145">
        <f t="shared" si="56"/>
        <v>1197.5948683531381</v>
      </c>
      <c r="R58" s="146">
        <f t="shared" si="54"/>
        <v>5236.3284664024513</v>
      </c>
      <c r="S58" s="149"/>
      <c r="T58" s="153"/>
      <c r="U58" s="38"/>
    </row>
    <row r="59" spans="2:39" s="338" customFormat="1" ht="19.5" customHeight="1" x14ac:dyDescent="0.35">
      <c r="B59" s="125">
        <f t="shared" si="55"/>
        <v>7</v>
      </c>
      <c r="C59" s="230"/>
      <c r="D59" s="30"/>
      <c r="E59" s="31"/>
      <c r="F59" s="31"/>
      <c r="G59" s="34"/>
      <c r="H59" s="35"/>
      <c r="I59" s="177"/>
      <c r="J59" s="233">
        <f t="shared" si="49"/>
        <v>244.23370023666456</v>
      </c>
      <c r="K59" s="31">
        <f t="shared" si="50"/>
        <v>0</v>
      </c>
      <c r="L59" s="31">
        <f t="shared" si="51"/>
        <v>154.12357640128252</v>
      </c>
      <c r="M59" s="31">
        <f t="shared" si="52"/>
        <v>0</v>
      </c>
      <c r="N59" s="31"/>
      <c r="O59" s="137"/>
      <c r="P59" s="134">
        <f t="shared" si="53"/>
        <v>577.2196938483853</v>
      </c>
      <c r="Q59" s="145">
        <f t="shared" si="56"/>
        <v>1546.0252280035152</v>
      </c>
      <c r="R59" s="146">
        <f t="shared" si="54"/>
        <v>6545.1377627636666</v>
      </c>
      <c r="S59" s="149"/>
      <c r="T59" s="153"/>
      <c r="U59" s="38"/>
    </row>
    <row r="60" spans="2:39" s="338" customFormat="1" ht="19.5" customHeight="1" x14ac:dyDescent="0.35">
      <c r="B60" s="127">
        <f t="shared" si="55"/>
        <v>8</v>
      </c>
      <c r="C60" s="231"/>
      <c r="D60" s="51"/>
      <c r="E60" s="54"/>
      <c r="F60" s="54"/>
      <c r="G60" s="52"/>
      <c r="H60" s="53"/>
      <c r="I60" s="178"/>
      <c r="J60" s="234">
        <f t="shared" si="49"/>
        <v>171.85525629119167</v>
      </c>
      <c r="K60" s="54">
        <f t="shared" si="50"/>
        <v>0</v>
      </c>
      <c r="L60" s="54">
        <f t="shared" si="51"/>
        <v>72.212568097877238</v>
      </c>
      <c r="M60" s="54">
        <f t="shared" si="52"/>
        <v>0</v>
      </c>
      <c r="N60" s="54"/>
      <c r="O60" s="139"/>
      <c r="P60" s="135">
        <f t="shared" si="53"/>
        <v>353.65427753976076</v>
      </c>
      <c r="Q60" s="147">
        <f t="shared" si="56"/>
        <v>947.22761696249518</v>
      </c>
      <c r="R60" s="148">
        <f t="shared" si="54"/>
        <v>4062.0530364563497</v>
      </c>
      <c r="S60" s="151"/>
      <c r="T60" s="155"/>
      <c r="U60" s="55"/>
    </row>
    <row r="61" spans="2:39" s="338" customFormat="1" ht="19.5" customHeight="1" x14ac:dyDescent="0.35">
      <c r="B61" s="126">
        <f t="shared" si="55"/>
        <v>9</v>
      </c>
      <c r="C61" s="229"/>
      <c r="D61" s="46"/>
      <c r="E61" s="47"/>
      <c r="F61" s="47"/>
      <c r="G61" s="58"/>
      <c r="H61" s="59"/>
      <c r="I61" s="176"/>
      <c r="J61" s="232">
        <f t="shared" si="49"/>
        <v>283.80500367592487</v>
      </c>
      <c r="K61" s="47">
        <f t="shared" si="50"/>
        <v>0</v>
      </c>
      <c r="L61" s="152">
        <f t="shared" si="51"/>
        <v>246.58792085993665</v>
      </c>
      <c r="M61" s="47">
        <f t="shared" si="52"/>
        <v>0</v>
      </c>
      <c r="N61" s="47"/>
      <c r="O61" s="140"/>
      <c r="P61" s="133">
        <f t="shared" si="53"/>
        <v>768.53934765246322</v>
      </c>
      <c r="Q61" s="180">
        <f t="shared" si="56"/>
        <v>2058.4557887523574</v>
      </c>
      <c r="R61" s="182">
        <f t="shared" si="54"/>
        <v>8864.5124087393961</v>
      </c>
      <c r="S61" s="150"/>
      <c r="T61" s="154"/>
      <c r="U61" s="48"/>
    </row>
    <row r="62" spans="2:39" s="338" customFormat="1" ht="19.5" customHeight="1" x14ac:dyDescent="0.35">
      <c r="B62" s="125">
        <f t="shared" si="55"/>
        <v>10</v>
      </c>
      <c r="C62" s="230"/>
      <c r="D62" s="30"/>
      <c r="E62" s="31"/>
      <c r="F62" s="31"/>
      <c r="G62" s="34"/>
      <c r="H62" s="35"/>
      <c r="I62" s="177"/>
      <c r="J62" s="233">
        <f t="shared" si="49"/>
        <v>170.62453565497091</v>
      </c>
      <c r="K62" s="31">
        <f t="shared" si="50"/>
        <v>0</v>
      </c>
      <c r="L62" s="31">
        <f t="shared" si="51"/>
        <v>42.348274716495197</v>
      </c>
      <c r="M62" s="31">
        <f t="shared" si="52"/>
        <v>0</v>
      </c>
      <c r="N62" s="31"/>
      <c r="O62" s="137"/>
      <c r="P62" s="134">
        <f t="shared" si="53"/>
        <v>308.59760222825435</v>
      </c>
      <c r="Q62" s="145">
        <f t="shared" si="56"/>
        <v>826.54781780815654</v>
      </c>
      <c r="R62" s="146">
        <f t="shared" si="54"/>
        <v>3604.6056959860894</v>
      </c>
      <c r="S62" s="149"/>
      <c r="T62" s="153"/>
      <c r="U62" s="38"/>
    </row>
    <row r="63" spans="2:39" s="338" customFormat="1" ht="19.5" customHeight="1" x14ac:dyDescent="0.35">
      <c r="B63" s="125">
        <f t="shared" si="55"/>
        <v>11</v>
      </c>
      <c r="C63" s="230"/>
      <c r="D63" s="30"/>
      <c r="E63" s="31"/>
      <c r="F63" s="31"/>
      <c r="G63" s="34"/>
      <c r="H63" s="35"/>
      <c r="I63" s="177"/>
      <c r="J63" s="233">
        <f t="shared" si="49"/>
        <v>162.44113063927753</v>
      </c>
      <c r="K63" s="31">
        <f t="shared" si="50"/>
        <v>0</v>
      </c>
      <c r="L63" s="156">
        <f t="shared" si="51"/>
        <v>241.30861743873101</v>
      </c>
      <c r="M63" s="31">
        <f t="shared" si="52"/>
        <v>0</v>
      </c>
      <c r="N63" s="31"/>
      <c r="O63" s="137"/>
      <c r="P63" s="134">
        <f t="shared" si="53"/>
        <v>585.03338496503432</v>
      </c>
      <c r="Q63" s="179">
        <f t="shared" si="56"/>
        <v>1566.9534182903481</v>
      </c>
      <c r="R63" s="181">
        <f t="shared" si="54"/>
        <v>6855.2532715565876</v>
      </c>
      <c r="S63" s="149"/>
      <c r="T63" s="153"/>
      <c r="U63" s="38"/>
    </row>
    <row r="64" spans="2:39" s="338" customFormat="1" ht="19.5" customHeight="1" x14ac:dyDescent="0.35">
      <c r="B64" s="127">
        <f t="shared" si="55"/>
        <v>12</v>
      </c>
      <c r="C64" s="231"/>
      <c r="D64" s="51"/>
      <c r="E64" s="54"/>
      <c r="F64" s="54"/>
      <c r="G64" s="60"/>
      <c r="H64" s="61"/>
      <c r="I64" s="178"/>
      <c r="J64" s="234">
        <f t="shared" si="49"/>
        <v>89.606466077927749</v>
      </c>
      <c r="K64" s="54">
        <f t="shared" si="50"/>
        <v>62.866069209374331</v>
      </c>
      <c r="L64" s="54">
        <f t="shared" si="51"/>
        <v>360.78143232945803</v>
      </c>
      <c r="M64" s="54">
        <f t="shared" si="52"/>
        <v>41.910712806249549</v>
      </c>
      <c r="N64" s="54"/>
      <c r="O64" s="141"/>
      <c r="P64" s="135">
        <f t="shared" si="53"/>
        <v>804.43362193294081</v>
      </c>
      <c r="Q64" s="147">
        <f t="shared" si="56"/>
        <v>2154.5950129851885</v>
      </c>
      <c r="R64" s="148">
        <f t="shared" si="54"/>
        <v>9161.1186031309589</v>
      </c>
      <c r="S64" s="151"/>
      <c r="T64" s="155"/>
      <c r="U64" s="55"/>
    </row>
    <row r="65" spans="2:21" s="338" customFormat="1" ht="19.5" customHeight="1" x14ac:dyDescent="0.35">
      <c r="B65" s="125">
        <f t="shared" si="55"/>
        <v>13</v>
      </c>
      <c r="C65" s="230"/>
      <c r="D65" s="30"/>
      <c r="E65" s="31"/>
      <c r="F65" s="31"/>
      <c r="G65" s="36"/>
      <c r="H65" s="37"/>
      <c r="I65" s="177"/>
      <c r="J65" s="233">
        <f t="shared" si="49"/>
        <v>13.139682276843978</v>
      </c>
      <c r="K65" s="31">
        <f t="shared" si="50"/>
        <v>0</v>
      </c>
      <c r="L65" s="31">
        <f t="shared" si="51"/>
        <v>0</v>
      </c>
      <c r="M65" s="31">
        <f t="shared" si="52"/>
        <v>0</v>
      </c>
      <c r="N65" s="31"/>
      <c r="O65" s="138"/>
      <c r="P65" s="134">
        <f t="shared" si="53"/>
        <v>19.03939961914692</v>
      </c>
      <c r="Q65" s="145">
        <f t="shared" si="56"/>
        <v>50.995127939923108</v>
      </c>
      <c r="R65" s="146">
        <f t="shared" si="54"/>
        <v>217.45237869237823</v>
      </c>
      <c r="S65" s="149"/>
      <c r="T65" s="153"/>
      <c r="U65" s="38"/>
    </row>
    <row r="66" spans="2:21" s="338" customFormat="1" ht="19.5" customHeight="1" x14ac:dyDescent="0.35">
      <c r="B66" s="125">
        <v>14</v>
      </c>
      <c r="C66" s="230"/>
      <c r="D66" s="30"/>
      <c r="E66" s="31"/>
      <c r="F66" s="31"/>
      <c r="G66" s="36"/>
      <c r="H66" s="37"/>
      <c r="I66" s="177"/>
      <c r="J66" s="233">
        <f t="shared" si="49"/>
        <v>0</v>
      </c>
      <c r="K66" s="31">
        <f t="shared" si="50"/>
        <v>0</v>
      </c>
      <c r="L66" s="31">
        <f t="shared" si="51"/>
        <v>0</v>
      </c>
      <c r="M66" s="31">
        <f t="shared" si="52"/>
        <v>0</v>
      </c>
      <c r="N66" s="31"/>
      <c r="O66" s="138"/>
      <c r="P66" s="134">
        <f t="shared" si="53"/>
        <v>0</v>
      </c>
      <c r="Q66" s="145">
        <f t="shared" si="56"/>
        <v>0</v>
      </c>
      <c r="R66" s="146"/>
      <c r="S66" s="149"/>
      <c r="T66" s="153"/>
      <c r="U66" s="38"/>
    </row>
    <row r="67" spans="2:21" s="338" customFormat="1" ht="19.5" customHeight="1" x14ac:dyDescent="0.35">
      <c r="B67" s="125">
        <v>15</v>
      </c>
      <c r="C67" s="230"/>
      <c r="D67" s="30"/>
      <c r="E67" s="31"/>
      <c r="F67" s="31"/>
      <c r="G67" s="36"/>
      <c r="H67" s="37"/>
      <c r="I67" s="177"/>
      <c r="J67" s="233">
        <f t="shared" si="49"/>
        <v>0</v>
      </c>
      <c r="K67" s="31">
        <f t="shared" si="50"/>
        <v>0</v>
      </c>
      <c r="L67" s="31">
        <f t="shared" si="51"/>
        <v>0</v>
      </c>
      <c r="M67" s="31">
        <f t="shared" si="52"/>
        <v>0</v>
      </c>
      <c r="N67" s="31"/>
      <c r="O67" s="138"/>
      <c r="P67" s="134">
        <f t="shared" si="53"/>
        <v>0</v>
      </c>
      <c r="Q67" s="145">
        <f t="shared" si="56"/>
        <v>0</v>
      </c>
      <c r="R67" s="146"/>
      <c r="S67" s="149"/>
      <c r="T67" s="153"/>
      <c r="U67" s="38"/>
    </row>
    <row r="68" spans="2:21" s="338" customFormat="1" ht="19.5" customHeight="1" x14ac:dyDescent="0.35">
      <c r="B68" s="127">
        <v>16</v>
      </c>
      <c r="C68" s="231"/>
      <c r="D68" s="51"/>
      <c r="E68" s="54"/>
      <c r="F68" s="54"/>
      <c r="G68" s="60"/>
      <c r="H68" s="61"/>
      <c r="I68" s="178"/>
      <c r="J68" s="234">
        <f t="shared" si="49"/>
        <v>37.895949482004404</v>
      </c>
      <c r="K68" s="54">
        <f t="shared" si="50"/>
        <v>0</v>
      </c>
      <c r="L68" s="54">
        <f t="shared" si="51"/>
        <v>0</v>
      </c>
      <c r="M68" s="54">
        <f t="shared" si="52"/>
        <v>0</v>
      </c>
      <c r="N68" s="54"/>
      <c r="O68" s="141"/>
      <c r="P68" s="135">
        <f t="shared" si="53"/>
        <v>37.895949482004404</v>
      </c>
      <c r="Q68" s="147">
        <f t="shared" si="56"/>
        <v>101.50051109260059</v>
      </c>
      <c r="R68" s="148">
        <f>Q68/S49</f>
        <v>440.45090208255999</v>
      </c>
      <c r="S68" s="151"/>
      <c r="T68" s="155"/>
      <c r="U68" s="55"/>
    </row>
    <row r="69" spans="2:21" s="338" customFormat="1" ht="26.25" customHeight="1" x14ac:dyDescent="0.35">
      <c r="B69" s="160" t="s">
        <v>4</v>
      </c>
      <c r="C69" s="340">
        <f>SUM(C53:C68)</f>
        <v>0</v>
      </c>
      <c r="D69" s="341">
        <f>SUM(D53:D68)</f>
        <v>0</v>
      </c>
      <c r="E69" s="339">
        <f>SUM(E53:E68)</f>
        <v>0</v>
      </c>
      <c r="F69" s="339">
        <f>SUM(F53:F68)</f>
        <v>0</v>
      </c>
      <c r="G69" s="161"/>
      <c r="H69" s="162"/>
      <c r="I69" s="171">
        <f>SUM(I53:I68)</f>
        <v>0</v>
      </c>
      <c r="J69" s="339">
        <f>SUM(J53:J68)</f>
        <v>1776.757908557599</v>
      </c>
      <c r="K69" s="339">
        <f>SUM(K53:K68)</f>
        <v>260.03331071139746</v>
      </c>
      <c r="L69" s="339">
        <f>SUM(L53:L68)</f>
        <v>1821.1891948316284</v>
      </c>
      <c r="M69" s="339">
        <f>SUM(M53:M68)</f>
        <v>92.122562997290629</v>
      </c>
      <c r="N69" s="339"/>
      <c r="O69" s="163"/>
      <c r="P69" s="171">
        <f>SUM(P53:P68)</f>
        <v>5706.683932497458</v>
      </c>
      <c r="Q69" s="164">
        <f>SUM(Q53:Q68)</f>
        <v>15284.782244801192</v>
      </c>
      <c r="R69" s="165">
        <f>SUM(R53:R68)</f>
        <v>65980.956668779167</v>
      </c>
      <c r="S69" s="166"/>
      <c r="T69" s="167"/>
      <c r="U69" s="168"/>
    </row>
    <row r="72" spans="2:21" ht="28" x14ac:dyDescent="1.1000000000000001">
      <c r="B72" s="1"/>
      <c r="C72" s="721" t="s">
        <v>20</v>
      </c>
      <c r="D72" s="1"/>
    </row>
    <row r="73" spans="2:21" ht="21.5" x14ac:dyDescent="0.35">
      <c r="B73" s="1108" t="s">
        <v>10</v>
      </c>
      <c r="C73" s="1110" t="s">
        <v>0</v>
      </c>
      <c r="D73" s="1108" t="s">
        <v>19</v>
      </c>
      <c r="E73" s="1114" t="s">
        <v>17</v>
      </c>
      <c r="F73" s="1115"/>
      <c r="G73" s="1115"/>
      <c r="H73" s="1115"/>
      <c r="I73" s="1116"/>
      <c r="J73" s="1117" t="s">
        <v>8</v>
      </c>
      <c r="K73" s="1117"/>
      <c r="L73" s="1117"/>
      <c r="M73" s="1117"/>
      <c r="N73" s="1118"/>
      <c r="O73" s="1119" t="s">
        <v>15</v>
      </c>
      <c r="P73" s="1120"/>
      <c r="Q73" s="1115" t="s">
        <v>16</v>
      </c>
      <c r="R73" s="1115"/>
      <c r="S73" s="21"/>
    </row>
    <row r="74" spans="2:21" ht="42" x14ac:dyDescent="0.35">
      <c r="B74" s="1109"/>
      <c r="C74" s="1111"/>
      <c r="D74" s="1109"/>
      <c r="E74" s="22" t="s">
        <v>3</v>
      </c>
      <c r="F74" s="23" t="s">
        <v>5</v>
      </c>
      <c r="G74" s="23" t="s">
        <v>6</v>
      </c>
      <c r="H74" s="23" t="s">
        <v>9</v>
      </c>
      <c r="I74" s="24" t="s">
        <v>7</v>
      </c>
      <c r="J74" s="23" t="s">
        <v>3</v>
      </c>
      <c r="K74" s="23" t="s">
        <v>5</v>
      </c>
      <c r="L74" s="23" t="s">
        <v>6</v>
      </c>
      <c r="M74" s="23" t="s">
        <v>9</v>
      </c>
      <c r="N74" s="24" t="s">
        <v>7</v>
      </c>
      <c r="O74" s="25" t="s">
        <v>13</v>
      </c>
      <c r="P74" s="23" t="s">
        <v>14</v>
      </c>
      <c r="Q74" s="27" t="s">
        <v>1</v>
      </c>
      <c r="R74" s="27" t="s">
        <v>2</v>
      </c>
      <c r="S74" s="26" t="s">
        <v>18</v>
      </c>
    </row>
    <row r="75" spans="2:21" ht="23.25" customHeight="1" x14ac:dyDescent="0.35">
      <c r="B75" s="39">
        <v>1</v>
      </c>
      <c r="C75" s="11">
        <v>0.05</v>
      </c>
      <c r="D75" s="7">
        <v>0.15</v>
      </c>
      <c r="E75" s="13">
        <v>42.423000000000002</v>
      </c>
      <c r="F75" s="14">
        <v>1.1533</v>
      </c>
      <c r="G75" s="15">
        <v>10.3858</v>
      </c>
      <c r="H75" s="15">
        <v>0</v>
      </c>
      <c r="I75" s="16">
        <v>48.786449999999995</v>
      </c>
      <c r="J75" s="15">
        <v>72.755909034370646</v>
      </c>
      <c r="K75" s="15">
        <v>0</v>
      </c>
      <c r="L75" s="15">
        <v>0</v>
      </c>
      <c r="M75" s="15">
        <v>0</v>
      </c>
      <c r="N75" s="16">
        <v>87.852760159002543</v>
      </c>
      <c r="O75" s="17">
        <v>235.30483280987247</v>
      </c>
      <c r="P75" s="15">
        <v>1008.5431075727033</v>
      </c>
      <c r="Q75" s="18">
        <v>1.7150109382733576</v>
      </c>
      <c r="R75" s="19">
        <v>19688.197138905092</v>
      </c>
      <c r="S75" s="20">
        <v>0.23331162648683307</v>
      </c>
    </row>
    <row r="76" spans="2:21" ht="23.25" customHeight="1" x14ac:dyDescent="0.35">
      <c r="B76" s="6">
        <v>2</v>
      </c>
      <c r="C76" s="129">
        <v>0.05</v>
      </c>
      <c r="D76" s="130">
        <v>0.15</v>
      </c>
      <c r="E76" s="13">
        <v>129.0044</v>
      </c>
      <c r="F76" s="131">
        <f>30</f>
        <v>30</v>
      </c>
      <c r="G76" s="131">
        <v>115.27416419999899</v>
      </c>
      <c r="H76" s="15">
        <v>0</v>
      </c>
      <c r="I76" s="16">
        <v>148.35505999999998</v>
      </c>
      <c r="J76" s="15">
        <v>155.55245600433528</v>
      </c>
      <c r="K76" s="15">
        <v>0</v>
      </c>
      <c r="L76" s="15">
        <v>0</v>
      </c>
      <c r="M76" s="15">
        <v>0</v>
      </c>
      <c r="N76" s="16">
        <v>187.82959062523483</v>
      </c>
      <c r="O76" s="17">
        <v>503.08277553062896</v>
      </c>
      <c r="P76" s="15">
        <v>2180.7735231001971</v>
      </c>
      <c r="Q76" s="18">
        <v>1.2057918644971433</v>
      </c>
      <c r="R76" s="19">
        <v>13999.705603956687</v>
      </c>
      <c r="S76" s="20">
        <v>0.23069006029358075</v>
      </c>
    </row>
    <row r="77" spans="2:21" ht="23.25" customHeight="1" x14ac:dyDescent="0.35">
      <c r="B77" s="6">
        <v>3</v>
      </c>
      <c r="C77" s="3">
        <v>0.05</v>
      </c>
      <c r="D77" s="4">
        <v>0.15</v>
      </c>
      <c r="E77" s="13">
        <v>103.66589999999999</v>
      </c>
      <c r="F77" s="14">
        <v>0</v>
      </c>
      <c r="G77" s="15">
        <v>147.7848628313503</v>
      </c>
      <c r="H77" s="131">
        <f>250*4/100</f>
        <v>10</v>
      </c>
      <c r="I77" s="16">
        <v>289.16837725605279</v>
      </c>
      <c r="J77" s="15">
        <v>122.01480894035521</v>
      </c>
      <c r="K77" s="15">
        <v>0</v>
      </c>
      <c r="L77" s="15">
        <v>173.94284719125392</v>
      </c>
      <c r="M77" s="15">
        <v>0</v>
      </c>
      <c r="N77" s="16">
        <v>357.368869778918</v>
      </c>
      <c r="O77" s="17">
        <v>957.17678081585393</v>
      </c>
      <c r="P77" s="15">
        <v>4165.5158686839313</v>
      </c>
      <c r="Q77" s="18">
        <v>1.1770004306175437</v>
      </c>
      <c r="R77" s="19">
        <v>13719.197125978728</v>
      </c>
      <c r="S77" s="20">
        <v>0.2297858923097244</v>
      </c>
    </row>
    <row r="78" spans="2:21" ht="23.25" customHeight="1" x14ac:dyDescent="0.35">
      <c r="B78" s="6">
        <v>4</v>
      </c>
      <c r="C78" s="3">
        <v>0.05</v>
      </c>
      <c r="D78" s="4">
        <v>0.15</v>
      </c>
      <c r="E78" s="13">
        <v>51.670999999999999</v>
      </c>
      <c r="F78" s="14">
        <v>13.375275</v>
      </c>
      <c r="G78" s="15">
        <v>67.01360003998586</v>
      </c>
      <c r="H78" s="15">
        <v>0</v>
      </c>
      <c r="I78" s="16">
        <v>151.86885629598373</v>
      </c>
      <c r="J78" s="15">
        <v>76.372668353603601</v>
      </c>
      <c r="K78" s="15">
        <v>19.769414985451132</v>
      </c>
      <c r="L78" s="15">
        <v>99.049901318628969</v>
      </c>
      <c r="M78" s="15">
        <v>0</v>
      </c>
      <c r="N78" s="16">
        <v>235.69432147415304</v>
      </c>
      <c r="O78" s="17">
        <v>631.28367063637154</v>
      </c>
      <c r="P78" s="15">
        <v>2760.1616324040297</v>
      </c>
      <c r="Q78" s="18">
        <v>1.4780567117648895</v>
      </c>
      <c r="R78" s="19">
        <v>17309.179961631362</v>
      </c>
      <c r="S78" s="20">
        <v>0.22871257364973213</v>
      </c>
    </row>
    <row r="79" spans="2:21" ht="23.25" customHeight="1" x14ac:dyDescent="0.35">
      <c r="B79" s="6">
        <v>5</v>
      </c>
      <c r="C79" s="3">
        <v>0.05</v>
      </c>
      <c r="D79" s="4">
        <v>0.15</v>
      </c>
      <c r="E79" s="13">
        <v>45.249200000000002</v>
      </c>
      <c r="F79" s="14">
        <v>81.644000000000005</v>
      </c>
      <c r="G79" s="15">
        <v>47.1736</v>
      </c>
      <c r="H79" s="15">
        <v>23.8</v>
      </c>
      <c r="I79" s="16">
        <v>227.54682</v>
      </c>
      <c r="J79" s="15">
        <v>73.086671126616082</v>
      </c>
      <c r="K79" s="15">
        <v>131.87168342117525</v>
      </c>
      <c r="L79" s="15">
        <v>76.194968951020925</v>
      </c>
      <c r="M79" s="15">
        <v>38.44184588486565</v>
      </c>
      <c r="N79" s="16">
        <v>385.91116703079109</v>
      </c>
      <c r="O79" s="17">
        <v>1033.6244697752707</v>
      </c>
      <c r="P79" s="15">
        <v>4484.250474183541</v>
      </c>
      <c r="Q79" s="18">
        <v>1.6152036086078003</v>
      </c>
      <c r="R79" s="19">
        <v>18768.509871145019</v>
      </c>
      <c r="S79" s="20">
        <v>0.2305010560239647</v>
      </c>
    </row>
    <row r="80" spans="2:21" ht="23.25" customHeight="1" x14ac:dyDescent="0.35">
      <c r="B80" s="6">
        <v>6</v>
      </c>
      <c r="C80" s="3">
        <v>0.05</v>
      </c>
      <c r="D80" s="4">
        <v>0.15</v>
      </c>
      <c r="E80" s="13">
        <v>78.499600000000001</v>
      </c>
      <c r="F80" s="14">
        <v>5.6</v>
      </c>
      <c r="G80" s="15">
        <v>150.22808941892904</v>
      </c>
      <c r="H80" s="15">
        <v>0</v>
      </c>
      <c r="I80" s="16">
        <v>269.47684283176835</v>
      </c>
      <c r="J80" s="15">
        <v>103.37367076351237</v>
      </c>
      <c r="K80" s="15">
        <v>7.3744650453718137</v>
      </c>
      <c r="L80" s="15">
        <v>197.83067754515778</v>
      </c>
      <c r="M80" s="15">
        <v>0</v>
      </c>
      <c r="N80" s="16">
        <v>372.60891712500563</v>
      </c>
      <c r="O80" s="17">
        <v>997.99572362761512</v>
      </c>
      <c r="P80" s="15">
        <v>4363.6070553353766</v>
      </c>
      <c r="Q80" s="18">
        <v>1.3168687581021097</v>
      </c>
      <c r="R80" s="19">
        <v>15421.793574192134</v>
      </c>
      <c r="S80" s="20">
        <v>0.22870888945130086</v>
      </c>
    </row>
    <row r="81" spans="2:19" ht="23.25" customHeight="1" x14ac:dyDescent="0.35">
      <c r="B81" s="6">
        <v>7</v>
      </c>
      <c r="C81" s="3">
        <v>0.05</v>
      </c>
      <c r="D81" s="4">
        <v>0.15</v>
      </c>
      <c r="E81" s="13">
        <v>452.32499999999999</v>
      </c>
      <c r="F81" s="14">
        <v>0</v>
      </c>
      <c r="G81" s="15">
        <v>285.43950580184759</v>
      </c>
      <c r="H81" s="15">
        <v>0</v>
      </c>
      <c r="I81" s="16">
        <v>845.29313167212467</v>
      </c>
      <c r="J81" s="15">
        <v>244.23370023666456</v>
      </c>
      <c r="K81" s="15">
        <v>0</v>
      </c>
      <c r="L81" s="15">
        <v>155.0584003836986</v>
      </c>
      <c r="M81" s="15">
        <v>0</v>
      </c>
      <c r="N81" s="16">
        <v>482.14521149908848</v>
      </c>
      <c r="O81" s="17">
        <v>1291.3777344791586</v>
      </c>
      <c r="P81" s="15">
        <v>5467.0810170715495</v>
      </c>
      <c r="Q81" s="18">
        <v>0.54322683872407029</v>
      </c>
      <c r="R81" s="19">
        <v>6159.6902076829338</v>
      </c>
      <c r="S81" s="20">
        <v>0.23620973064907808</v>
      </c>
    </row>
    <row r="82" spans="2:19" ht="23.25" customHeight="1" x14ac:dyDescent="0.35">
      <c r="B82" s="6">
        <v>8</v>
      </c>
      <c r="C82" s="3">
        <v>0.05</v>
      </c>
      <c r="D82" s="4">
        <v>0.15</v>
      </c>
      <c r="E82" s="13">
        <v>188.93360000000001</v>
      </c>
      <c r="F82" s="14">
        <v>0</v>
      </c>
      <c r="G82" s="15">
        <v>79.388787695034168</v>
      </c>
      <c r="H82" s="15">
        <v>0</v>
      </c>
      <c r="I82" s="16">
        <v>308.57074584928932</v>
      </c>
      <c r="J82" s="15">
        <v>171.85525629119167</v>
      </c>
      <c r="K82" s="15">
        <v>0</v>
      </c>
      <c r="L82" s="15">
        <v>72.212568097877238</v>
      </c>
      <c r="M82" s="15">
        <v>0</v>
      </c>
      <c r="N82" s="16">
        <v>294.71189794980069</v>
      </c>
      <c r="O82" s="17">
        <v>789.35634746874621</v>
      </c>
      <c r="P82" s="15">
        <v>3385.0441970469587</v>
      </c>
      <c r="Q82" s="18">
        <v>0.90960663582968648</v>
      </c>
      <c r="R82" s="19">
        <v>10447.69039061719</v>
      </c>
      <c r="S82" s="20">
        <v>0.23318937701237816</v>
      </c>
    </row>
    <row r="83" spans="2:19" ht="23.25" customHeight="1" x14ac:dyDescent="0.35">
      <c r="B83" s="6">
        <v>9</v>
      </c>
      <c r="C83" s="129">
        <v>0.05</v>
      </c>
      <c r="D83" s="130">
        <v>0.15</v>
      </c>
      <c r="E83" s="13">
        <v>418.58800000000002</v>
      </c>
      <c r="F83" s="14">
        <v>0</v>
      </c>
      <c r="G83" s="1019">
        <f>454.62*0.8</f>
        <v>363.69600000000003</v>
      </c>
      <c r="H83" s="15">
        <v>0</v>
      </c>
      <c r="I83" s="16">
        <v>481.37619999999998</v>
      </c>
      <c r="J83" s="15">
        <v>283.80500367592487</v>
      </c>
      <c r="K83" s="15">
        <v>0</v>
      </c>
      <c r="L83" s="15">
        <v>0</v>
      </c>
      <c r="M83" s="15">
        <v>0</v>
      </c>
      <c r="N83" s="16">
        <v>342.69454193867927</v>
      </c>
      <c r="O83" s="17">
        <v>917.87306112855856</v>
      </c>
      <c r="P83" s="15">
        <v>3952.7189189490932</v>
      </c>
      <c r="Q83" s="18">
        <v>0.67800558944815636</v>
      </c>
      <c r="R83" s="19">
        <v>7820.2748879627734</v>
      </c>
      <c r="S83" s="20">
        <v>0.23221308672578037</v>
      </c>
    </row>
    <row r="84" spans="2:19" ht="23.25" customHeight="1" x14ac:dyDescent="0.35">
      <c r="B84" s="6">
        <v>10</v>
      </c>
      <c r="C84" s="3">
        <v>0.05</v>
      </c>
      <c r="D84" s="4">
        <v>0.15</v>
      </c>
      <c r="E84" s="13">
        <v>157.22989999999999</v>
      </c>
      <c r="F84" s="14">
        <v>0</v>
      </c>
      <c r="G84" s="15">
        <v>39.023783849653412</v>
      </c>
      <c r="H84" s="15">
        <v>0</v>
      </c>
      <c r="I84" s="16">
        <v>223.9552364271014</v>
      </c>
      <c r="J84" s="15">
        <v>170.62453565497094</v>
      </c>
      <c r="K84" s="15">
        <v>0</v>
      </c>
      <c r="L84" s="15">
        <v>42.758921620467703</v>
      </c>
      <c r="M84" s="15">
        <v>0</v>
      </c>
      <c r="N84" s="16">
        <v>257.66052466009216</v>
      </c>
      <c r="O84" s="17">
        <v>690.11794924959077</v>
      </c>
      <c r="P84" s="15">
        <v>3009.6299780500922</v>
      </c>
      <c r="Q84" s="18">
        <v>1.0957143926689585</v>
      </c>
      <c r="R84" s="19">
        <v>12798.603464414246</v>
      </c>
      <c r="S84" s="20">
        <v>0.22930325464684231</v>
      </c>
    </row>
    <row r="85" spans="2:19" ht="23.25" customHeight="1" x14ac:dyDescent="0.35">
      <c r="B85" s="6">
        <v>11</v>
      </c>
      <c r="C85" s="3">
        <v>0.05</v>
      </c>
      <c r="D85" s="4">
        <v>0.15</v>
      </c>
      <c r="E85" s="13">
        <v>109.6369</v>
      </c>
      <c r="F85" s="14">
        <v>0</v>
      </c>
      <c r="G85" s="131">
        <f>203.5839742*80/100</f>
        <v>162.86717936000002</v>
      </c>
      <c r="H85" s="15">
        <v>0</v>
      </c>
      <c r="I85" s="16">
        <v>126.08243499999999</v>
      </c>
      <c r="J85" s="15">
        <v>162.44113063927753</v>
      </c>
      <c r="K85" s="15">
        <v>0</v>
      </c>
      <c r="L85" s="15">
        <v>0</v>
      </c>
      <c r="M85" s="15">
        <v>0</v>
      </c>
      <c r="N85" s="16">
        <v>196.14766524692763</v>
      </c>
      <c r="O85" s="17">
        <v>525.36190659737099</v>
      </c>
      <c r="P85" s="15">
        <v>2298.4020373000631</v>
      </c>
      <c r="Q85" s="18">
        <v>1.4816282714968914</v>
      </c>
      <c r="R85" s="19">
        <v>17361.294784940943</v>
      </c>
      <c r="S85" s="20">
        <v>0.22857702789652698</v>
      </c>
    </row>
    <row r="86" spans="2:19" ht="23.25" customHeight="1" x14ac:dyDescent="0.35">
      <c r="B86" s="6">
        <v>12</v>
      </c>
      <c r="C86" s="3">
        <v>0.05</v>
      </c>
      <c r="D86" s="4">
        <v>0.15</v>
      </c>
      <c r="E86" s="13">
        <v>85.521299999999997</v>
      </c>
      <c r="F86" s="14">
        <v>60</v>
      </c>
      <c r="G86" s="15">
        <v>344.33337748019386</v>
      </c>
      <c r="H86" s="131">
        <f>1000*4/100</f>
        <v>40</v>
      </c>
      <c r="I86" s="16">
        <v>563.33287910222293</v>
      </c>
      <c r="J86" s="15">
        <v>89.606466077927749</v>
      </c>
      <c r="K86" s="15">
        <v>62.866069209374331</v>
      </c>
      <c r="L86" s="15">
        <v>360.78143232945803</v>
      </c>
      <c r="M86" s="15">
        <v>0</v>
      </c>
      <c r="N86" s="16">
        <v>619.75416589723773</v>
      </c>
      <c r="O86" s="17">
        <v>1659.9495579391619</v>
      </c>
      <c r="P86" s="15">
        <v>7057.9364956508443</v>
      </c>
      <c r="Q86" s="18">
        <v>1.0477678201562388</v>
      </c>
      <c r="R86" s="19">
        <v>11932.277576776198</v>
      </c>
      <c r="S86" s="20">
        <v>0.23518907530012997</v>
      </c>
    </row>
    <row r="87" spans="2:19" ht="22.5" customHeight="1" x14ac:dyDescent="0.35">
      <c r="B87" s="6">
        <v>13</v>
      </c>
      <c r="C87" s="3">
        <v>0.05</v>
      </c>
      <c r="D87" s="4">
        <v>0.15</v>
      </c>
      <c r="E87" s="13">
        <v>7.2237</v>
      </c>
      <c r="F87" s="14">
        <v>0</v>
      </c>
      <c r="G87" s="15">
        <v>0</v>
      </c>
      <c r="H87" s="15">
        <v>0</v>
      </c>
      <c r="I87" s="16">
        <v>8.3072549999999996</v>
      </c>
      <c r="J87" s="15">
        <v>13.139682276843978</v>
      </c>
      <c r="K87" s="15">
        <v>0</v>
      </c>
      <c r="L87" s="15">
        <v>0</v>
      </c>
      <c r="M87" s="15">
        <v>0</v>
      </c>
      <c r="N87" s="16">
        <v>15.866166349289102</v>
      </c>
      <c r="O87" s="17">
        <v>42.495939949935938</v>
      </c>
      <c r="P87" s="15">
        <v>181.21031557698191</v>
      </c>
      <c r="Q87" s="18">
        <v>1.818968434021897</v>
      </c>
      <c r="R87" s="19">
        <v>4871.9250536842492</v>
      </c>
      <c r="S87" s="20">
        <v>0.2345117043399374</v>
      </c>
    </row>
    <row r="88" spans="2:19" ht="22.5" customHeight="1" x14ac:dyDescent="0.35">
      <c r="B88" s="6"/>
      <c r="C88" s="3"/>
      <c r="D88" s="4"/>
      <c r="E88" s="13"/>
      <c r="F88" s="14"/>
      <c r="G88" s="15"/>
      <c r="H88" s="15"/>
      <c r="I88" s="16"/>
      <c r="J88" s="15"/>
      <c r="K88" s="15"/>
      <c r="L88" s="15"/>
      <c r="M88" s="15"/>
      <c r="N88" s="16"/>
      <c r="O88" s="17"/>
      <c r="P88" s="15"/>
      <c r="Q88" s="18"/>
      <c r="R88" s="19"/>
      <c r="S88" s="20"/>
    </row>
    <row r="89" spans="2:19" ht="22.5" customHeight="1" x14ac:dyDescent="0.35">
      <c r="B89" s="6"/>
      <c r="C89" s="3"/>
      <c r="D89" s="4"/>
      <c r="E89" s="13"/>
      <c r="F89" s="14"/>
      <c r="G89" s="15"/>
      <c r="H89" s="15"/>
      <c r="I89" s="16"/>
      <c r="J89" s="15"/>
      <c r="K89" s="15"/>
      <c r="L89" s="15"/>
      <c r="M89" s="15"/>
      <c r="N89" s="16"/>
      <c r="O89" s="17"/>
      <c r="P89" s="15"/>
      <c r="Q89" s="18"/>
      <c r="R89" s="19"/>
      <c r="S89" s="20"/>
    </row>
    <row r="90" spans="2:19" ht="22.5" customHeight="1" x14ac:dyDescent="0.35">
      <c r="B90" s="6"/>
      <c r="C90" s="3"/>
      <c r="D90" s="4"/>
      <c r="E90" s="13"/>
      <c r="F90" s="14"/>
      <c r="G90" s="15"/>
      <c r="H90" s="15"/>
      <c r="I90" s="16"/>
      <c r="J90" s="15"/>
      <c r="K90" s="15"/>
      <c r="L90" s="15"/>
      <c r="M90" s="15"/>
      <c r="N90" s="16"/>
      <c r="O90" s="17"/>
      <c r="P90" s="15"/>
      <c r="Q90" s="18"/>
      <c r="R90" s="19"/>
      <c r="S90" s="20"/>
    </row>
    <row r="91" spans="2:19" ht="22.5" customHeight="1" x14ac:dyDescent="0.35">
      <c r="B91" s="6"/>
      <c r="C91" s="3"/>
      <c r="D91" s="4"/>
      <c r="E91" s="13"/>
      <c r="F91" s="14"/>
      <c r="G91" s="15"/>
      <c r="H91" s="15"/>
      <c r="I91" s="16"/>
      <c r="J91" s="15"/>
      <c r="K91" s="15"/>
      <c r="L91" s="15"/>
      <c r="M91" s="15"/>
      <c r="N91" s="16"/>
      <c r="O91" s="17"/>
      <c r="P91" s="15"/>
      <c r="Q91" s="18"/>
      <c r="R91" s="19"/>
      <c r="S91" s="20"/>
    </row>
  </sheetData>
  <customSheetViews>
    <customSheetView guid="{26361B95-E0F4-4392-817A-319F68EF6AA9}" scale="70">
      <selection activeCell="C13" sqref="C13"/>
      <pageMargins left="0.7" right="0.7" top="0.75" bottom="0.75" header="0.3" footer="0.3"/>
      <pageSetup orientation="portrait" r:id="rId1"/>
    </customSheetView>
    <customSheetView guid="{467F609B-6BAD-4DEC-B1AB-339F329A87DF}" scale="70">
      <selection activeCell="N3" sqref="N3:N4"/>
      <pageMargins left="0.7" right="0.7" top="0.75" bottom="0.75" header="0.3" footer="0.3"/>
      <pageSetup orientation="portrait" r:id="rId2"/>
    </customSheetView>
  </customSheetViews>
  <mergeCells count="18">
    <mergeCell ref="B73:B74"/>
    <mergeCell ref="C73:C74"/>
    <mergeCell ref="X3:AA3"/>
    <mergeCell ref="D73:D74"/>
    <mergeCell ref="E73:I73"/>
    <mergeCell ref="J73:N73"/>
    <mergeCell ref="O73:P73"/>
    <mergeCell ref="Q73:R73"/>
    <mergeCell ref="AB3:AB4"/>
    <mergeCell ref="B3:B4"/>
    <mergeCell ref="C3:F3"/>
    <mergeCell ref="G3:G4"/>
    <mergeCell ref="H3:H4"/>
    <mergeCell ref="I3:I4"/>
    <mergeCell ref="J3:P3"/>
    <mergeCell ref="Q3:S3"/>
    <mergeCell ref="T3:U3"/>
    <mergeCell ref="W3:W4"/>
  </mergeCells>
  <conditionalFormatting sqref="O76:S76 D34:I34 C45:E45 C36:O41 C35:K35 M35:O35 G45:O45 Q42:T45 S34:T41 X34:AC45 U34:U45 O34 C32:I32 O31:O32 C30:H31 C26:F29 Q73:S74 S3:U32 C3:H25 C27:H28 O3:O25 O27:O28 AC3:AE32">
    <cfRule type="expression" dxfId="849" priority="1528">
      <formula>IF(#REF!&lt;&gt;#REF!,1,0)</formula>
    </cfRule>
  </conditionalFormatting>
  <conditionalFormatting sqref="O76:S76 AC34:AC45 Q34:U45">
    <cfRule type="expression" dxfId="848" priority="1527">
      <formula>IF(#REF!&lt;&gt;#REF!,1,0)</formula>
    </cfRule>
  </conditionalFormatting>
  <conditionalFormatting sqref="O76:S76 Q42:T45 S34:T41 X34:AC45 U34:U45 O73:O74 Q73:S74 S3:U32 AC3:AE32">
    <cfRule type="expression" dxfId="847" priority="1526">
      <formula>IF(#REF!&lt;&gt;#REF!,1,0)</formula>
    </cfRule>
  </conditionalFormatting>
  <conditionalFormatting sqref="E73:M74 O73:O74">
    <cfRule type="expression" dxfId="846" priority="1521">
      <formula>IF(#REF!&lt;&gt;#REF!,1,0)</formula>
    </cfRule>
  </conditionalFormatting>
  <conditionalFormatting sqref="F73:I74">
    <cfRule type="expression" dxfId="845" priority="1520">
      <formula>IF(#REF!&lt;&gt;#REF!,1,0)</formula>
    </cfRule>
  </conditionalFormatting>
  <conditionalFormatting sqref="K73:M74">
    <cfRule type="expression" dxfId="844" priority="1518">
      <formula>IF(#REF!&lt;&gt;#REF!,1,0)</formula>
    </cfRule>
  </conditionalFormatting>
  <conditionalFormatting sqref="AC46:AC51 Q46:U50 J31:Q32 G30:H30 J26:N28 P26:Q28 E73:E74 J73:J74 N73:N74 AL3:AL32 AG3:AG32 C3:C18 C29:C32 X29:AB32 Q19:Q26 Q29 AD29:AE32 AC19:AC25 AD3:AE26 Q18:U24 X18:AC18 X3:AB26 X27:AE28 C28:I28 W5:W32 B18:C28 J3:Q25 C19:P22 J27:U28">
    <cfRule type="expression" dxfId="843" priority="1551">
      <formula>IF(#REF!&lt;&gt;#REF!,1,0)</formula>
    </cfRule>
  </conditionalFormatting>
  <conditionalFormatting sqref="P40">
    <cfRule type="expression" dxfId="842" priority="1257">
      <formula>IF(#REF!&lt;&gt;#REF!,1,0)</formula>
    </cfRule>
  </conditionalFormatting>
  <conditionalFormatting sqref="J39:O39">
    <cfRule type="expression" dxfId="841" priority="1305">
      <formula>IF(#REF!&lt;&gt;#REF!,1,0)</formula>
    </cfRule>
  </conditionalFormatting>
  <conditionalFormatting sqref="K39:O39">
    <cfRule type="expression" dxfId="840" priority="1304">
      <formula>IF(#REF!&lt;&gt;#REF!,1,0)</formula>
    </cfRule>
  </conditionalFormatting>
  <conditionalFormatting sqref="AG34:AG41 AG45">
    <cfRule type="dataBar" priority="1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{D5DB493C-3EA3-4FE4-B507-376AB2EB6060}</x14:id>
        </ext>
      </extLst>
    </cfRule>
  </conditionalFormatting>
  <conditionalFormatting sqref="AH34:AH41 AH45">
    <cfRule type="colorScale" priority="1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:AL32">
    <cfRule type="expression" dxfId="839" priority="1390">
      <formula>IF(#REF!&lt;&gt;#REF!,1,0)</formula>
    </cfRule>
  </conditionalFormatting>
  <conditionalFormatting sqref="AH3:AH32">
    <cfRule type="expression" dxfId="838" priority="1385">
      <formula>IF(#REF!&lt;&gt;#REF!,1,0)</formula>
    </cfRule>
  </conditionalFormatting>
  <conditionalFormatting sqref="AG3:AG32">
    <cfRule type="expression" dxfId="837" priority="1387">
      <formula>IF(#REF!&lt;&gt;#REF!,1,0)</formula>
    </cfRule>
  </conditionalFormatting>
  <conditionalFormatting sqref="AH3:AH32">
    <cfRule type="expression" dxfId="836" priority="1384">
      <formula>IF(#REF!&lt;&gt;#REF!,1,0)</formula>
    </cfRule>
  </conditionalFormatting>
  <conditionalFormatting sqref="N76 AD18:AD23 AD27:AD28">
    <cfRule type="expression" dxfId="835" priority="1341">
      <formula>IF(#REF!&lt;&gt;#REF!,1,0)</formula>
    </cfRule>
  </conditionalFormatting>
  <conditionalFormatting sqref="P41">
    <cfRule type="expression" dxfId="834" priority="1256">
      <formula>IF(#REF!&lt;&gt;#REF!,1,0)</formula>
    </cfRule>
  </conditionalFormatting>
  <conditionalFormatting sqref="P41">
    <cfRule type="expression" dxfId="833" priority="1255">
      <formula>IF(#REF!&lt;&gt;#REF!,1,0)</formula>
    </cfRule>
  </conditionalFormatting>
  <conditionalFormatting sqref="E76:I76">
    <cfRule type="expression" dxfId="832" priority="1351">
      <formula>IF(#REF!&lt;&gt;#REF!,1,0)</formula>
    </cfRule>
  </conditionalFormatting>
  <conditionalFormatting sqref="E76:M76">
    <cfRule type="expression" dxfId="831" priority="1350">
      <formula>IF(#REF!&lt;&gt;#REF!,1,0)</formula>
    </cfRule>
  </conditionalFormatting>
  <conditionalFormatting sqref="F76:I76">
    <cfRule type="expression" dxfId="830" priority="1349">
      <formula>IF(#REF!&lt;&gt;#REF!,1,0)</formula>
    </cfRule>
  </conditionalFormatting>
  <conditionalFormatting sqref="J76:M76">
    <cfRule type="expression" dxfId="829" priority="1347">
      <formula>IF(#REF!&lt;&gt;#REF!,1,0)</formula>
    </cfRule>
  </conditionalFormatting>
  <conditionalFormatting sqref="K76:M76">
    <cfRule type="expression" dxfId="828" priority="1346">
      <formula>IF(#REF!&lt;&gt;#REF!,1,0)</formula>
    </cfRule>
  </conditionalFormatting>
  <conditionalFormatting sqref="N76">
    <cfRule type="expression" dxfId="827" priority="1343">
      <formula>IF(#REF!&lt;&gt;#REF!,1,0)</formula>
    </cfRule>
  </conditionalFormatting>
  <conditionalFormatting sqref="N76">
    <cfRule type="expression" dxfId="826" priority="1342">
      <formula>IF(#REF!&lt;&gt;#REF!,1,0)</formula>
    </cfRule>
  </conditionalFormatting>
  <conditionalFormatting sqref="Q34:S41 C34:I34 O34">
    <cfRule type="expression" dxfId="825" priority="1321">
      <formula>IF(#REF!&lt;&gt;#REF!,1,0)</formula>
    </cfRule>
  </conditionalFormatting>
  <conditionalFormatting sqref="C34:O34">
    <cfRule type="expression" dxfId="824" priority="1320">
      <formula>IF(#REF!&lt;&gt;#REF!,1,0)</formula>
    </cfRule>
  </conditionalFormatting>
  <conditionalFormatting sqref="Q34:S41 Q31:Q32">
    <cfRule type="expression" dxfId="823" priority="1319">
      <formula>IF(#REF!&lt;&gt;#REF!,1,0)</formula>
    </cfRule>
  </conditionalFormatting>
  <conditionalFormatting sqref="J34:O34">
    <cfRule type="expression" dxfId="822" priority="1318">
      <formula>IF(#REF!&lt;&gt;#REF!,1,0)</formula>
    </cfRule>
  </conditionalFormatting>
  <conditionalFormatting sqref="K34:O34">
    <cfRule type="expression" dxfId="821" priority="1317">
      <formula>IF(#REF!&lt;&gt;#REF!,1,0)</formula>
    </cfRule>
  </conditionalFormatting>
  <conditionalFormatting sqref="J38:O38">
    <cfRule type="expression" dxfId="820" priority="1310">
      <formula>IF(#REF!&lt;&gt;#REF!,1,0)</formula>
    </cfRule>
  </conditionalFormatting>
  <conditionalFormatting sqref="K38:O38">
    <cfRule type="expression" dxfId="819" priority="1309">
      <formula>IF(#REF!&lt;&gt;#REF!,1,0)</formula>
    </cfRule>
  </conditionalFormatting>
  <conditionalFormatting sqref="J40:O40">
    <cfRule type="expression" dxfId="818" priority="1295">
      <formula>IF(#REF!&lt;&gt;#REF!,1,0)</formula>
    </cfRule>
  </conditionalFormatting>
  <conditionalFormatting sqref="K40:O40">
    <cfRule type="expression" dxfId="817" priority="1294">
      <formula>IF(#REF!&lt;&gt;#REF!,1,0)</formula>
    </cfRule>
  </conditionalFormatting>
  <conditionalFormatting sqref="J37:O37">
    <cfRule type="expression" dxfId="816" priority="1300">
      <formula>IF(#REF!&lt;&gt;#REF!,1,0)</formula>
    </cfRule>
  </conditionalFormatting>
  <conditionalFormatting sqref="K37:O37">
    <cfRule type="expression" dxfId="815" priority="1299">
      <formula>IF(#REF!&lt;&gt;#REF!,1,0)</formula>
    </cfRule>
  </conditionalFormatting>
  <conditionalFormatting sqref="J41:O41">
    <cfRule type="expression" dxfId="814" priority="1290">
      <formula>IF(#REF!&lt;&gt;#REF!,1,0)</formula>
    </cfRule>
  </conditionalFormatting>
  <conditionalFormatting sqref="K41:O41">
    <cfRule type="expression" dxfId="813" priority="1289">
      <formula>IF(#REF!&lt;&gt;#REF!,1,0)</formula>
    </cfRule>
  </conditionalFormatting>
  <conditionalFormatting sqref="J45:O45">
    <cfRule type="expression" dxfId="812" priority="1280">
      <formula>IF(#REF!&lt;&gt;#REF!,1,0)</formula>
    </cfRule>
  </conditionalFormatting>
  <conditionalFormatting sqref="K45:O45">
    <cfRule type="expression" dxfId="811" priority="1279">
      <formula>IF(#REF!&lt;&gt;#REF!,1,0)</formula>
    </cfRule>
  </conditionalFormatting>
  <conditionalFormatting sqref="F75:I75">
    <cfRule type="expression" dxfId="810" priority="1177">
      <formula>IF(#REF!&lt;&gt;#REF!,1,0)</formula>
    </cfRule>
  </conditionalFormatting>
  <conditionalFormatting sqref="J75:M75">
    <cfRule type="expression" dxfId="809" priority="1176">
      <formula>IF(#REF!&lt;&gt;#REF!,1,0)</formula>
    </cfRule>
  </conditionalFormatting>
  <conditionalFormatting sqref="B45">
    <cfRule type="expression" dxfId="808" priority="1328">
      <formula>IF(#REF!&lt;&gt;#REF!,1,0)</formula>
    </cfRule>
  </conditionalFormatting>
  <conditionalFormatting sqref="P35:P36">
    <cfRule type="expression" dxfId="807" priority="1237">
      <formula>IF(#REF!&lt;&gt;#REF!,1,0)</formula>
    </cfRule>
  </conditionalFormatting>
  <conditionalFormatting sqref="P38">
    <cfRule type="expression" dxfId="806" priority="1268">
      <formula>IF(#REF!&lt;&gt;#REF!,1,0)</formula>
    </cfRule>
  </conditionalFormatting>
  <conditionalFormatting sqref="P38">
    <cfRule type="expression" dxfId="805" priority="1267">
      <formula>IF(#REF!&lt;&gt;#REF!,1,0)</formula>
    </cfRule>
  </conditionalFormatting>
  <conditionalFormatting sqref="P38">
    <cfRule type="expression" dxfId="804" priority="1266">
      <formula>IF(#REF!&lt;&gt;#REF!,1,0)</formula>
    </cfRule>
  </conditionalFormatting>
  <conditionalFormatting sqref="P40">
    <cfRule type="expression" dxfId="803" priority="1259">
      <formula>IF(#REF!&lt;&gt;#REF!,1,0)</formula>
    </cfRule>
  </conditionalFormatting>
  <conditionalFormatting sqref="P40">
    <cfRule type="expression" dxfId="802" priority="1258">
      <formula>IF(#REF!&lt;&gt;#REF!,1,0)</formula>
    </cfRule>
  </conditionalFormatting>
  <conditionalFormatting sqref="P39">
    <cfRule type="expression" dxfId="801" priority="1265">
      <formula>IF(#REF!&lt;&gt;#REF!,1,0)</formula>
    </cfRule>
  </conditionalFormatting>
  <conditionalFormatting sqref="P39">
    <cfRule type="expression" dxfId="800" priority="1264">
      <formula>IF(#REF!&lt;&gt;#REF!,1,0)</formula>
    </cfRule>
  </conditionalFormatting>
  <conditionalFormatting sqref="P39">
    <cfRule type="expression" dxfId="799" priority="1263">
      <formula>IF(#REF!&lt;&gt;#REF!,1,0)</formula>
    </cfRule>
  </conditionalFormatting>
  <conditionalFormatting sqref="P37">
    <cfRule type="expression" dxfId="798" priority="1262">
      <formula>IF(#REF!&lt;&gt;#REF!,1,0)</formula>
    </cfRule>
  </conditionalFormatting>
  <conditionalFormatting sqref="P37">
    <cfRule type="expression" dxfId="797" priority="1261">
      <formula>IF(#REF!&lt;&gt;#REF!,1,0)</formula>
    </cfRule>
  </conditionalFormatting>
  <conditionalFormatting sqref="P37">
    <cfRule type="expression" dxfId="796" priority="1260">
      <formula>IF(#REF!&lt;&gt;#REF!,1,0)</formula>
    </cfRule>
  </conditionalFormatting>
  <conditionalFormatting sqref="P41">
    <cfRule type="expression" dxfId="795" priority="1254">
      <formula>IF(#REF!&lt;&gt;#REF!,1,0)</formula>
    </cfRule>
  </conditionalFormatting>
  <conditionalFormatting sqref="N83">
    <cfRule type="expression" dxfId="794" priority="1223">
      <formula>IF(#REF!&lt;&gt;#REF!,1,0)</formula>
    </cfRule>
  </conditionalFormatting>
  <conditionalFormatting sqref="N83">
    <cfRule type="expression" dxfId="793" priority="1222">
      <formula>IF(#REF!&lt;&gt;#REF!,1,0)</formula>
    </cfRule>
  </conditionalFormatting>
  <conditionalFormatting sqref="N83">
    <cfRule type="expression" dxfId="792" priority="1221">
      <formula>IF(#REF!&lt;&gt;#REF!,1,0)</formula>
    </cfRule>
  </conditionalFormatting>
  <conditionalFormatting sqref="P45">
    <cfRule type="expression" dxfId="791" priority="1250">
      <formula>IF(#REF!&lt;&gt;#REF!,1,0)</formula>
    </cfRule>
  </conditionalFormatting>
  <conditionalFormatting sqref="P45">
    <cfRule type="expression" dxfId="790" priority="1249">
      <formula>IF(#REF!&lt;&gt;#REF!,1,0)</formula>
    </cfRule>
  </conditionalFormatting>
  <conditionalFormatting sqref="P45">
    <cfRule type="expression" dxfId="789" priority="1248">
      <formula>IF(#REF!&lt;&gt;#REF!,1,0)</formula>
    </cfRule>
  </conditionalFormatting>
  <conditionalFormatting sqref="J36:O36 J35:K35 M35:O35">
    <cfRule type="expression" dxfId="788" priority="1241">
      <formula>IF(#REF!&lt;&gt;#REF!,1,0)</formula>
    </cfRule>
  </conditionalFormatting>
  <conditionalFormatting sqref="K36:O36 K35 M35:O35">
    <cfRule type="expression" dxfId="787" priority="1240">
      <formula>IF(#REF!&lt;&gt;#REF!,1,0)</formula>
    </cfRule>
  </conditionalFormatting>
  <conditionalFormatting sqref="P35:P36">
    <cfRule type="expression" dxfId="786" priority="1239">
      <formula>IF(#REF!&lt;&gt;#REF!,1,0)</formula>
    </cfRule>
  </conditionalFormatting>
  <conditionalFormatting sqref="P35:P36">
    <cfRule type="expression" dxfId="785" priority="1238">
      <formula>IF(#REF!&lt;&gt;#REF!,1,0)</formula>
    </cfRule>
  </conditionalFormatting>
  <conditionalFormatting sqref="O83:S83">
    <cfRule type="expression" dxfId="784" priority="1233">
      <formula>IF(#REF!&lt;&gt;#REF!,1,0)</formula>
    </cfRule>
  </conditionalFormatting>
  <conditionalFormatting sqref="O83:S83">
    <cfRule type="expression" dxfId="783" priority="1232">
      <formula>IF(#REF!&lt;&gt;#REF!,1,0)</formula>
    </cfRule>
  </conditionalFormatting>
  <conditionalFormatting sqref="O83:S83">
    <cfRule type="expression" dxfId="782" priority="1231">
      <formula>IF(#REF!&lt;&gt;#REF!,1,0)</formula>
    </cfRule>
  </conditionalFormatting>
  <conditionalFormatting sqref="E83:I83">
    <cfRule type="expression" dxfId="781" priority="1230">
      <formula>IF(#REF!&lt;&gt;#REF!,1,0)</formula>
    </cfRule>
  </conditionalFormatting>
  <conditionalFormatting sqref="E83:M83">
    <cfRule type="expression" dxfId="780" priority="1229">
      <formula>IF(#REF!&lt;&gt;#REF!,1,0)</formula>
    </cfRule>
  </conditionalFormatting>
  <conditionalFormatting sqref="F83:I83">
    <cfRule type="expression" dxfId="779" priority="1228">
      <formula>IF(#REF!&lt;&gt;#REF!,1,0)</formula>
    </cfRule>
  </conditionalFormatting>
  <conditionalFormatting sqref="J83:M83">
    <cfRule type="expression" dxfId="778" priority="1227">
      <formula>IF(#REF!&lt;&gt;#REF!,1,0)</formula>
    </cfRule>
  </conditionalFormatting>
  <conditionalFormatting sqref="K83:M83">
    <cfRule type="expression" dxfId="777" priority="1226">
      <formula>IF(#REF!&lt;&gt;#REF!,1,0)</formula>
    </cfRule>
  </conditionalFormatting>
  <conditionalFormatting sqref="AG42:AG44">
    <cfRule type="dataBar" priority="12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{2A6F2992-BF9E-476D-A15C-6950EC3479BF}</x14:id>
        </ext>
      </extLst>
    </cfRule>
  </conditionalFormatting>
  <conditionalFormatting sqref="AH42:AH44">
    <cfRule type="colorScale" priority="1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I44 O42:O44">
    <cfRule type="expression" dxfId="776" priority="1214">
      <formula>IF(#REF!&lt;&gt;#REF!,1,0)</formula>
    </cfRule>
  </conditionalFormatting>
  <conditionalFormatting sqref="C42:O44">
    <cfRule type="expression" dxfId="775" priority="1213">
      <formula>IF(#REF!&lt;&gt;#REF!,1,0)</formula>
    </cfRule>
  </conditionalFormatting>
  <conditionalFormatting sqref="D42:I44 O42:O44">
    <cfRule type="expression" dxfId="774" priority="1212">
      <formula>IF(#REF!&lt;&gt;#REF!,1,0)</formula>
    </cfRule>
  </conditionalFormatting>
  <conditionalFormatting sqref="J42:O44 AC50:AC51 Q50:U50">
    <cfRule type="expression" dxfId="773" priority="1211">
      <formula>IF(#REF!&lt;&gt;#REF!,1,0)</formula>
    </cfRule>
  </conditionalFormatting>
  <conditionalFormatting sqref="K42:O44">
    <cfRule type="expression" dxfId="772" priority="1210">
      <formula>IF(#REF!&lt;&gt;#REF!,1,0)</formula>
    </cfRule>
  </conditionalFormatting>
  <conditionalFormatting sqref="P42:P44">
    <cfRule type="expression" dxfId="771" priority="1209">
      <formula>IF(#REF!&lt;&gt;#REF!,1,0)</formula>
    </cfRule>
  </conditionalFormatting>
  <conditionalFormatting sqref="P42:P44">
    <cfRule type="expression" dxfId="770" priority="1208">
      <formula>IF(#REF!&lt;&gt;#REF!,1,0)</formula>
    </cfRule>
  </conditionalFormatting>
  <conditionalFormatting sqref="P42:P44">
    <cfRule type="expression" dxfId="769" priority="1207">
      <formula>IF(#REF!&lt;&gt;#REF!,1,0)</formula>
    </cfRule>
  </conditionalFormatting>
  <conditionalFormatting sqref="M31:O32 M26:N28">
    <cfRule type="expression" dxfId="768" priority="1206">
      <formula>IF(#REF!&lt;&gt;#REF!,1,0)</formula>
    </cfRule>
  </conditionalFormatting>
  <conditionalFormatting sqref="M31:O32 M26:N28">
    <cfRule type="expression" dxfId="767" priority="1205">
      <formula>IF(#REF!&lt;&gt;#REF!,1,0)</formula>
    </cfRule>
  </conditionalFormatting>
  <conditionalFormatting sqref="B83">
    <cfRule type="expression" dxfId="766" priority="1197">
      <formula>IF(#REF!&lt;&gt;$F87,1,0)</formula>
    </cfRule>
  </conditionalFormatting>
  <conditionalFormatting sqref="B76:B82">
    <cfRule type="expression" dxfId="765" priority="1196">
      <formula>IF(#REF!&lt;&gt;$F81,1,0)</formula>
    </cfRule>
  </conditionalFormatting>
  <conditionalFormatting sqref="O75">
    <cfRule type="expression" dxfId="764" priority="1195">
      <formula>IF(#REF!&lt;&gt;#REF!,1,0)</formula>
    </cfRule>
  </conditionalFormatting>
  <conditionalFormatting sqref="O75">
    <cfRule type="expression" dxfId="763" priority="1194">
      <formula>IF(#REF!&lt;&gt;#REF!,1,0)</formula>
    </cfRule>
  </conditionalFormatting>
  <conditionalFormatting sqref="O75">
    <cfRule type="expression" dxfId="762" priority="1193">
      <formula>IF(#REF!&lt;&gt;#REF!,1,0)</formula>
    </cfRule>
  </conditionalFormatting>
  <conditionalFormatting sqref="P75">
    <cfRule type="expression" dxfId="761" priority="1192">
      <formula>IF(#REF!&lt;&gt;#REF!,1,0)</formula>
    </cfRule>
  </conditionalFormatting>
  <conditionalFormatting sqref="P75">
    <cfRule type="expression" dxfId="760" priority="1191">
      <formula>IF(#REF!&lt;&gt;#REF!,1,0)</formula>
    </cfRule>
  </conditionalFormatting>
  <conditionalFormatting sqref="P75">
    <cfRule type="expression" dxfId="759" priority="1190">
      <formula>IF(#REF!&lt;&gt;#REF!,1,0)</formula>
    </cfRule>
  </conditionalFormatting>
  <conditionalFormatting sqref="Q75">
    <cfRule type="expression" dxfId="758" priority="1189">
      <formula>IF(#REF!&lt;&gt;#REF!,1,0)</formula>
    </cfRule>
  </conditionalFormatting>
  <conditionalFormatting sqref="Q75">
    <cfRule type="expression" dxfId="757" priority="1188">
      <formula>IF(#REF!&lt;&gt;#REF!,1,0)</formula>
    </cfRule>
  </conditionalFormatting>
  <conditionalFormatting sqref="Q75">
    <cfRule type="expression" dxfId="756" priority="1187">
      <formula>IF(#REF!&lt;&gt;#REF!,1,0)</formula>
    </cfRule>
  </conditionalFormatting>
  <conditionalFormatting sqref="R75">
    <cfRule type="expression" dxfId="755" priority="1186">
      <formula>IF(#REF!&lt;&gt;#REF!,1,0)</formula>
    </cfRule>
  </conditionalFormatting>
  <conditionalFormatting sqref="R75">
    <cfRule type="expression" dxfId="754" priority="1185">
      <formula>IF(#REF!&lt;&gt;#REF!,1,0)</formula>
    </cfRule>
  </conditionalFormatting>
  <conditionalFormatting sqref="R75">
    <cfRule type="expression" dxfId="753" priority="1184">
      <formula>IF(#REF!&lt;&gt;#REF!,1,0)</formula>
    </cfRule>
  </conditionalFormatting>
  <conditionalFormatting sqref="S75">
    <cfRule type="expression" dxfId="752" priority="1183">
      <formula>IF(#REF!&lt;&gt;#REF!,1,0)</formula>
    </cfRule>
  </conditionalFormatting>
  <conditionalFormatting sqref="S75">
    <cfRule type="expression" dxfId="751" priority="1182">
      <formula>IF(#REF!&lt;&gt;#REF!,1,0)</formula>
    </cfRule>
  </conditionalFormatting>
  <conditionalFormatting sqref="S75">
    <cfRule type="expression" dxfId="750" priority="1181">
      <formula>IF(#REF!&lt;&gt;#REF!,1,0)</formula>
    </cfRule>
  </conditionalFormatting>
  <conditionalFormatting sqref="N75">
    <cfRule type="expression" dxfId="749" priority="1172">
      <formula>IF(#REF!&lt;&gt;#REF!,1,0)</formula>
    </cfRule>
  </conditionalFormatting>
  <conditionalFormatting sqref="E75:I75">
    <cfRule type="expression" dxfId="748" priority="1179">
      <formula>IF(#REF!&lt;&gt;#REF!,1,0)</formula>
    </cfRule>
  </conditionalFormatting>
  <conditionalFormatting sqref="E75:M75">
    <cfRule type="expression" dxfId="747" priority="1178">
      <formula>IF(#REF!&lt;&gt;#REF!,1,0)</formula>
    </cfRule>
  </conditionalFormatting>
  <conditionalFormatting sqref="K75:M75">
    <cfRule type="expression" dxfId="746" priority="1175">
      <formula>IF(#REF!&lt;&gt;#REF!,1,0)</formula>
    </cfRule>
  </conditionalFormatting>
  <conditionalFormatting sqref="N75">
    <cfRule type="expression" dxfId="745" priority="1174">
      <formula>IF(#REF!&lt;&gt;#REF!,1,0)</formula>
    </cfRule>
  </conditionalFormatting>
  <conditionalFormatting sqref="N75">
    <cfRule type="expression" dxfId="744" priority="1173">
      <formula>IF(#REF!&lt;&gt;#REF!,1,0)</formula>
    </cfRule>
  </conditionalFormatting>
  <conditionalFormatting sqref="N86">
    <cfRule type="expression" dxfId="743" priority="1128">
      <formula>IF(#REF!&lt;&gt;#REF!,1,0)</formula>
    </cfRule>
  </conditionalFormatting>
  <conditionalFormatting sqref="O86:S86">
    <cfRule type="expression" dxfId="742" priority="1136">
      <formula>IF(#REF!&lt;&gt;#REF!,1,0)</formula>
    </cfRule>
  </conditionalFormatting>
  <conditionalFormatting sqref="O86:S86">
    <cfRule type="expression" dxfId="741" priority="1135">
      <formula>IF(#REF!&lt;&gt;#REF!,1,0)</formula>
    </cfRule>
  </conditionalFormatting>
  <conditionalFormatting sqref="O86:S86">
    <cfRule type="expression" dxfId="740" priority="1134">
      <formula>IF(#REF!&lt;&gt;#REF!,1,0)</formula>
    </cfRule>
  </conditionalFormatting>
  <conditionalFormatting sqref="E86:G86 I86">
    <cfRule type="expression" dxfId="739" priority="1133">
      <formula>IF(#REF!&lt;&gt;#REF!,1,0)</formula>
    </cfRule>
  </conditionalFormatting>
  <conditionalFormatting sqref="E86:G86 I86:M86">
    <cfRule type="expression" dxfId="738" priority="1132">
      <formula>IF(#REF!&lt;&gt;#REF!,1,0)</formula>
    </cfRule>
  </conditionalFormatting>
  <conditionalFormatting sqref="F86:G86 I86">
    <cfRule type="expression" dxfId="737" priority="1131">
      <formula>IF(#REF!&lt;&gt;#REF!,1,0)</formula>
    </cfRule>
  </conditionalFormatting>
  <conditionalFormatting sqref="J86:M86">
    <cfRule type="expression" dxfId="736" priority="1130">
      <formula>IF(#REF!&lt;&gt;#REF!,1,0)</formula>
    </cfRule>
  </conditionalFormatting>
  <conditionalFormatting sqref="K86:M86">
    <cfRule type="expression" dxfId="735" priority="1129">
      <formula>IF(#REF!&lt;&gt;#REF!,1,0)</formula>
    </cfRule>
  </conditionalFormatting>
  <conditionalFormatting sqref="B86">
    <cfRule type="expression" dxfId="734" priority="1137">
      <formula>IF(#REF!&lt;&gt;#REF!,1,0)</formula>
    </cfRule>
  </conditionalFormatting>
  <conditionalFormatting sqref="N86">
    <cfRule type="expression" dxfId="733" priority="1127">
      <formula>IF(#REF!&lt;&gt;#REF!,1,0)</formula>
    </cfRule>
  </conditionalFormatting>
  <conditionalFormatting sqref="N86">
    <cfRule type="expression" dxfId="732" priority="1126">
      <formula>IF(#REF!&lt;&gt;#REF!,1,0)</formula>
    </cfRule>
  </conditionalFormatting>
  <conditionalFormatting sqref="AD45">
    <cfRule type="expression" dxfId="731" priority="1091">
      <formula>IF(#REF!&lt;&gt;#REF!,1,0)</formula>
    </cfRule>
  </conditionalFormatting>
  <conditionalFormatting sqref="AD45">
    <cfRule type="expression" dxfId="730" priority="1090">
      <formula>IF(#REF!&lt;&gt;#REF!,1,0)</formula>
    </cfRule>
  </conditionalFormatting>
  <conditionalFormatting sqref="AD45">
    <cfRule type="expression" dxfId="729" priority="1089">
      <formula>IF(#REF!&lt;&gt;#REF!,1,0)</formula>
    </cfRule>
  </conditionalFormatting>
  <conditionalFormatting sqref="AE45">
    <cfRule type="expression" dxfId="728" priority="1088">
      <formula>IF(#REF!&lt;&gt;#REF!,1,0)</formula>
    </cfRule>
  </conditionalFormatting>
  <conditionalFormatting sqref="AE45">
    <cfRule type="expression" dxfId="727" priority="1087">
      <formula>IF(#REF!&lt;&gt;#REF!,1,0)</formula>
    </cfRule>
  </conditionalFormatting>
  <conditionalFormatting sqref="AE45">
    <cfRule type="expression" dxfId="726" priority="1086">
      <formula>IF(#REF!&lt;&gt;#REF!,1,0)</formula>
    </cfRule>
  </conditionalFormatting>
  <conditionalFormatting sqref="AD34:AD44">
    <cfRule type="expression" dxfId="725" priority="1085">
      <formula>IF(#REF!&lt;&gt;#REF!,1,0)</formula>
    </cfRule>
  </conditionalFormatting>
  <conditionalFormatting sqref="AD34:AD44">
    <cfRule type="expression" dxfId="724" priority="1084">
      <formula>IF(#REF!&lt;&gt;#REF!,1,0)</formula>
    </cfRule>
  </conditionalFormatting>
  <conditionalFormatting sqref="AD34:AD44">
    <cfRule type="expression" dxfId="723" priority="1083">
      <formula>IF(#REF!&lt;&gt;#REF!,1,0)</formula>
    </cfRule>
  </conditionalFormatting>
  <conditionalFormatting sqref="AE34:AE44">
    <cfRule type="expression" dxfId="722" priority="1082">
      <formula>IF(#REF!&lt;&gt;#REF!,1,0)</formula>
    </cfRule>
  </conditionalFormatting>
  <conditionalFormatting sqref="AE34:AE44">
    <cfRule type="expression" dxfId="721" priority="1081">
      <formula>IF(#REF!&lt;&gt;#REF!,1,0)</formula>
    </cfRule>
  </conditionalFormatting>
  <conditionalFormatting sqref="AE34:AE44">
    <cfRule type="expression" dxfId="720" priority="1080">
      <formula>IF(#REF!&lt;&gt;#REF!,1,0)</formula>
    </cfRule>
  </conditionalFormatting>
  <conditionalFormatting sqref="O82:S82">
    <cfRule type="expression" dxfId="719" priority="1038">
      <formula>IF(#REF!&lt;&gt;#REF!,1,0)</formula>
    </cfRule>
  </conditionalFormatting>
  <conditionalFormatting sqref="O82:S82">
    <cfRule type="expression" dxfId="718" priority="1037">
      <formula>IF(#REF!&lt;&gt;#REF!,1,0)</formula>
    </cfRule>
  </conditionalFormatting>
  <conditionalFormatting sqref="O82:S82">
    <cfRule type="expression" dxfId="717" priority="1036">
      <formula>IF(#REF!&lt;&gt;#REF!,1,0)</formula>
    </cfRule>
  </conditionalFormatting>
  <conditionalFormatting sqref="E82:I82">
    <cfRule type="expression" dxfId="716" priority="1035">
      <formula>IF(#REF!&lt;&gt;#REF!,1,0)</formula>
    </cfRule>
  </conditionalFormatting>
  <conditionalFormatting sqref="E82:M82">
    <cfRule type="expression" dxfId="715" priority="1034">
      <formula>IF(#REF!&lt;&gt;#REF!,1,0)</formula>
    </cfRule>
  </conditionalFormatting>
  <conditionalFormatting sqref="F82:I82">
    <cfRule type="expression" dxfId="714" priority="1033">
      <formula>IF(#REF!&lt;&gt;#REF!,1,0)</formula>
    </cfRule>
  </conditionalFormatting>
  <conditionalFormatting sqref="J82:M82">
    <cfRule type="expression" dxfId="713" priority="1032">
      <formula>IF(#REF!&lt;&gt;#REF!,1,0)</formula>
    </cfRule>
  </conditionalFormatting>
  <conditionalFormatting sqref="K82:M82">
    <cfRule type="expression" dxfId="712" priority="1031">
      <formula>IF(#REF!&lt;&gt;#REF!,1,0)</formula>
    </cfRule>
  </conditionalFormatting>
  <conditionalFormatting sqref="N82">
    <cfRule type="expression" dxfId="711" priority="1030">
      <formula>IF(#REF!&lt;&gt;#REF!,1,0)</formula>
    </cfRule>
  </conditionalFormatting>
  <conditionalFormatting sqref="N82">
    <cfRule type="expression" dxfId="710" priority="1029">
      <formula>IF(#REF!&lt;&gt;#REF!,1,0)</formula>
    </cfRule>
  </conditionalFormatting>
  <conditionalFormatting sqref="N82">
    <cfRule type="expression" dxfId="709" priority="1028">
      <formula>IF(#REF!&lt;&gt;#REF!,1,0)</formula>
    </cfRule>
  </conditionalFormatting>
  <conditionalFormatting sqref="O81:S81">
    <cfRule type="expression" dxfId="708" priority="1015">
      <formula>IF(#REF!&lt;&gt;#REF!,1,0)</formula>
    </cfRule>
  </conditionalFormatting>
  <conditionalFormatting sqref="O81:S81">
    <cfRule type="expression" dxfId="707" priority="1014">
      <formula>IF(#REF!&lt;&gt;#REF!,1,0)</formula>
    </cfRule>
  </conditionalFormatting>
  <conditionalFormatting sqref="O81:S81">
    <cfRule type="expression" dxfId="706" priority="1013">
      <formula>IF(#REF!&lt;&gt;#REF!,1,0)</formula>
    </cfRule>
  </conditionalFormatting>
  <conditionalFormatting sqref="E81:I81">
    <cfRule type="expression" dxfId="705" priority="1012">
      <formula>IF(#REF!&lt;&gt;#REF!,1,0)</formula>
    </cfRule>
  </conditionalFormatting>
  <conditionalFormatting sqref="E81:M81">
    <cfRule type="expression" dxfId="704" priority="1011">
      <formula>IF(#REF!&lt;&gt;#REF!,1,0)</formula>
    </cfRule>
  </conditionalFormatting>
  <conditionalFormatting sqref="F81:I81">
    <cfRule type="expression" dxfId="703" priority="1010">
      <formula>IF(#REF!&lt;&gt;#REF!,1,0)</formula>
    </cfRule>
  </conditionalFormatting>
  <conditionalFormatting sqref="J81:M81">
    <cfRule type="expression" dxfId="702" priority="1009">
      <formula>IF(#REF!&lt;&gt;#REF!,1,0)</formula>
    </cfRule>
  </conditionalFormatting>
  <conditionalFormatting sqref="K81:M81">
    <cfRule type="expression" dxfId="701" priority="1008">
      <formula>IF(#REF!&lt;&gt;#REF!,1,0)</formula>
    </cfRule>
  </conditionalFormatting>
  <conditionalFormatting sqref="N81">
    <cfRule type="expression" dxfId="700" priority="1007">
      <formula>IF(#REF!&lt;&gt;#REF!,1,0)</formula>
    </cfRule>
  </conditionalFormatting>
  <conditionalFormatting sqref="N81">
    <cfRule type="expression" dxfId="699" priority="1006">
      <formula>IF(#REF!&lt;&gt;#REF!,1,0)</formula>
    </cfRule>
  </conditionalFormatting>
  <conditionalFormatting sqref="N81">
    <cfRule type="expression" dxfId="698" priority="1005">
      <formula>IF(#REF!&lt;&gt;#REF!,1,0)</formula>
    </cfRule>
  </conditionalFormatting>
  <conditionalFormatting sqref="O84:S84">
    <cfRule type="expression" dxfId="697" priority="1001">
      <formula>IF(#REF!&lt;&gt;#REF!,1,0)</formula>
    </cfRule>
  </conditionalFormatting>
  <conditionalFormatting sqref="O84:S84">
    <cfRule type="expression" dxfId="696" priority="1000">
      <formula>IF(#REF!&lt;&gt;#REF!,1,0)</formula>
    </cfRule>
  </conditionalFormatting>
  <conditionalFormatting sqref="O84:S84">
    <cfRule type="expression" dxfId="695" priority="999">
      <formula>IF(#REF!&lt;&gt;#REF!,1,0)</formula>
    </cfRule>
  </conditionalFormatting>
  <conditionalFormatting sqref="E84:I84">
    <cfRule type="expression" dxfId="694" priority="998">
      <formula>IF(#REF!&lt;&gt;#REF!,1,0)</formula>
    </cfRule>
  </conditionalFormatting>
  <conditionalFormatting sqref="E84:M84">
    <cfRule type="expression" dxfId="693" priority="997">
      <formula>IF(#REF!&lt;&gt;#REF!,1,0)</formula>
    </cfRule>
  </conditionalFormatting>
  <conditionalFormatting sqref="F84:I84">
    <cfRule type="expression" dxfId="692" priority="996">
      <formula>IF(#REF!&lt;&gt;#REF!,1,0)</formula>
    </cfRule>
  </conditionalFormatting>
  <conditionalFormatting sqref="J84:M84">
    <cfRule type="expression" dxfId="691" priority="995">
      <formula>IF(#REF!&lt;&gt;#REF!,1,0)</formula>
    </cfRule>
  </conditionalFormatting>
  <conditionalFormatting sqref="K84:M84">
    <cfRule type="expression" dxfId="690" priority="994">
      <formula>IF(#REF!&lt;&gt;#REF!,1,0)</formula>
    </cfRule>
  </conditionalFormatting>
  <conditionalFormatting sqref="N84">
    <cfRule type="expression" dxfId="689" priority="993">
      <formula>IF(#REF!&lt;&gt;#REF!,1,0)</formula>
    </cfRule>
  </conditionalFormatting>
  <conditionalFormatting sqref="N84">
    <cfRule type="expression" dxfId="688" priority="992">
      <formula>IF(#REF!&lt;&gt;#REF!,1,0)</formula>
    </cfRule>
  </conditionalFormatting>
  <conditionalFormatting sqref="N84">
    <cfRule type="expression" dxfId="687" priority="991">
      <formula>IF(#REF!&lt;&gt;#REF!,1,0)</formula>
    </cfRule>
  </conditionalFormatting>
  <conditionalFormatting sqref="O80:S80">
    <cfRule type="expression" dxfId="686" priority="978">
      <formula>IF(#REF!&lt;&gt;#REF!,1,0)</formula>
    </cfRule>
  </conditionalFormatting>
  <conditionalFormatting sqref="O80:S80">
    <cfRule type="expression" dxfId="685" priority="977">
      <formula>IF(#REF!&lt;&gt;#REF!,1,0)</formula>
    </cfRule>
  </conditionalFormatting>
  <conditionalFormatting sqref="O80:S80">
    <cfRule type="expression" dxfId="684" priority="976">
      <formula>IF(#REF!&lt;&gt;#REF!,1,0)</formula>
    </cfRule>
  </conditionalFormatting>
  <conditionalFormatting sqref="E80:I80">
    <cfRule type="expression" dxfId="683" priority="975">
      <formula>IF(#REF!&lt;&gt;#REF!,1,0)</formula>
    </cfRule>
  </conditionalFormatting>
  <conditionalFormatting sqref="E80:M80">
    <cfRule type="expression" dxfId="682" priority="974">
      <formula>IF(#REF!&lt;&gt;#REF!,1,0)</formula>
    </cfRule>
  </conditionalFormatting>
  <conditionalFormatting sqref="F80:I80">
    <cfRule type="expression" dxfId="681" priority="973">
      <formula>IF(#REF!&lt;&gt;#REF!,1,0)</formula>
    </cfRule>
  </conditionalFormatting>
  <conditionalFormatting sqref="J80:M80">
    <cfRule type="expression" dxfId="680" priority="972">
      <formula>IF(#REF!&lt;&gt;#REF!,1,0)</formula>
    </cfRule>
  </conditionalFormatting>
  <conditionalFormatting sqref="K80:M80">
    <cfRule type="expression" dxfId="679" priority="971">
      <formula>IF(#REF!&lt;&gt;#REF!,1,0)</formula>
    </cfRule>
  </conditionalFormatting>
  <conditionalFormatting sqref="N80">
    <cfRule type="expression" dxfId="678" priority="970">
      <formula>IF(#REF!&lt;&gt;#REF!,1,0)</formula>
    </cfRule>
  </conditionalFormatting>
  <conditionalFormatting sqref="N80">
    <cfRule type="expression" dxfId="677" priority="969">
      <formula>IF(#REF!&lt;&gt;#REF!,1,0)</formula>
    </cfRule>
  </conditionalFormatting>
  <conditionalFormatting sqref="N80">
    <cfRule type="expression" dxfId="676" priority="968">
      <formula>IF(#REF!&lt;&gt;#REF!,1,0)</formula>
    </cfRule>
  </conditionalFormatting>
  <conditionalFormatting sqref="O79:S79">
    <cfRule type="expression" dxfId="675" priority="955">
      <formula>IF(#REF!&lt;&gt;#REF!,1,0)</formula>
    </cfRule>
  </conditionalFormatting>
  <conditionalFormatting sqref="O79:S79">
    <cfRule type="expression" dxfId="674" priority="954">
      <formula>IF(#REF!&lt;&gt;#REF!,1,0)</formula>
    </cfRule>
  </conditionalFormatting>
  <conditionalFormatting sqref="O79:S79">
    <cfRule type="expression" dxfId="673" priority="953">
      <formula>IF(#REF!&lt;&gt;#REF!,1,0)</formula>
    </cfRule>
  </conditionalFormatting>
  <conditionalFormatting sqref="E79:I79">
    <cfRule type="expression" dxfId="672" priority="952">
      <formula>IF(#REF!&lt;&gt;#REF!,1,0)</formula>
    </cfRule>
  </conditionalFormatting>
  <conditionalFormatting sqref="E79:M79">
    <cfRule type="expression" dxfId="671" priority="951">
      <formula>IF(#REF!&lt;&gt;#REF!,1,0)</formula>
    </cfRule>
  </conditionalFormatting>
  <conditionalFormatting sqref="F79:I79">
    <cfRule type="expression" dxfId="670" priority="950">
      <formula>IF(#REF!&lt;&gt;#REF!,1,0)</formula>
    </cfRule>
  </conditionalFormatting>
  <conditionalFormatting sqref="J79:M79">
    <cfRule type="expression" dxfId="669" priority="949">
      <formula>IF(#REF!&lt;&gt;#REF!,1,0)</formula>
    </cfRule>
  </conditionalFormatting>
  <conditionalFormatting sqref="K79:M79">
    <cfRule type="expression" dxfId="668" priority="948">
      <formula>IF(#REF!&lt;&gt;#REF!,1,0)</formula>
    </cfRule>
  </conditionalFormatting>
  <conditionalFormatting sqref="N79">
    <cfRule type="expression" dxfId="667" priority="947">
      <formula>IF(#REF!&lt;&gt;#REF!,1,0)</formula>
    </cfRule>
  </conditionalFormatting>
  <conditionalFormatting sqref="N79">
    <cfRule type="expression" dxfId="666" priority="946">
      <formula>IF(#REF!&lt;&gt;#REF!,1,0)</formula>
    </cfRule>
  </conditionalFormatting>
  <conditionalFormatting sqref="N79">
    <cfRule type="expression" dxfId="665" priority="945">
      <formula>IF(#REF!&lt;&gt;#REF!,1,0)</formula>
    </cfRule>
  </conditionalFormatting>
  <conditionalFormatting sqref="O78:S78">
    <cfRule type="expression" dxfId="664" priority="909">
      <formula>IF(#REF!&lt;&gt;#REF!,1,0)</formula>
    </cfRule>
  </conditionalFormatting>
  <conditionalFormatting sqref="O78:S78">
    <cfRule type="expression" dxfId="663" priority="908">
      <formula>IF(#REF!&lt;&gt;#REF!,1,0)</formula>
    </cfRule>
  </conditionalFormatting>
  <conditionalFormatting sqref="O78:S78">
    <cfRule type="expression" dxfId="662" priority="907">
      <formula>IF(#REF!&lt;&gt;#REF!,1,0)</formula>
    </cfRule>
  </conditionalFormatting>
  <conditionalFormatting sqref="E78:I78">
    <cfRule type="expression" dxfId="661" priority="906">
      <formula>IF(#REF!&lt;&gt;#REF!,1,0)</formula>
    </cfRule>
  </conditionalFormatting>
  <conditionalFormatting sqref="E78:M78">
    <cfRule type="expression" dxfId="660" priority="905">
      <formula>IF(#REF!&lt;&gt;#REF!,1,0)</formula>
    </cfRule>
  </conditionalFormatting>
  <conditionalFormatting sqref="F78:I78">
    <cfRule type="expression" dxfId="659" priority="904">
      <formula>IF(#REF!&lt;&gt;#REF!,1,0)</formula>
    </cfRule>
  </conditionalFormatting>
  <conditionalFormatting sqref="J78:M78">
    <cfRule type="expression" dxfId="658" priority="903">
      <formula>IF(#REF!&lt;&gt;#REF!,1,0)</formula>
    </cfRule>
  </conditionalFormatting>
  <conditionalFormatting sqref="K78:M78">
    <cfRule type="expression" dxfId="657" priority="902">
      <formula>IF(#REF!&lt;&gt;#REF!,1,0)</formula>
    </cfRule>
  </conditionalFormatting>
  <conditionalFormatting sqref="N78">
    <cfRule type="expression" dxfId="656" priority="901">
      <formula>IF(#REF!&lt;&gt;#REF!,1,0)</formula>
    </cfRule>
  </conditionalFormatting>
  <conditionalFormatting sqref="N78">
    <cfRule type="expression" dxfId="655" priority="900">
      <formula>IF(#REF!&lt;&gt;#REF!,1,0)</formula>
    </cfRule>
  </conditionalFormatting>
  <conditionalFormatting sqref="N78">
    <cfRule type="expression" dxfId="654" priority="899">
      <formula>IF(#REF!&lt;&gt;#REF!,1,0)</formula>
    </cfRule>
  </conditionalFormatting>
  <conditionalFormatting sqref="O77:S77">
    <cfRule type="expression" dxfId="653" priority="886">
      <formula>IF(#REF!&lt;&gt;#REF!,1,0)</formula>
    </cfRule>
  </conditionalFormatting>
  <conditionalFormatting sqref="O77:S77">
    <cfRule type="expression" dxfId="652" priority="885">
      <formula>IF(#REF!&lt;&gt;#REF!,1,0)</formula>
    </cfRule>
  </conditionalFormatting>
  <conditionalFormatting sqref="O77:S77">
    <cfRule type="expression" dxfId="651" priority="884">
      <formula>IF(#REF!&lt;&gt;#REF!,1,0)</formula>
    </cfRule>
  </conditionalFormatting>
  <conditionalFormatting sqref="E77:G77 I77">
    <cfRule type="expression" dxfId="650" priority="883">
      <formula>IF(#REF!&lt;&gt;#REF!,1,0)</formula>
    </cfRule>
  </conditionalFormatting>
  <conditionalFormatting sqref="E77:G77 I77:M77">
    <cfRule type="expression" dxfId="649" priority="882">
      <formula>IF(#REF!&lt;&gt;#REF!,1,0)</formula>
    </cfRule>
  </conditionalFormatting>
  <conditionalFormatting sqref="F77:G77 I77">
    <cfRule type="expression" dxfId="648" priority="881">
      <formula>IF(#REF!&lt;&gt;#REF!,1,0)</formula>
    </cfRule>
  </conditionalFormatting>
  <conditionalFormatting sqref="J77:M77">
    <cfRule type="expression" dxfId="647" priority="880">
      <formula>IF(#REF!&lt;&gt;#REF!,1,0)</formula>
    </cfRule>
  </conditionalFormatting>
  <conditionalFormatting sqref="K77:M77">
    <cfRule type="expression" dxfId="646" priority="879">
      <formula>IF(#REF!&lt;&gt;#REF!,1,0)</formula>
    </cfRule>
  </conditionalFormatting>
  <conditionalFormatting sqref="N77">
    <cfRule type="expression" dxfId="645" priority="878">
      <formula>IF(#REF!&lt;&gt;#REF!,1,0)</formula>
    </cfRule>
  </conditionalFormatting>
  <conditionalFormatting sqref="N77">
    <cfRule type="expression" dxfId="644" priority="877">
      <formula>IF(#REF!&lt;&gt;#REF!,1,0)</formula>
    </cfRule>
  </conditionalFormatting>
  <conditionalFormatting sqref="N77">
    <cfRule type="expression" dxfId="643" priority="876">
      <formula>IF(#REF!&lt;&gt;#REF!,1,0)</formula>
    </cfRule>
  </conditionalFormatting>
  <conditionalFormatting sqref="O85:S85">
    <cfRule type="expression" dxfId="642" priority="872">
      <formula>IF(#REF!&lt;&gt;#REF!,1,0)</formula>
    </cfRule>
  </conditionalFormatting>
  <conditionalFormatting sqref="O85:S85">
    <cfRule type="expression" dxfId="641" priority="871">
      <formula>IF(#REF!&lt;&gt;#REF!,1,0)</formula>
    </cfRule>
  </conditionalFormatting>
  <conditionalFormatting sqref="O85:S85">
    <cfRule type="expression" dxfId="640" priority="870">
      <formula>IF(#REF!&lt;&gt;#REF!,1,0)</formula>
    </cfRule>
  </conditionalFormatting>
  <conditionalFormatting sqref="E85:I85">
    <cfRule type="expression" dxfId="639" priority="869">
      <formula>IF(#REF!&lt;&gt;#REF!,1,0)</formula>
    </cfRule>
  </conditionalFormatting>
  <conditionalFormatting sqref="E85:M85">
    <cfRule type="expression" dxfId="638" priority="868">
      <formula>IF(#REF!&lt;&gt;#REF!,1,0)</formula>
    </cfRule>
  </conditionalFormatting>
  <conditionalFormatting sqref="F85:I85">
    <cfRule type="expression" dxfId="637" priority="867">
      <formula>IF(#REF!&lt;&gt;#REF!,1,0)</formula>
    </cfRule>
  </conditionalFormatting>
  <conditionalFormatting sqref="J85:M85">
    <cfRule type="expression" dxfId="636" priority="866">
      <formula>IF(#REF!&lt;&gt;#REF!,1,0)</formula>
    </cfRule>
  </conditionalFormatting>
  <conditionalFormatting sqref="K85:M85">
    <cfRule type="expression" dxfId="635" priority="865">
      <formula>IF(#REF!&lt;&gt;#REF!,1,0)</formula>
    </cfRule>
  </conditionalFormatting>
  <conditionalFormatting sqref="N85">
    <cfRule type="expression" dxfId="634" priority="864">
      <formula>IF(#REF!&lt;&gt;#REF!,1,0)</formula>
    </cfRule>
  </conditionalFormatting>
  <conditionalFormatting sqref="N85">
    <cfRule type="expression" dxfId="633" priority="863">
      <formula>IF(#REF!&lt;&gt;#REF!,1,0)</formula>
    </cfRule>
  </conditionalFormatting>
  <conditionalFormatting sqref="N85">
    <cfRule type="expression" dxfId="632" priority="862">
      <formula>IF(#REF!&lt;&gt;#REF!,1,0)</formula>
    </cfRule>
  </conditionalFormatting>
  <conditionalFormatting sqref="P34">
    <cfRule type="expression" dxfId="631" priority="861">
      <formula>IF(#REF!&lt;&gt;#REF!,1,0)</formula>
    </cfRule>
  </conditionalFormatting>
  <conditionalFormatting sqref="P34">
    <cfRule type="expression" dxfId="630" priority="860">
      <formula>IF(#REF!&lt;&gt;#REF!,1,0)</formula>
    </cfRule>
  </conditionalFormatting>
  <conditionalFormatting sqref="P34">
    <cfRule type="expression" dxfId="629" priority="859">
      <formula>IF(#REF!&lt;&gt;#REF!,1,0)</formula>
    </cfRule>
  </conditionalFormatting>
  <conditionalFormatting sqref="B46:B49">
    <cfRule type="expression" dxfId="628" priority="754">
      <formula>IF(#REF!&lt;&gt;#REF!,1,0)</formula>
    </cfRule>
  </conditionalFormatting>
  <conditionalFormatting sqref="J46:O49">
    <cfRule type="expression" dxfId="627" priority="753">
      <formula>IF(#REF!&lt;&gt;#REF!,1,0)</formula>
    </cfRule>
  </conditionalFormatting>
  <conditionalFormatting sqref="K46:O49">
    <cfRule type="expression" dxfId="626" priority="752">
      <formula>IF(#REF!&lt;&gt;#REF!,1,0)</formula>
    </cfRule>
  </conditionalFormatting>
  <conditionalFormatting sqref="E87:M90">
    <cfRule type="expression" dxfId="625" priority="741">
      <formula>IF(#REF!&lt;&gt;#REF!,1,0)</formula>
    </cfRule>
  </conditionalFormatting>
  <conditionalFormatting sqref="P46:P49">
    <cfRule type="expression" dxfId="624" priority="749">
      <formula>IF(#REF!&lt;&gt;#REF!,1,0)</formula>
    </cfRule>
  </conditionalFormatting>
  <conditionalFormatting sqref="J87:M90">
    <cfRule type="expression" dxfId="623" priority="739">
      <formula>IF(#REF!&lt;&gt;#REF!,1,0)</formula>
    </cfRule>
  </conditionalFormatting>
  <conditionalFormatting sqref="K87:M90">
    <cfRule type="expression" dxfId="622" priority="738">
      <formula>IF(#REF!&lt;&gt;#REF!,1,0)</formula>
    </cfRule>
  </conditionalFormatting>
  <conditionalFormatting sqref="AE46:AE49">
    <cfRule type="expression" dxfId="621" priority="731">
      <formula>IF(#REF!&lt;&gt;#REF!,1,0)</formula>
    </cfRule>
  </conditionalFormatting>
  <conditionalFormatting sqref="AE46:AE49">
    <cfRule type="expression" dxfId="620" priority="730">
      <formula>IF(#REF!&lt;&gt;#REF!,1,0)</formula>
    </cfRule>
  </conditionalFormatting>
  <conditionalFormatting sqref="AE46:AE49">
    <cfRule type="expression" dxfId="619" priority="729">
      <formula>IF(#REF!&lt;&gt;#REF!,1,0)</formula>
    </cfRule>
  </conditionalFormatting>
  <conditionalFormatting sqref="C50:H50 J50:O50 U50">
    <cfRule type="expression" dxfId="618" priority="727">
      <formula>IF(#REF!&lt;&gt;#REF!,1,0)</formula>
    </cfRule>
  </conditionalFormatting>
  <conditionalFormatting sqref="U50">
    <cfRule type="expression" dxfId="617" priority="726">
      <formula>IF(#REF!&lt;&gt;#REF!,1,0)</formula>
    </cfRule>
  </conditionalFormatting>
  <conditionalFormatting sqref="P50">
    <cfRule type="expression" dxfId="616" priority="717">
      <formula>IF(#REF!&lt;&gt;#REF!,1,0)</formula>
    </cfRule>
  </conditionalFormatting>
  <conditionalFormatting sqref="B91">
    <cfRule type="expression" dxfId="615" priority="714">
      <formula>IF(#REF!&lt;&gt;#REF!,1,0)</formula>
    </cfRule>
  </conditionalFormatting>
  <conditionalFormatting sqref="N91">
    <cfRule type="expression" dxfId="614" priority="703">
      <formula>IF(#REF!&lt;&gt;#REF!,1,0)</formula>
    </cfRule>
  </conditionalFormatting>
  <conditionalFormatting sqref="AE50">
    <cfRule type="expression" dxfId="613" priority="699">
      <formula>IF(#REF!&lt;&gt;#REF!,1,0)</formula>
    </cfRule>
  </conditionalFormatting>
  <conditionalFormatting sqref="AE50">
    <cfRule type="expression" dxfId="612" priority="698">
      <formula>IF(#REF!&lt;&gt;#REF!,1,0)</formula>
    </cfRule>
  </conditionalFormatting>
  <conditionalFormatting sqref="AE50">
    <cfRule type="expression" dxfId="611" priority="697">
      <formula>IF(#REF!&lt;&gt;#REF!,1,0)</formula>
    </cfRule>
  </conditionalFormatting>
  <conditionalFormatting sqref="I50">
    <cfRule type="expression" dxfId="610" priority="694">
      <formula>IF(#REF!&lt;&gt;#REF!,1,0)</formula>
    </cfRule>
  </conditionalFormatting>
  <conditionalFormatting sqref="I50">
    <cfRule type="expression" dxfId="609" priority="696">
      <formula>IF(#REF!&lt;&gt;#REF!,1,0)</formula>
    </cfRule>
  </conditionalFormatting>
  <conditionalFormatting sqref="I50">
    <cfRule type="expression" dxfId="608" priority="695">
      <formula>IF(#REF!&lt;&gt;#REF!,1,0)</formula>
    </cfRule>
  </conditionalFormatting>
  <conditionalFormatting sqref="C47:O49 U46:U49 C46:E46 G46:O46">
    <cfRule type="expression" dxfId="607" priority="759">
      <formula>IF(#REF!&lt;&gt;#REF!,1,0)</formula>
    </cfRule>
  </conditionalFormatting>
  <conditionalFormatting sqref="U46:U49">
    <cfRule type="expression" dxfId="606" priority="758">
      <formula>IF(#REF!&lt;&gt;#REF!,1,0)</formula>
    </cfRule>
  </conditionalFormatting>
  <conditionalFormatting sqref="U46:U49">
    <cfRule type="expression" dxfId="605" priority="757">
      <formula>IF(#REF!&lt;&gt;#REF!,1,0)</formula>
    </cfRule>
  </conditionalFormatting>
  <conditionalFormatting sqref="AG46:AG49">
    <cfRule type="dataBar" priority="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{95D376DF-2106-41DC-AF8A-DDC483CE42C7}</x14:id>
        </ext>
      </extLst>
    </cfRule>
  </conditionalFormatting>
  <conditionalFormatting sqref="AH46:AH49">
    <cfRule type="colorScale" priority="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6:P49">
    <cfRule type="expression" dxfId="604" priority="751">
      <formula>IF(#REF!&lt;&gt;#REF!,1,0)</formula>
    </cfRule>
  </conditionalFormatting>
  <conditionalFormatting sqref="P46:P49">
    <cfRule type="expression" dxfId="603" priority="750">
      <formula>IF(#REF!&lt;&gt;#REF!,1,0)</formula>
    </cfRule>
  </conditionalFormatting>
  <conditionalFormatting sqref="N87:N90">
    <cfRule type="expression" dxfId="602" priority="737">
      <formula>IF(#REF!&lt;&gt;#REF!,1,0)</formula>
    </cfRule>
  </conditionalFormatting>
  <conditionalFormatting sqref="O87:S90">
    <cfRule type="expression" dxfId="601" priority="745">
      <formula>IF(#REF!&lt;&gt;#REF!,1,0)</formula>
    </cfRule>
  </conditionalFormatting>
  <conditionalFormatting sqref="O87:S90">
    <cfRule type="expression" dxfId="600" priority="744">
      <formula>IF(#REF!&lt;&gt;#REF!,1,0)</formula>
    </cfRule>
  </conditionalFormatting>
  <conditionalFormatting sqref="O87:S90">
    <cfRule type="expression" dxfId="599" priority="743">
      <formula>IF(#REF!&lt;&gt;#REF!,1,0)</formula>
    </cfRule>
  </conditionalFormatting>
  <conditionalFormatting sqref="E87:I90">
    <cfRule type="expression" dxfId="598" priority="742">
      <formula>IF(#REF!&lt;&gt;#REF!,1,0)</formula>
    </cfRule>
  </conditionalFormatting>
  <conditionalFormatting sqref="F87:I90">
    <cfRule type="expression" dxfId="597" priority="740">
      <formula>IF(#REF!&lt;&gt;#REF!,1,0)</formula>
    </cfRule>
  </conditionalFormatting>
  <conditionalFormatting sqref="B87:B90">
    <cfRule type="expression" dxfId="596" priority="746">
      <formula>IF(#REF!&lt;&gt;#REF!,1,0)</formula>
    </cfRule>
  </conditionalFormatting>
  <conditionalFormatting sqref="N87:N90">
    <cfRule type="expression" dxfId="595" priority="736">
      <formula>IF(#REF!&lt;&gt;#REF!,1,0)</formula>
    </cfRule>
  </conditionalFormatting>
  <conditionalFormatting sqref="N87:N90">
    <cfRule type="expression" dxfId="594" priority="735">
      <formula>IF(#REF!&lt;&gt;#REF!,1,0)</formula>
    </cfRule>
  </conditionalFormatting>
  <conditionalFormatting sqref="AD46:AD49">
    <cfRule type="expression" dxfId="593" priority="734">
      <formula>IF(#REF!&lt;&gt;#REF!,1,0)</formula>
    </cfRule>
  </conditionalFormatting>
  <conditionalFormatting sqref="AD46:AD49">
    <cfRule type="expression" dxfId="592" priority="733">
      <formula>IF(#REF!&lt;&gt;#REF!,1,0)</formula>
    </cfRule>
  </conditionalFormatting>
  <conditionalFormatting sqref="AD46:AD49">
    <cfRule type="expression" dxfId="591" priority="732">
      <formula>IF(#REF!&lt;&gt;#REF!,1,0)</formula>
    </cfRule>
  </conditionalFormatting>
  <conditionalFormatting sqref="U50">
    <cfRule type="expression" dxfId="590" priority="725">
      <formula>IF(#REF!&lt;&gt;#REF!,1,0)</formula>
    </cfRule>
  </conditionalFormatting>
  <conditionalFormatting sqref="AG50">
    <cfRule type="dataBar" priority="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{BB7416CD-F227-4A34-89DD-4597AA908395}</x14:id>
        </ext>
      </extLst>
    </cfRule>
  </conditionalFormatting>
  <conditionalFormatting sqref="AH50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0:O50">
    <cfRule type="expression" dxfId="589" priority="721">
      <formula>IF(#REF!&lt;&gt;#REF!,1,0)</formula>
    </cfRule>
  </conditionalFormatting>
  <conditionalFormatting sqref="K50:O50">
    <cfRule type="expression" dxfId="588" priority="720">
      <formula>IF(#REF!&lt;&gt;#REF!,1,0)</formula>
    </cfRule>
  </conditionalFormatting>
  <conditionalFormatting sqref="B50">
    <cfRule type="expression" dxfId="587" priority="722">
      <formula>IF(#REF!&lt;&gt;#REF!,1,0)</formula>
    </cfRule>
  </conditionalFormatting>
  <conditionalFormatting sqref="P50">
    <cfRule type="expression" dxfId="586" priority="719">
      <formula>IF(#REF!&lt;&gt;#REF!,1,0)</formula>
    </cfRule>
  </conditionalFormatting>
  <conditionalFormatting sqref="P50">
    <cfRule type="expression" dxfId="585" priority="718">
      <formula>IF(#REF!&lt;&gt;#REF!,1,0)</formula>
    </cfRule>
  </conditionalFormatting>
  <conditionalFormatting sqref="N91">
    <cfRule type="expression" dxfId="584" priority="705">
      <formula>IF(#REF!&lt;&gt;#REF!,1,0)</formula>
    </cfRule>
  </conditionalFormatting>
  <conditionalFormatting sqref="O91:S91">
    <cfRule type="expression" dxfId="583" priority="713">
      <formula>IF(#REF!&lt;&gt;#REF!,1,0)</formula>
    </cfRule>
  </conditionalFormatting>
  <conditionalFormatting sqref="O91:S91">
    <cfRule type="expression" dxfId="582" priority="712">
      <formula>IF(#REF!&lt;&gt;#REF!,1,0)</formula>
    </cfRule>
  </conditionalFormatting>
  <conditionalFormatting sqref="O91:S91">
    <cfRule type="expression" dxfId="581" priority="711">
      <formula>IF(#REF!&lt;&gt;#REF!,1,0)</formula>
    </cfRule>
  </conditionalFormatting>
  <conditionalFormatting sqref="E91:I91">
    <cfRule type="expression" dxfId="580" priority="710">
      <formula>IF(#REF!&lt;&gt;#REF!,1,0)</formula>
    </cfRule>
  </conditionalFormatting>
  <conditionalFormatting sqref="E91:M91">
    <cfRule type="expression" dxfId="579" priority="709">
      <formula>IF(#REF!&lt;&gt;#REF!,1,0)</formula>
    </cfRule>
  </conditionalFormatting>
  <conditionalFormatting sqref="F91:I91">
    <cfRule type="expression" dxfId="578" priority="708">
      <formula>IF(#REF!&lt;&gt;#REF!,1,0)</formula>
    </cfRule>
  </conditionalFormatting>
  <conditionalFormatting sqref="J91:M91">
    <cfRule type="expression" dxfId="577" priority="707">
      <formula>IF(#REF!&lt;&gt;#REF!,1,0)</formula>
    </cfRule>
  </conditionalFormatting>
  <conditionalFormatting sqref="K91:M91">
    <cfRule type="expression" dxfId="576" priority="706">
      <formula>IF(#REF!&lt;&gt;#REF!,1,0)</formula>
    </cfRule>
  </conditionalFormatting>
  <conditionalFormatting sqref="N91">
    <cfRule type="expression" dxfId="575" priority="704">
      <formula>IF(#REF!&lt;&gt;#REF!,1,0)</formula>
    </cfRule>
  </conditionalFormatting>
  <conditionalFormatting sqref="AD50">
    <cfRule type="expression" dxfId="574" priority="702">
      <formula>IF(#REF!&lt;&gt;#REF!,1,0)</formula>
    </cfRule>
  </conditionalFormatting>
  <conditionalFormatting sqref="AD50">
    <cfRule type="expression" dxfId="573" priority="701">
      <formula>IF(#REF!&lt;&gt;#REF!,1,0)</formula>
    </cfRule>
  </conditionalFormatting>
  <conditionalFormatting sqref="AD50">
    <cfRule type="expression" dxfId="572" priority="700">
      <formula>IF(#REF!&lt;&gt;#REF!,1,0)</formula>
    </cfRule>
  </conditionalFormatting>
  <conditionalFormatting sqref="B85">
    <cfRule type="expression" dxfId="571" priority="1648">
      <formula>IF(#REF!&lt;&gt;#REF!,1,0)</formula>
    </cfRule>
  </conditionalFormatting>
  <conditionalFormatting sqref="B87:B91 B46:B50">
    <cfRule type="expression" dxfId="570" priority="1649">
      <formula>IF(#REF!&lt;&gt;#REF!,1,0)</formula>
    </cfRule>
  </conditionalFormatting>
  <conditionalFormatting sqref="U34:U49"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5">
    <cfRule type="expression" dxfId="569" priority="692">
      <formula>IF(#REF!&lt;&gt;#REF!,1,0)</formula>
    </cfRule>
  </conditionalFormatting>
  <conditionalFormatting sqref="L35">
    <cfRule type="expression" dxfId="568" priority="691">
      <formula>IF(#REF!&lt;&gt;#REF!,1,0)</formula>
    </cfRule>
  </conditionalFormatting>
  <conditionalFormatting sqref="L35">
    <cfRule type="expression" dxfId="567" priority="690">
      <formula>IF(#REF!&lt;&gt;#REF!,1,0)</formula>
    </cfRule>
  </conditionalFormatting>
  <conditionalFormatting sqref="Q44">
    <cfRule type="expression" dxfId="566" priority="689">
      <formula>IF(#REF!&lt;&gt;#REF!,1,0)</formula>
    </cfRule>
  </conditionalFormatting>
  <conditionalFormatting sqref="Q44">
    <cfRule type="expression" dxfId="565" priority="688">
      <formula>IF(#REF!&lt;&gt;#REF!,1,0)</formula>
    </cfRule>
  </conditionalFormatting>
  <conditionalFormatting sqref="R44">
    <cfRule type="expression" dxfId="564" priority="687">
      <formula>IF(#REF!&lt;&gt;#REF!,1,0)</formula>
    </cfRule>
  </conditionalFormatting>
  <conditionalFormatting sqref="R44">
    <cfRule type="expression" dxfId="563" priority="686">
      <formula>IF(#REF!&lt;&gt;#REF!,1,0)</formula>
    </cfRule>
  </conditionalFormatting>
  <conditionalFormatting sqref="Q61:U64 S53:U60 D53:I53 O53 C64:O64 C55:O60 C54:K54 M54:O54">
    <cfRule type="expression" dxfId="562" priority="662">
      <formula>IF(#REF!&lt;&gt;#REF!,1,0)</formula>
    </cfRule>
  </conditionalFormatting>
  <conditionalFormatting sqref="Q53:U64">
    <cfRule type="expression" dxfId="561" priority="661">
      <formula>IF(#REF!&lt;&gt;#REF!,1,0)</formula>
    </cfRule>
  </conditionalFormatting>
  <conditionalFormatting sqref="Q61:U64 S53:U60">
    <cfRule type="expression" dxfId="560" priority="660">
      <formula>IF(#REF!&lt;&gt;#REF!,1,0)</formula>
    </cfRule>
  </conditionalFormatting>
  <conditionalFormatting sqref="P59">
    <cfRule type="expression" dxfId="559" priority="627">
      <formula>IF(#REF!&lt;&gt;#REF!,1,0)</formula>
    </cfRule>
  </conditionalFormatting>
  <conditionalFormatting sqref="J58:O58">
    <cfRule type="expression" dxfId="558" priority="648">
      <formula>IF(#REF!&lt;&gt;#REF!,1,0)</formula>
    </cfRule>
  </conditionalFormatting>
  <conditionalFormatting sqref="K58:O58">
    <cfRule type="expression" dxfId="557" priority="647">
      <formula>IF(#REF!&lt;&gt;#REF!,1,0)</formula>
    </cfRule>
  </conditionalFormatting>
  <conditionalFormatting sqref="P60">
    <cfRule type="expression" dxfId="556" priority="626">
      <formula>IF(#REF!&lt;&gt;#REF!,1,0)</formula>
    </cfRule>
  </conditionalFormatting>
  <conditionalFormatting sqref="P60">
    <cfRule type="expression" dxfId="555" priority="625">
      <formula>IF(#REF!&lt;&gt;#REF!,1,0)</formula>
    </cfRule>
  </conditionalFormatting>
  <conditionalFormatting sqref="Q53:S60 C53:I53 O53">
    <cfRule type="expression" dxfId="554" priority="655">
      <formula>IF(#REF!&lt;&gt;#REF!,1,0)</formula>
    </cfRule>
  </conditionalFormatting>
  <conditionalFormatting sqref="C53:O53">
    <cfRule type="expression" dxfId="553" priority="654">
      <formula>IF(#REF!&lt;&gt;#REF!,1,0)</formula>
    </cfRule>
  </conditionalFormatting>
  <conditionalFormatting sqref="Q53:S60">
    <cfRule type="expression" dxfId="552" priority="653">
      <formula>IF(#REF!&lt;&gt;#REF!,1,0)</formula>
    </cfRule>
  </conditionalFormatting>
  <conditionalFormatting sqref="J53:O53">
    <cfRule type="expression" dxfId="551" priority="652">
      <formula>IF(#REF!&lt;&gt;#REF!,1,0)</formula>
    </cfRule>
  </conditionalFormatting>
  <conditionalFormatting sqref="K53:O53">
    <cfRule type="expression" dxfId="550" priority="651">
      <formula>IF(#REF!&lt;&gt;#REF!,1,0)</formula>
    </cfRule>
  </conditionalFormatting>
  <conditionalFormatting sqref="J57:O57">
    <cfRule type="expression" dxfId="549" priority="650">
      <formula>IF(#REF!&lt;&gt;#REF!,1,0)</formula>
    </cfRule>
  </conditionalFormatting>
  <conditionalFormatting sqref="K57:O57">
    <cfRule type="expression" dxfId="548" priority="649">
      <formula>IF(#REF!&lt;&gt;#REF!,1,0)</formula>
    </cfRule>
  </conditionalFormatting>
  <conditionalFormatting sqref="J59:O59">
    <cfRule type="expression" dxfId="547" priority="644">
      <formula>IF(#REF!&lt;&gt;#REF!,1,0)</formula>
    </cfRule>
  </conditionalFormatting>
  <conditionalFormatting sqref="K59:O59">
    <cfRule type="expression" dxfId="546" priority="643">
      <formula>IF(#REF!&lt;&gt;#REF!,1,0)</formula>
    </cfRule>
  </conditionalFormatting>
  <conditionalFormatting sqref="J56:O56">
    <cfRule type="expression" dxfId="545" priority="646">
      <formula>IF(#REF!&lt;&gt;#REF!,1,0)</formula>
    </cfRule>
  </conditionalFormatting>
  <conditionalFormatting sqref="K56:O56">
    <cfRule type="expression" dxfId="544" priority="645">
      <formula>IF(#REF!&lt;&gt;#REF!,1,0)</formula>
    </cfRule>
  </conditionalFormatting>
  <conditionalFormatting sqref="J60:O60">
    <cfRule type="expression" dxfId="543" priority="642">
      <formula>IF(#REF!&lt;&gt;#REF!,1,0)</formula>
    </cfRule>
  </conditionalFormatting>
  <conditionalFormatting sqref="K60:O60">
    <cfRule type="expression" dxfId="542" priority="641">
      <formula>IF(#REF!&lt;&gt;#REF!,1,0)</formula>
    </cfRule>
  </conditionalFormatting>
  <conditionalFormatting sqref="J64:O64">
    <cfRule type="expression" dxfId="541" priority="640">
      <formula>IF(#REF!&lt;&gt;#REF!,1,0)</formula>
    </cfRule>
  </conditionalFormatting>
  <conditionalFormatting sqref="K64:O64">
    <cfRule type="expression" dxfId="540" priority="639">
      <formula>IF(#REF!&lt;&gt;#REF!,1,0)</formula>
    </cfRule>
  </conditionalFormatting>
  <conditionalFormatting sqref="B64">
    <cfRule type="expression" dxfId="539" priority="656">
      <formula>IF(#REF!&lt;&gt;#REF!,1,0)</formula>
    </cfRule>
  </conditionalFormatting>
  <conditionalFormatting sqref="P54:P55">
    <cfRule type="expression" dxfId="538" priority="616">
      <formula>IF(#REF!&lt;&gt;#REF!,1,0)</formula>
    </cfRule>
  </conditionalFormatting>
  <conditionalFormatting sqref="P57">
    <cfRule type="expression" dxfId="537" priority="638">
      <formula>IF(#REF!&lt;&gt;#REF!,1,0)</formula>
    </cfRule>
  </conditionalFormatting>
  <conditionalFormatting sqref="P57">
    <cfRule type="expression" dxfId="536" priority="637">
      <formula>IF(#REF!&lt;&gt;#REF!,1,0)</formula>
    </cfRule>
  </conditionalFormatting>
  <conditionalFormatting sqref="P57">
    <cfRule type="expression" dxfId="535" priority="636">
      <formula>IF(#REF!&lt;&gt;#REF!,1,0)</formula>
    </cfRule>
  </conditionalFormatting>
  <conditionalFormatting sqref="P59">
    <cfRule type="expression" dxfId="534" priority="629">
      <formula>IF(#REF!&lt;&gt;#REF!,1,0)</formula>
    </cfRule>
  </conditionalFormatting>
  <conditionalFormatting sqref="P59">
    <cfRule type="expression" dxfId="533" priority="628">
      <formula>IF(#REF!&lt;&gt;#REF!,1,0)</formula>
    </cfRule>
  </conditionalFormatting>
  <conditionalFormatting sqref="P58">
    <cfRule type="expression" dxfId="532" priority="635">
      <formula>IF(#REF!&lt;&gt;#REF!,1,0)</formula>
    </cfRule>
  </conditionalFormatting>
  <conditionalFormatting sqref="P58">
    <cfRule type="expression" dxfId="531" priority="634">
      <formula>IF(#REF!&lt;&gt;#REF!,1,0)</formula>
    </cfRule>
  </conditionalFormatting>
  <conditionalFormatting sqref="P58">
    <cfRule type="expression" dxfId="530" priority="633">
      <formula>IF(#REF!&lt;&gt;#REF!,1,0)</formula>
    </cfRule>
  </conditionalFormatting>
  <conditionalFormatting sqref="P56">
    <cfRule type="expression" dxfId="529" priority="632">
      <formula>IF(#REF!&lt;&gt;#REF!,1,0)</formula>
    </cfRule>
  </conditionalFormatting>
  <conditionalFormatting sqref="P56">
    <cfRule type="expression" dxfId="528" priority="631">
      <formula>IF(#REF!&lt;&gt;#REF!,1,0)</formula>
    </cfRule>
  </conditionalFormatting>
  <conditionalFormatting sqref="P56">
    <cfRule type="expression" dxfId="527" priority="630">
      <formula>IF(#REF!&lt;&gt;#REF!,1,0)</formula>
    </cfRule>
  </conditionalFormatting>
  <conditionalFormatting sqref="P60">
    <cfRule type="expression" dxfId="526" priority="624">
      <formula>IF(#REF!&lt;&gt;#REF!,1,0)</formula>
    </cfRule>
  </conditionalFormatting>
  <conditionalFormatting sqref="P64">
    <cfRule type="expression" dxfId="525" priority="623">
      <formula>IF(#REF!&lt;&gt;#REF!,1,0)</formula>
    </cfRule>
  </conditionalFormatting>
  <conditionalFormatting sqref="P64">
    <cfRule type="expression" dxfId="524" priority="622">
      <formula>IF(#REF!&lt;&gt;#REF!,1,0)</formula>
    </cfRule>
  </conditionalFormatting>
  <conditionalFormatting sqref="P64">
    <cfRule type="expression" dxfId="523" priority="621">
      <formula>IF(#REF!&lt;&gt;#REF!,1,0)</formula>
    </cfRule>
  </conditionalFormatting>
  <conditionalFormatting sqref="J55:O55 J54:K54 M54:O54">
    <cfRule type="expression" dxfId="522" priority="620">
      <formula>IF(#REF!&lt;&gt;#REF!,1,0)</formula>
    </cfRule>
  </conditionalFormatting>
  <conditionalFormatting sqref="K55:O55 K54 M54:O54">
    <cfRule type="expression" dxfId="521" priority="619">
      <formula>IF(#REF!&lt;&gt;#REF!,1,0)</formula>
    </cfRule>
  </conditionalFormatting>
  <conditionalFormatting sqref="P54:P55">
    <cfRule type="expression" dxfId="520" priority="618">
      <formula>IF(#REF!&lt;&gt;#REF!,1,0)</formula>
    </cfRule>
  </conditionalFormatting>
  <conditionalFormatting sqref="P54:P55">
    <cfRule type="expression" dxfId="519" priority="617">
      <formula>IF(#REF!&lt;&gt;#REF!,1,0)</formula>
    </cfRule>
  </conditionalFormatting>
  <conditionalFormatting sqref="C61:I63 O61:O63">
    <cfRule type="expression" dxfId="518" priority="613">
      <formula>IF(#REF!&lt;&gt;#REF!,1,0)</formula>
    </cfRule>
  </conditionalFormatting>
  <conditionalFormatting sqref="C61:O63">
    <cfRule type="expression" dxfId="517" priority="612">
      <formula>IF(#REF!&lt;&gt;#REF!,1,0)</formula>
    </cfRule>
  </conditionalFormatting>
  <conditionalFormatting sqref="D61:I63 O61:O63">
    <cfRule type="expression" dxfId="516" priority="611">
      <formula>IF(#REF!&lt;&gt;#REF!,1,0)</formula>
    </cfRule>
  </conditionalFormatting>
  <conditionalFormatting sqref="J61:O63">
    <cfRule type="expression" dxfId="515" priority="610">
      <formula>IF(#REF!&lt;&gt;#REF!,1,0)</formula>
    </cfRule>
  </conditionalFormatting>
  <conditionalFormatting sqref="K61:O63">
    <cfRule type="expression" dxfId="514" priority="609">
      <formula>IF(#REF!&lt;&gt;#REF!,1,0)</formula>
    </cfRule>
  </conditionalFormatting>
  <conditionalFormatting sqref="P61:P63">
    <cfRule type="expression" dxfId="513" priority="608">
      <formula>IF(#REF!&lt;&gt;#REF!,1,0)</formula>
    </cfRule>
  </conditionalFormatting>
  <conditionalFormatting sqref="P61:P63">
    <cfRule type="expression" dxfId="512" priority="607">
      <formula>IF(#REF!&lt;&gt;#REF!,1,0)</formula>
    </cfRule>
  </conditionalFormatting>
  <conditionalFormatting sqref="P61:P63">
    <cfRule type="expression" dxfId="511" priority="606">
      <formula>IF(#REF!&lt;&gt;#REF!,1,0)</formula>
    </cfRule>
  </conditionalFormatting>
  <conditionalFormatting sqref="P53">
    <cfRule type="expression" dxfId="510" priority="604">
      <formula>IF(#REF!&lt;&gt;#REF!,1,0)</formula>
    </cfRule>
  </conditionalFormatting>
  <conditionalFormatting sqref="P53">
    <cfRule type="expression" dxfId="509" priority="603">
      <formula>IF(#REF!&lt;&gt;#REF!,1,0)</formula>
    </cfRule>
  </conditionalFormatting>
  <conditionalFormatting sqref="P53">
    <cfRule type="expression" dxfId="508" priority="602">
      <formula>IF(#REF!&lt;&gt;#REF!,1,0)</formula>
    </cfRule>
  </conditionalFormatting>
  <conditionalFormatting sqref="B65:B68">
    <cfRule type="expression" dxfId="507" priority="597">
      <formula>IF(#REF!&lt;&gt;#REF!,1,0)</formula>
    </cfRule>
  </conditionalFormatting>
  <conditionalFormatting sqref="J65:O68">
    <cfRule type="expression" dxfId="506" priority="596">
      <formula>IF(#REF!&lt;&gt;#REF!,1,0)</formula>
    </cfRule>
  </conditionalFormatting>
  <conditionalFormatting sqref="K65:O68">
    <cfRule type="expression" dxfId="505" priority="595">
      <formula>IF(#REF!&lt;&gt;#REF!,1,0)</formula>
    </cfRule>
  </conditionalFormatting>
  <conditionalFormatting sqref="P65:P68">
    <cfRule type="expression" dxfId="504" priority="592">
      <formula>IF(#REF!&lt;&gt;#REF!,1,0)</formula>
    </cfRule>
  </conditionalFormatting>
  <conditionalFormatting sqref="Q69:U69">
    <cfRule type="expression" dxfId="503" priority="568">
      <formula>IF(#REF!&lt;&gt;#REF!,1,0)</formula>
    </cfRule>
  </conditionalFormatting>
  <conditionalFormatting sqref="I69">
    <cfRule type="expression" dxfId="502" priority="560">
      <formula>IF(#REF!&lt;&gt;#REF!,1,0)</formula>
    </cfRule>
  </conditionalFormatting>
  <conditionalFormatting sqref="I69">
    <cfRule type="expression" dxfId="501" priority="559">
      <formula>IF(#REF!&lt;&gt;#REF!,1,0)</formula>
    </cfRule>
  </conditionalFormatting>
  <conditionalFormatting sqref="I69">
    <cfRule type="expression" dxfId="500" priority="558">
      <formula>IF(#REF!&lt;&gt;#REF!,1,0)</formula>
    </cfRule>
  </conditionalFormatting>
  <conditionalFormatting sqref="Q65:U68 C65:O68">
    <cfRule type="expression" dxfId="499" priority="600">
      <formula>IF(#REF!&lt;&gt;#REF!,1,0)</formula>
    </cfRule>
  </conditionalFormatting>
  <conditionalFormatting sqref="Q65:U68">
    <cfRule type="expression" dxfId="498" priority="599">
      <formula>IF(#REF!&lt;&gt;#REF!,1,0)</formula>
    </cfRule>
  </conditionalFormatting>
  <conditionalFormatting sqref="Q65:U68">
    <cfRule type="expression" dxfId="497" priority="598">
      <formula>IF(#REF!&lt;&gt;#REF!,1,0)</formula>
    </cfRule>
  </conditionalFormatting>
  <conditionalFormatting sqref="P65:P68">
    <cfRule type="expression" dxfId="496" priority="594">
      <formula>IF(#REF!&lt;&gt;#REF!,1,0)</formula>
    </cfRule>
  </conditionalFormatting>
  <conditionalFormatting sqref="P65:P68">
    <cfRule type="expression" dxfId="495" priority="593">
      <formula>IF(#REF!&lt;&gt;#REF!,1,0)</formula>
    </cfRule>
  </conditionalFormatting>
  <conditionalFormatting sqref="B65:B68">
    <cfRule type="expression" dxfId="494" priority="667">
      <formula>IF(#REF!&lt;&gt;#REF!,1,0)</formula>
    </cfRule>
  </conditionalFormatting>
  <conditionalFormatting sqref="L54">
    <cfRule type="expression" dxfId="493" priority="578">
      <formula>IF(#REF!&lt;&gt;#REF!,1,0)</formula>
    </cfRule>
  </conditionalFormatting>
  <conditionalFormatting sqref="L54">
    <cfRule type="expression" dxfId="492" priority="577">
      <formula>IF(#REF!&lt;&gt;#REF!,1,0)</formula>
    </cfRule>
  </conditionalFormatting>
  <conditionalFormatting sqref="L54">
    <cfRule type="expression" dxfId="491" priority="576">
      <formula>IF(#REF!&lt;&gt;#REF!,1,0)</formula>
    </cfRule>
  </conditionalFormatting>
  <conditionalFormatting sqref="Q63">
    <cfRule type="expression" dxfId="490" priority="575">
      <formula>IF(#REF!&lt;&gt;#REF!,1,0)</formula>
    </cfRule>
  </conditionalFormatting>
  <conditionalFormatting sqref="Q63">
    <cfRule type="expression" dxfId="489" priority="574">
      <formula>IF(#REF!&lt;&gt;#REF!,1,0)</formula>
    </cfRule>
  </conditionalFormatting>
  <conditionalFormatting sqref="R63">
    <cfRule type="expression" dxfId="488" priority="573">
      <formula>IF(#REF!&lt;&gt;#REF!,1,0)</formula>
    </cfRule>
  </conditionalFormatting>
  <conditionalFormatting sqref="R63">
    <cfRule type="expression" dxfId="487" priority="572">
      <formula>IF(#REF!&lt;&gt;#REF!,1,0)</formula>
    </cfRule>
  </conditionalFormatting>
  <conditionalFormatting sqref="Q69:U69 C69:H69 J69:O69">
    <cfRule type="expression" dxfId="486" priority="569">
      <formula>IF(#REF!&lt;&gt;#REF!,1,0)</formula>
    </cfRule>
  </conditionalFormatting>
  <conditionalFormatting sqref="P69">
    <cfRule type="expression" dxfId="485" priority="561">
      <formula>IF(#REF!&lt;&gt;#REF!,1,0)</formula>
    </cfRule>
  </conditionalFormatting>
  <conditionalFormatting sqref="Q69:U69">
    <cfRule type="expression" dxfId="484" priority="567">
      <formula>IF(#REF!&lt;&gt;#REF!,1,0)</formula>
    </cfRule>
  </conditionalFormatting>
  <conditionalFormatting sqref="J69:O69">
    <cfRule type="expression" dxfId="483" priority="565">
      <formula>IF(#REF!&lt;&gt;#REF!,1,0)</formula>
    </cfRule>
  </conditionalFormatting>
  <conditionalFormatting sqref="K69:O69">
    <cfRule type="expression" dxfId="482" priority="564">
      <formula>IF(#REF!&lt;&gt;#REF!,1,0)</formula>
    </cfRule>
  </conditionalFormatting>
  <conditionalFormatting sqref="B69">
    <cfRule type="expression" dxfId="481" priority="566">
      <formula>IF(#REF!&lt;&gt;#REF!,1,0)</formula>
    </cfRule>
  </conditionalFormatting>
  <conditionalFormatting sqref="P69">
    <cfRule type="expression" dxfId="480" priority="563">
      <formula>IF(#REF!&lt;&gt;#REF!,1,0)</formula>
    </cfRule>
  </conditionalFormatting>
  <conditionalFormatting sqref="P69">
    <cfRule type="expression" dxfId="479" priority="562">
      <formula>IF(#REF!&lt;&gt;#REF!,1,0)</formula>
    </cfRule>
  </conditionalFormatting>
  <conditionalFormatting sqref="B69">
    <cfRule type="expression" dxfId="478" priority="571">
      <formula>IF(#REF!&lt;&gt;#REF!,1,0)</formula>
    </cfRule>
  </conditionalFormatting>
  <conditionalFormatting sqref="C34">
    <cfRule type="expression" dxfId="477" priority="557">
      <formula>IF(#REF!&lt;&gt;#REF!,1,0)</formula>
    </cfRule>
  </conditionalFormatting>
  <conditionalFormatting sqref="C34">
    <cfRule type="expression" dxfId="476" priority="556">
      <formula>IF(#REF!&lt;&gt;#REF!,1,0)</formula>
    </cfRule>
  </conditionalFormatting>
  <conditionalFormatting sqref="H86">
    <cfRule type="expression" dxfId="475" priority="555">
      <formula>IF(#REF!&lt;&gt;#REF!,1,0)</formula>
    </cfRule>
  </conditionalFormatting>
  <conditionalFormatting sqref="H86">
    <cfRule type="expression" dxfId="474" priority="554">
      <formula>IF(#REF!&lt;&gt;#REF!,1,0)</formula>
    </cfRule>
  </conditionalFormatting>
  <conditionalFormatting sqref="H86">
    <cfRule type="expression" dxfId="473" priority="553">
      <formula>IF(#REF!&lt;&gt;#REF!,1,0)</formula>
    </cfRule>
  </conditionalFormatting>
  <conditionalFormatting sqref="F46">
    <cfRule type="expression" dxfId="472" priority="548">
      <formula>IF(#REF!&lt;&gt;#REF!,1,0)</formula>
    </cfRule>
  </conditionalFormatting>
  <conditionalFormatting sqref="F46">
    <cfRule type="expression" dxfId="471" priority="547">
      <formula>IF(#REF!&lt;&gt;#REF!,1,0)</formula>
    </cfRule>
  </conditionalFormatting>
  <conditionalFormatting sqref="F46">
    <cfRule type="expression" dxfId="470" priority="546">
      <formula>IF(#REF!&lt;&gt;#REF!,1,0)</formula>
    </cfRule>
  </conditionalFormatting>
  <conditionalFormatting sqref="A44">
    <cfRule type="expression" dxfId="469" priority="1651">
      <formula>IF(#REF!&lt;&gt;#REF!,1,0)</formula>
    </cfRule>
  </conditionalFormatting>
  <conditionalFormatting sqref="B44 B85">
    <cfRule type="expression" dxfId="468" priority="1653">
      <formula>IF(#REF!&lt;&gt;#REF!,1,0)</formula>
    </cfRule>
  </conditionalFormatting>
  <conditionalFormatting sqref="B86 B45">
    <cfRule type="expression" dxfId="467" priority="1654">
      <formula>IF(#REF!&lt;&gt;#REF!,1,0)</formula>
    </cfRule>
  </conditionalFormatting>
  <conditionalFormatting sqref="B84">
    <cfRule type="expression" dxfId="466" priority="1657">
      <formula>IF(#REF!&lt;&gt;#REF!,1,0)</formula>
    </cfRule>
  </conditionalFormatting>
  <conditionalFormatting sqref="F45">
    <cfRule type="expression" dxfId="465" priority="549">
      <formula>IF(#REF!&lt;&gt;#REF!,1,0)</formula>
    </cfRule>
  </conditionalFormatting>
  <conditionalFormatting sqref="X34:AB45">
    <cfRule type="expression" dxfId="464" priority="536">
      <formula>IF(#REF!&lt;&gt;#REF!,1,0)</formula>
    </cfRule>
  </conditionalFormatting>
  <conditionalFormatting sqref="X46:AB49">
    <cfRule type="expression" dxfId="463" priority="534">
      <formula>IF(#REF!&lt;&gt;#REF!,1,0)</formula>
    </cfRule>
  </conditionalFormatting>
  <conditionalFormatting sqref="X46:AB49">
    <cfRule type="expression" dxfId="462" priority="533">
      <formula>IF(#REF!&lt;&gt;#REF!,1,0)</formula>
    </cfRule>
  </conditionalFormatting>
  <conditionalFormatting sqref="X46:AB49">
    <cfRule type="expression" dxfId="461" priority="532">
      <formula>IF(#REF!&lt;&gt;#REF!,1,0)</formula>
    </cfRule>
  </conditionalFormatting>
  <conditionalFormatting sqref="X50:AB50">
    <cfRule type="expression" dxfId="460" priority="522">
      <formula>IF(#REF!&lt;&gt;#REF!,1,0)</formula>
    </cfRule>
  </conditionalFormatting>
  <conditionalFormatting sqref="X50:AB50">
    <cfRule type="expression" dxfId="459" priority="521">
      <formula>IF(#REF!&lt;&gt;#REF!,1,0)</formula>
    </cfRule>
  </conditionalFormatting>
  <conditionalFormatting sqref="R51">
    <cfRule type="expression" dxfId="458" priority="528">
      <formula>IF(#REF!&lt;&gt;#REF!,1,0)</formula>
    </cfRule>
  </conditionalFormatting>
  <conditionalFormatting sqref="R51">
    <cfRule type="expression" dxfId="457" priority="527">
      <formula>IF(#REF!&lt;&gt;#REF!,1,0)</formula>
    </cfRule>
  </conditionalFormatting>
  <conditionalFormatting sqref="R51">
    <cfRule type="expression" dxfId="456" priority="526">
      <formula>IF(#REF!&lt;&gt;#REF!,1,0)</formula>
    </cfRule>
  </conditionalFormatting>
  <conditionalFormatting sqref="U51">
    <cfRule type="expression" dxfId="455" priority="525">
      <formula>IF(#REF!&lt;&gt;#REF!,1,0)</formula>
    </cfRule>
  </conditionalFormatting>
  <conditionalFormatting sqref="U51">
    <cfRule type="expression" dxfId="454" priority="524">
      <formula>IF(#REF!&lt;&gt;#REF!,1,0)</formula>
    </cfRule>
  </conditionalFormatting>
  <conditionalFormatting sqref="U51">
    <cfRule type="expression" dxfId="453" priority="523">
      <formula>IF(#REF!&lt;&gt;#REF!,1,0)</formula>
    </cfRule>
  </conditionalFormatting>
  <conditionalFormatting sqref="X50:AB50">
    <cfRule type="expression" dxfId="452" priority="520">
      <formula>IF(#REF!&lt;&gt;#REF!,1,0)</formula>
    </cfRule>
  </conditionalFormatting>
  <conditionalFormatting sqref="J51">
    <cfRule type="expression" dxfId="451" priority="519">
      <formula>IF(#REF!&lt;&gt;#REF!,1,0)</formula>
    </cfRule>
  </conditionalFormatting>
  <conditionalFormatting sqref="J51">
    <cfRule type="expression" dxfId="450" priority="518">
      <formula>IF(#REF!&lt;&gt;#REF!,1,0)</formula>
    </cfRule>
  </conditionalFormatting>
  <conditionalFormatting sqref="J51">
    <cfRule type="expression" dxfId="449" priority="517">
      <formula>IF(#REF!&lt;&gt;#REF!,1,0)</formula>
    </cfRule>
  </conditionalFormatting>
  <conditionalFormatting sqref="P51">
    <cfRule type="expression" dxfId="448" priority="513">
      <formula>IF(#REF!&lt;&gt;#REF!,1,0)</formula>
    </cfRule>
  </conditionalFormatting>
  <conditionalFormatting sqref="P51">
    <cfRule type="expression" dxfId="447" priority="512">
      <formula>IF(#REF!&lt;&gt;#REF!,1,0)</formula>
    </cfRule>
  </conditionalFormatting>
  <conditionalFormatting sqref="P51">
    <cfRule type="expression" dxfId="446" priority="511">
      <formula>IF(#REF!&lt;&gt;#REF!,1,0)</formula>
    </cfRule>
  </conditionalFormatting>
  <conditionalFormatting sqref="Q74:S74 D6:I6 C4:H4 C17:E17 C7:K7 M7:O7 G17:O17 Q14:T17 S4:U4 S6:T13 X4:AE4 X6:AC17 U6:U17 C8:O13">
    <cfRule type="expression" dxfId="445" priority="492">
      <formula>IF(#REF!&lt;&gt;#REF!,1,0)</formula>
    </cfRule>
  </conditionalFormatting>
  <conditionalFormatting sqref="AC6:AC17 Q6:U17">
    <cfRule type="expression" dxfId="444" priority="491">
      <formula>IF(#REF!&lt;&gt;#REF!,1,0)</formula>
    </cfRule>
  </conditionalFormatting>
  <conditionalFormatting sqref="O74 Q74:S74 Q14:T17 S4:U4 S6:T13 X4:AE4 X6:AC17 U6:U17">
    <cfRule type="expression" dxfId="443" priority="490">
      <formula>IF(#REF!&lt;&gt;#REF!,1,0)</formula>
    </cfRule>
  </conditionalFormatting>
  <conditionalFormatting sqref="E74:M74 O74">
    <cfRule type="expression" dxfId="442" priority="489">
      <formula>IF(#REF!&lt;&gt;#REF!,1,0)</formula>
    </cfRule>
  </conditionalFormatting>
  <conditionalFormatting sqref="F74:I74">
    <cfRule type="expression" dxfId="441" priority="488">
      <formula>IF(#REF!&lt;&gt;#REF!,1,0)</formula>
    </cfRule>
  </conditionalFormatting>
  <conditionalFormatting sqref="K74:M74">
    <cfRule type="expression" dxfId="440" priority="487">
      <formula>IF(#REF!&lt;&gt;#REF!,1,0)</formula>
    </cfRule>
  </conditionalFormatting>
  <conditionalFormatting sqref="E74 J74">
    <cfRule type="expression" dxfId="439" priority="493">
      <formula>IF(#REF!&lt;&gt;#REF!,1,0)</formula>
    </cfRule>
  </conditionalFormatting>
  <conditionalFormatting sqref="AL4">
    <cfRule type="expression" dxfId="438" priority="484">
      <formula>IF(#REF!&lt;&gt;#REF!,1,0)</formula>
    </cfRule>
  </conditionalFormatting>
  <conditionalFormatting sqref="AG4">
    <cfRule type="expression" dxfId="437" priority="482">
      <formula>IF(#REF!&lt;&gt;#REF!,1,0)</formula>
    </cfRule>
  </conditionalFormatting>
  <conditionalFormatting sqref="P12">
    <cfRule type="expression" dxfId="436" priority="431">
      <formula>IF(#REF!&lt;&gt;#REF!,1,0)</formula>
    </cfRule>
  </conditionalFormatting>
  <conditionalFormatting sqref="J11:O11">
    <cfRule type="expression" dxfId="435" priority="454">
      <formula>IF(#REF!&lt;&gt;#REF!,1,0)</formula>
    </cfRule>
  </conditionalFormatting>
  <conditionalFormatting sqref="K11:O11">
    <cfRule type="expression" dxfId="434" priority="453">
      <formula>IF(#REF!&lt;&gt;#REF!,1,0)</formula>
    </cfRule>
  </conditionalFormatting>
  <conditionalFormatting sqref="AG6:AG13 AG17">
    <cfRule type="dataBar" priority="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{99111BA0-10D8-4AD7-8486-B4D0999E31E2}</x14:id>
        </ext>
      </extLst>
    </cfRule>
  </conditionalFormatting>
  <conditionalFormatting sqref="AH6:AH13 AH17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">
    <cfRule type="expression" dxfId="433" priority="483">
      <formula>IF(#REF!&lt;&gt;#REF!,1,0)</formula>
    </cfRule>
  </conditionalFormatting>
  <conditionalFormatting sqref="AH4">
    <cfRule type="expression" dxfId="432" priority="480">
      <formula>IF(#REF!&lt;&gt;#REF!,1,0)</formula>
    </cfRule>
  </conditionalFormatting>
  <conditionalFormatting sqref="AG4">
    <cfRule type="expression" dxfId="431" priority="481">
      <formula>IF(#REF!&lt;&gt;#REF!,1,0)</formula>
    </cfRule>
  </conditionalFormatting>
  <conditionalFormatting sqref="AH4">
    <cfRule type="expression" dxfId="430" priority="479">
      <formula>IF(#REF!&lt;&gt;#REF!,1,0)</formula>
    </cfRule>
  </conditionalFormatting>
  <conditionalFormatting sqref="N74">
    <cfRule type="expression" dxfId="429" priority="478">
      <formula>IF(#REF!&lt;&gt;#REF!,1,0)</formula>
    </cfRule>
  </conditionalFormatting>
  <conditionalFormatting sqref="N74">
    <cfRule type="expression" dxfId="428" priority="477">
      <formula>IF(#REF!&lt;&gt;#REF!,1,0)</formula>
    </cfRule>
  </conditionalFormatting>
  <conditionalFormatting sqref="P13">
    <cfRule type="expression" dxfId="427" priority="430">
      <formula>IF(#REF!&lt;&gt;#REF!,1,0)</formula>
    </cfRule>
  </conditionalFormatting>
  <conditionalFormatting sqref="P13">
    <cfRule type="expression" dxfId="426" priority="429">
      <formula>IF(#REF!&lt;&gt;#REF!,1,0)</formula>
    </cfRule>
  </conditionalFormatting>
  <conditionalFormatting sqref="Q6:S13 C6:I6 O6">
    <cfRule type="expression" dxfId="425" priority="463">
      <formula>IF(#REF!&lt;&gt;#REF!,1,0)</formula>
    </cfRule>
  </conditionalFormatting>
  <conditionalFormatting sqref="C6:O6">
    <cfRule type="expression" dxfId="424" priority="462">
      <formula>IF(#REF!&lt;&gt;#REF!,1,0)</formula>
    </cfRule>
  </conditionalFormatting>
  <conditionalFormatting sqref="Q4 Q6:S13">
    <cfRule type="expression" dxfId="423" priority="461">
      <formula>IF(#REF!&lt;&gt;#REF!,1,0)</formula>
    </cfRule>
  </conditionalFormatting>
  <conditionalFormatting sqref="J6:O6">
    <cfRule type="expression" dxfId="422" priority="460">
      <formula>IF(#REF!&lt;&gt;#REF!,1,0)</formula>
    </cfRule>
  </conditionalFormatting>
  <conditionalFormatting sqref="K6:O6">
    <cfRule type="expression" dxfId="421" priority="459">
      <formula>IF(#REF!&lt;&gt;#REF!,1,0)</formula>
    </cfRule>
  </conditionalFormatting>
  <conditionalFormatting sqref="Q4 J4:O4">
    <cfRule type="expression" dxfId="420" priority="458">
      <formula>IF(#REF!&lt;&gt;#REF!,1,0)</formula>
    </cfRule>
  </conditionalFormatting>
  <conditionalFormatting sqref="K4:O4">
    <cfRule type="expression" dxfId="419" priority="457">
      <formula>IF(#REF!&lt;&gt;#REF!,1,0)</formula>
    </cfRule>
  </conditionalFormatting>
  <conditionalFormatting sqref="C4 J4">
    <cfRule type="expression" dxfId="418" priority="464">
      <formula>IF(#REF!&lt;&gt;#REF!,1,0)</formula>
    </cfRule>
  </conditionalFormatting>
  <conditionalFormatting sqref="J10:O10">
    <cfRule type="expression" dxfId="417" priority="456">
      <formula>IF(#REF!&lt;&gt;#REF!,1,0)</formula>
    </cfRule>
  </conditionalFormatting>
  <conditionalFormatting sqref="K10:O10">
    <cfRule type="expression" dxfId="416" priority="455">
      <formula>IF(#REF!&lt;&gt;#REF!,1,0)</formula>
    </cfRule>
  </conditionalFormatting>
  <conditionalFormatting sqref="J12:O12">
    <cfRule type="expression" dxfId="415" priority="450">
      <formula>IF(#REF!&lt;&gt;#REF!,1,0)</formula>
    </cfRule>
  </conditionalFormatting>
  <conditionalFormatting sqref="K12:O12">
    <cfRule type="expression" dxfId="414" priority="449">
      <formula>IF(#REF!&lt;&gt;#REF!,1,0)</formula>
    </cfRule>
  </conditionalFormatting>
  <conditionalFormatting sqref="J9:O9">
    <cfRule type="expression" dxfId="413" priority="452">
      <formula>IF(#REF!&lt;&gt;#REF!,1,0)</formula>
    </cfRule>
  </conditionalFormatting>
  <conditionalFormatting sqref="K9:O9">
    <cfRule type="expression" dxfId="412" priority="451">
      <formula>IF(#REF!&lt;&gt;#REF!,1,0)</formula>
    </cfRule>
  </conditionalFormatting>
  <conditionalFormatting sqref="J13:O13">
    <cfRule type="expression" dxfId="411" priority="448">
      <formula>IF(#REF!&lt;&gt;#REF!,1,0)</formula>
    </cfRule>
  </conditionalFormatting>
  <conditionalFormatting sqref="K13:O13">
    <cfRule type="expression" dxfId="410" priority="447">
      <formula>IF(#REF!&lt;&gt;#REF!,1,0)</formula>
    </cfRule>
  </conditionalFormatting>
  <conditionalFormatting sqref="J17:O17">
    <cfRule type="expression" dxfId="409" priority="446">
      <formula>IF(#REF!&lt;&gt;#REF!,1,0)</formula>
    </cfRule>
  </conditionalFormatting>
  <conditionalFormatting sqref="K17:O17">
    <cfRule type="expression" dxfId="408" priority="445">
      <formula>IF(#REF!&lt;&gt;#REF!,1,0)</formula>
    </cfRule>
  </conditionalFormatting>
  <conditionalFormatting sqref="B17">
    <cfRule type="expression" dxfId="407" priority="465">
      <formula>IF(#REF!&lt;&gt;#REF!,1,0)</formula>
    </cfRule>
  </conditionalFormatting>
  <conditionalFormatting sqref="P7:P8">
    <cfRule type="expression" dxfId="406" priority="420">
      <formula>IF(#REF!&lt;&gt;#REF!,1,0)</formula>
    </cfRule>
  </conditionalFormatting>
  <conditionalFormatting sqref="P4">
    <cfRule type="expression" dxfId="405" priority="444">
      <formula>IF(#REF!&lt;&gt;#REF!,1,0)</formula>
    </cfRule>
  </conditionalFormatting>
  <conditionalFormatting sqref="P4">
    <cfRule type="expression" dxfId="404" priority="443">
      <formula>IF(#REF!&lt;&gt;#REF!,1,0)</formula>
    </cfRule>
  </conditionalFormatting>
  <conditionalFormatting sqref="P10">
    <cfRule type="expression" dxfId="403" priority="442">
      <formula>IF(#REF!&lt;&gt;#REF!,1,0)</formula>
    </cfRule>
  </conditionalFormatting>
  <conditionalFormatting sqref="P10">
    <cfRule type="expression" dxfId="402" priority="441">
      <formula>IF(#REF!&lt;&gt;#REF!,1,0)</formula>
    </cfRule>
  </conditionalFormatting>
  <conditionalFormatting sqref="P10">
    <cfRule type="expression" dxfId="401" priority="440">
      <formula>IF(#REF!&lt;&gt;#REF!,1,0)</formula>
    </cfRule>
  </conditionalFormatting>
  <conditionalFormatting sqref="P12">
    <cfRule type="expression" dxfId="400" priority="433">
      <formula>IF(#REF!&lt;&gt;#REF!,1,0)</formula>
    </cfRule>
  </conditionalFormatting>
  <conditionalFormatting sqref="P12">
    <cfRule type="expression" dxfId="399" priority="432">
      <formula>IF(#REF!&lt;&gt;#REF!,1,0)</formula>
    </cfRule>
  </conditionalFormatting>
  <conditionalFormatting sqref="P11">
    <cfRule type="expression" dxfId="398" priority="439">
      <formula>IF(#REF!&lt;&gt;#REF!,1,0)</formula>
    </cfRule>
  </conditionalFormatting>
  <conditionalFormatting sqref="P11">
    <cfRule type="expression" dxfId="397" priority="438">
      <formula>IF(#REF!&lt;&gt;#REF!,1,0)</formula>
    </cfRule>
  </conditionalFormatting>
  <conditionalFormatting sqref="P11">
    <cfRule type="expression" dxfId="396" priority="437">
      <formula>IF(#REF!&lt;&gt;#REF!,1,0)</formula>
    </cfRule>
  </conditionalFormatting>
  <conditionalFormatting sqref="P9">
    <cfRule type="expression" dxfId="395" priority="436">
      <formula>IF(#REF!&lt;&gt;#REF!,1,0)</formula>
    </cfRule>
  </conditionalFormatting>
  <conditionalFormatting sqref="P9">
    <cfRule type="expression" dxfId="394" priority="435">
      <formula>IF(#REF!&lt;&gt;#REF!,1,0)</formula>
    </cfRule>
  </conditionalFormatting>
  <conditionalFormatting sqref="P9">
    <cfRule type="expression" dxfId="393" priority="434">
      <formula>IF(#REF!&lt;&gt;#REF!,1,0)</formula>
    </cfRule>
  </conditionalFormatting>
  <conditionalFormatting sqref="P13">
    <cfRule type="expression" dxfId="392" priority="428">
      <formula>IF(#REF!&lt;&gt;#REF!,1,0)</formula>
    </cfRule>
  </conditionalFormatting>
  <conditionalFormatting sqref="P17">
    <cfRule type="expression" dxfId="391" priority="427">
      <formula>IF(#REF!&lt;&gt;#REF!,1,0)</formula>
    </cfRule>
  </conditionalFormatting>
  <conditionalFormatting sqref="P17">
    <cfRule type="expression" dxfId="390" priority="426">
      <formula>IF(#REF!&lt;&gt;#REF!,1,0)</formula>
    </cfRule>
  </conditionalFormatting>
  <conditionalFormatting sqref="P17">
    <cfRule type="expression" dxfId="389" priority="425">
      <formula>IF(#REF!&lt;&gt;#REF!,1,0)</formula>
    </cfRule>
  </conditionalFormatting>
  <conditionalFormatting sqref="J8:O8 J7:K7 M7:O7">
    <cfRule type="expression" dxfId="388" priority="424">
      <formula>IF(#REF!&lt;&gt;#REF!,1,0)</formula>
    </cfRule>
  </conditionalFormatting>
  <conditionalFormatting sqref="K8:O8 K7 M7:O7">
    <cfRule type="expression" dxfId="387" priority="423">
      <formula>IF(#REF!&lt;&gt;#REF!,1,0)</formula>
    </cfRule>
  </conditionalFormatting>
  <conditionalFormatting sqref="P7:P8">
    <cfRule type="expression" dxfId="386" priority="422">
      <formula>IF(#REF!&lt;&gt;#REF!,1,0)</formula>
    </cfRule>
  </conditionalFormatting>
  <conditionalFormatting sqref="P7:P8">
    <cfRule type="expression" dxfId="385" priority="421">
      <formula>IF(#REF!&lt;&gt;#REF!,1,0)</formula>
    </cfRule>
  </conditionalFormatting>
  <conditionalFormatting sqref="AG14:AG16"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{CDA841D3-5EDD-47C6-8C21-D300DE10DE4B}</x14:id>
        </ext>
      </extLst>
    </cfRule>
  </conditionalFormatting>
  <conditionalFormatting sqref="AH14:AH16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I16 O14:O16">
    <cfRule type="expression" dxfId="384" priority="401">
      <formula>IF(#REF!&lt;&gt;#REF!,1,0)</formula>
    </cfRule>
  </conditionalFormatting>
  <conditionalFormatting sqref="C14:O16">
    <cfRule type="expression" dxfId="383" priority="400">
      <formula>IF(#REF!&lt;&gt;#REF!,1,0)</formula>
    </cfRule>
  </conditionalFormatting>
  <conditionalFormatting sqref="D14:I16 O14:O16">
    <cfRule type="expression" dxfId="382" priority="399">
      <formula>IF(#REF!&lt;&gt;#REF!,1,0)</formula>
    </cfRule>
  </conditionalFormatting>
  <conditionalFormatting sqref="J14:O16 AC24:AC25 Q24:U24">
    <cfRule type="expression" dxfId="381" priority="398">
      <formula>IF(#REF!&lt;&gt;#REF!,1,0)</formula>
    </cfRule>
  </conditionalFormatting>
  <conditionalFormatting sqref="K14:O16">
    <cfRule type="expression" dxfId="380" priority="397">
      <formula>IF(#REF!&lt;&gt;#REF!,1,0)</formula>
    </cfRule>
  </conditionalFormatting>
  <conditionalFormatting sqref="P14:P16">
    <cfRule type="expression" dxfId="379" priority="396">
      <formula>IF(#REF!&lt;&gt;#REF!,1,0)</formula>
    </cfRule>
  </conditionalFormatting>
  <conditionalFormatting sqref="P14:P16">
    <cfRule type="expression" dxfId="378" priority="395">
      <formula>IF(#REF!&lt;&gt;#REF!,1,0)</formula>
    </cfRule>
  </conditionalFormatting>
  <conditionalFormatting sqref="P14:P16">
    <cfRule type="expression" dxfId="377" priority="394">
      <formula>IF(#REF!&lt;&gt;#REF!,1,0)</formula>
    </cfRule>
  </conditionalFormatting>
  <conditionalFormatting sqref="M4:O4">
    <cfRule type="expression" dxfId="376" priority="393">
      <formula>IF(#REF!&lt;&gt;#REF!,1,0)</formula>
    </cfRule>
  </conditionalFormatting>
  <conditionalFormatting sqref="M4:O4">
    <cfRule type="expression" dxfId="375" priority="392">
      <formula>IF(#REF!&lt;&gt;#REF!,1,0)</formula>
    </cfRule>
  </conditionalFormatting>
  <conditionalFormatting sqref="AD4:AE4">
    <cfRule type="expression" dxfId="374" priority="351">
      <formula>IF(#REF!&lt;&gt;#REF!,1,0)</formula>
    </cfRule>
  </conditionalFormatting>
  <conditionalFormatting sqref="AD4:AE4">
    <cfRule type="expression" dxfId="373" priority="350">
      <formula>IF(#REF!&lt;&gt;#REF!,1,0)</formula>
    </cfRule>
  </conditionalFormatting>
  <conditionalFormatting sqref="AD17">
    <cfRule type="expression" dxfId="372" priority="349">
      <formula>IF(#REF!&lt;&gt;#REF!,1,0)</formula>
    </cfRule>
  </conditionalFormatting>
  <conditionalFormatting sqref="AD17">
    <cfRule type="expression" dxfId="371" priority="348">
      <formula>IF(#REF!&lt;&gt;#REF!,1,0)</formula>
    </cfRule>
  </conditionalFormatting>
  <conditionalFormatting sqref="AD17">
    <cfRule type="expression" dxfId="370" priority="347">
      <formula>IF(#REF!&lt;&gt;#REF!,1,0)</formula>
    </cfRule>
  </conditionalFormatting>
  <conditionalFormatting sqref="AE17">
    <cfRule type="expression" dxfId="369" priority="346">
      <formula>IF(#REF!&lt;&gt;#REF!,1,0)</formula>
    </cfRule>
  </conditionalFormatting>
  <conditionalFormatting sqref="AE17">
    <cfRule type="expression" dxfId="368" priority="345">
      <formula>IF(#REF!&lt;&gt;#REF!,1,0)</formula>
    </cfRule>
  </conditionalFormatting>
  <conditionalFormatting sqref="AE17">
    <cfRule type="expression" dxfId="367" priority="344">
      <formula>IF(#REF!&lt;&gt;#REF!,1,0)</formula>
    </cfRule>
  </conditionalFormatting>
  <conditionalFormatting sqref="AD6:AD16">
    <cfRule type="expression" dxfId="366" priority="343">
      <formula>IF(#REF!&lt;&gt;#REF!,1,0)</formula>
    </cfRule>
  </conditionalFormatting>
  <conditionalFormatting sqref="AD6:AD16">
    <cfRule type="expression" dxfId="365" priority="342">
      <formula>IF(#REF!&lt;&gt;#REF!,1,0)</formula>
    </cfRule>
  </conditionalFormatting>
  <conditionalFormatting sqref="AD6:AD16">
    <cfRule type="expression" dxfId="364" priority="341">
      <formula>IF(#REF!&lt;&gt;#REF!,1,0)</formula>
    </cfRule>
  </conditionalFormatting>
  <conditionalFormatting sqref="AE6:AE16">
    <cfRule type="expression" dxfId="363" priority="340">
      <formula>IF(#REF!&lt;&gt;#REF!,1,0)</formula>
    </cfRule>
  </conditionalFormatting>
  <conditionalFormatting sqref="AE6:AE16">
    <cfRule type="expression" dxfId="362" priority="339">
      <formula>IF(#REF!&lt;&gt;#REF!,1,0)</formula>
    </cfRule>
  </conditionalFormatting>
  <conditionalFormatting sqref="AE6:AE16">
    <cfRule type="expression" dxfId="361" priority="338">
      <formula>IF(#REF!&lt;&gt;#REF!,1,0)</formula>
    </cfRule>
  </conditionalFormatting>
  <conditionalFormatting sqref="P6">
    <cfRule type="expression" dxfId="360" priority="228">
      <formula>IF(#REF!&lt;&gt;#REF!,1,0)</formula>
    </cfRule>
  </conditionalFormatting>
  <conditionalFormatting sqref="P6">
    <cfRule type="expression" dxfId="359" priority="227">
      <formula>IF(#REF!&lt;&gt;#REF!,1,0)</formula>
    </cfRule>
  </conditionalFormatting>
  <conditionalFormatting sqref="P6">
    <cfRule type="expression" dxfId="358" priority="226">
      <formula>IF(#REF!&lt;&gt;#REF!,1,0)</formula>
    </cfRule>
  </conditionalFormatting>
  <conditionalFormatting sqref="P18 P23">
    <cfRule type="expression" dxfId="357" priority="214">
      <formula>IF(#REF!&lt;&gt;#REF!,1,0)</formula>
    </cfRule>
  </conditionalFormatting>
  <conditionalFormatting sqref="U24 C24:H24 J24:O24">
    <cfRule type="expression" dxfId="356" priority="193">
      <formula>IF(#REF!&lt;&gt;#REF!,1,0)</formula>
    </cfRule>
  </conditionalFormatting>
  <conditionalFormatting sqref="U24:U25">
    <cfRule type="expression" dxfId="355" priority="192">
      <formula>IF(#REF!&lt;&gt;#REF!,1,0)</formula>
    </cfRule>
  </conditionalFormatting>
  <conditionalFormatting sqref="P24:P28">
    <cfRule type="expression" dxfId="354" priority="183">
      <formula>IF(#REF!&lt;&gt;#REF!,1,0)</formula>
    </cfRule>
  </conditionalFormatting>
  <conditionalFormatting sqref="AE24">
    <cfRule type="expression" dxfId="353" priority="166">
      <formula>IF(#REF!&lt;&gt;#REF!,1,0)</formula>
    </cfRule>
  </conditionalFormatting>
  <conditionalFormatting sqref="AE24">
    <cfRule type="expression" dxfId="352" priority="165">
      <formula>IF(#REF!&lt;&gt;#REF!,1,0)</formula>
    </cfRule>
  </conditionalFormatting>
  <conditionalFormatting sqref="AE24">
    <cfRule type="expression" dxfId="351" priority="164">
      <formula>IF(#REF!&lt;&gt;#REF!,1,0)</formula>
    </cfRule>
  </conditionalFormatting>
  <conditionalFormatting sqref="I24:I28 J26:L28">
    <cfRule type="expression" dxfId="350" priority="161">
      <formula>IF(#REF!&lt;&gt;#REF!,1,0)</formula>
    </cfRule>
  </conditionalFormatting>
  <conditionalFormatting sqref="I24:I28 J26:L28">
    <cfRule type="expression" dxfId="349" priority="163">
      <formula>IF(#REF!&lt;&gt;#REF!,1,0)</formula>
    </cfRule>
  </conditionalFormatting>
  <conditionalFormatting sqref="I24:I28 J26:L28">
    <cfRule type="expression" dxfId="348" priority="162">
      <formula>IF(#REF!&lt;&gt;#REF!,1,0)</formula>
    </cfRule>
  </conditionalFormatting>
  <conditionalFormatting sqref="C27:O27 C18:E18 G18:O18 C23:O23 O22:O23">
    <cfRule type="expression" dxfId="347" priority="224">
      <formula>IF(#REF!&lt;&gt;#REF!,1,0)</formula>
    </cfRule>
  </conditionalFormatting>
  <conditionalFormatting sqref="AG18:AG23 AG27:AG28">
    <cfRule type="dataBar" priority="2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{46E17531-B428-4D54-B973-48017E31C698}</x14:id>
        </ext>
      </extLst>
    </cfRule>
  </conditionalFormatting>
  <conditionalFormatting sqref="AH18:AH23 AH27:AH28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8 P23">
    <cfRule type="expression" dxfId="346" priority="216">
      <formula>IF(#REF!&lt;&gt;#REF!,1,0)</formula>
    </cfRule>
  </conditionalFormatting>
  <conditionalFormatting sqref="P18 P23">
    <cfRule type="expression" dxfId="345" priority="215">
      <formula>IF(#REF!&lt;&gt;#REF!,1,0)</formula>
    </cfRule>
  </conditionalFormatting>
  <conditionalFormatting sqref="AD18:AD23 AD27:AD28">
    <cfRule type="expression" dxfId="344" priority="200">
      <formula>IF(#REF!&lt;&gt;#REF!,1,0)</formula>
    </cfRule>
  </conditionalFormatting>
  <conditionalFormatting sqref="AD18:AD23 AD27:AD28">
    <cfRule type="expression" dxfId="343" priority="199">
      <formula>IF(#REF!&lt;&gt;#REF!,1,0)</formula>
    </cfRule>
  </conditionalFormatting>
  <conditionalFormatting sqref="U24">
    <cfRule type="expression" dxfId="342" priority="191">
      <formula>IF(#REF!&lt;&gt;#REF!,1,0)</formula>
    </cfRule>
  </conditionalFormatting>
  <conditionalFormatting sqref="AG24">
    <cfRule type="dataBar" priority="1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{BC90891D-4A71-4E05-9458-F0D943F8E3EA}</x14:id>
        </ext>
      </extLst>
    </cfRule>
  </conditionalFormatting>
  <conditionalFormatting sqref="AH24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:O24">
    <cfRule type="expression" dxfId="341" priority="187">
      <formula>IF(#REF!&lt;&gt;#REF!,1,0)</formula>
    </cfRule>
  </conditionalFormatting>
  <conditionalFormatting sqref="K24:O24">
    <cfRule type="expression" dxfId="340" priority="186">
      <formula>IF(#REF!&lt;&gt;#REF!,1,0)</formula>
    </cfRule>
  </conditionalFormatting>
  <conditionalFormatting sqref="B24">
    <cfRule type="expression" dxfId="339" priority="188">
      <formula>IF(#REF!&lt;&gt;#REF!,1,0)</formula>
    </cfRule>
  </conditionalFormatting>
  <conditionalFormatting sqref="P24">
    <cfRule type="expression" dxfId="338" priority="185">
      <formula>IF(#REF!&lt;&gt;#REF!,1,0)</formula>
    </cfRule>
  </conditionalFormatting>
  <conditionalFormatting sqref="P24">
    <cfRule type="expression" dxfId="337" priority="184">
      <formula>IF(#REF!&lt;&gt;#REF!,1,0)</formula>
    </cfRule>
  </conditionalFormatting>
  <conditionalFormatting sqref="AD24">
    <cfRule type="expression" dxfId="336" priority="169">
      <formula>IF(#REF!&lt;&gt;#REF!,1,0)</formula>
    </cfRule>
  </conditionalFormatting>
  <conditionalFormatting sqref="AD24">
    <cfRule type="expression" dxfId="335" priority="168">
      <formula>IF(#REF!&lt;&gt;#REF!,1,0)</formula>
    </cfRule>
  </conditionalFormatting>
  <conditionalFormatting sqref="AD24">
    <cfRule type="expression" dxfId="334" priority="167">
      <formula>IF(#REF!&lt;&gt;#REF!,1,0)</formula>
    </cfRule>
  </conditionalFormatting>
  <conditionalFormatting sqref="U6:U23 U27:U28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">
    <cfRule type="expression" dxfId="333" priority="159">
      <formula>IF(#REF!&lt;&gt;#REF!,1,0)</formula>
    </cfRule>
  </conditionalFormatting>
  <conditionalFormatting sqref="L7">
    <cfRule type="expression" dxfId="332" priority="158">
      <formula>IF(#REF!&lt;&gt;#REF!,1,0)</formula>
    </cfRule>
  </conditionalFormatting>
  <conditionalFormatting sqref="L7">
    <cfRule type="expression" dxfId="331" priority="157">
      <formula>IF(#REF!&lt;&gt;#REF!,1,0)</formula>
    </cfRule>
  </conditionalFormatting>
  <conditionalFormatting sqref="Q16">
    <cfRule type="expression" dxfId="330" priority="156">
      <formula>IF(#REF!&lt;&gt;#REF!,1,0)</formula>
    </cfRule>
  </conditionalFormatting>
  <conditionalFormatting sqref="Q16">
    <cfRule type="expression" dxfId="329" priority="155">
      <formula>IF(#REF!&lt;&gt;#REF!,1,0)</formula>
    </cfRule>
  </conditionalFormatting>
  <conditionalFormatting sqref="R16">
    <cfRule type="expression" dxfId="328" priority="154">
      <formula>IF(#REF!&lt;&gt;#REF!,1,0)</formula>
    </cfRule>
  </conditionalFormatting>
  <conditionalFormatting sqref="R16">
    <cfRule type="expression" dxfId="327" priority="153">
      <formula>IF(#REF!&lt;&gt;#REF!,1,0)</formula>
    </cfRule>
  </conditionalFormatting>
  <conditionalFormatting sqref="C6">
    <cfRule type="expression" dxfId="326" priority="152">
      <formula>IF(#REF!&lt;&gt;#REF!,1,0)</formula>
    </cfRule>
  </conditionalFormatting>
  <conditionalFormatting sqref="C6">
    <cfRule type="expression" dxfId="325" priority="151">
      <formula>IF(#REF!&lt;&gt;#REF!,1,0)</formula>
    </cfRule>
  </conditionalFormatting>
  <conditionalFormatting sqref="F18">
    <cfRule type="expression" dxfId="324" priority="146">
      <formula>IF(#REF!&lt;&gt;#REF!,1,0)</formula>
    </cfRule>
  </conditionalFormatting>
  <conditionalFormatting sqref="F18">
    <cfRule type="expression" dxfId="323" priority="145">
      <formula>IF(#REF!&lt;&gt;#REF!,1,0)</formula>
    </cfRule>
  </conditionalFormatting>
  <conditionalFormatting sqref="F18">
    <cfRule type="expression" dxfId="322" priority="144">
      <formula>IF(#REF!&lt;&gt;#REF!,1,0)</formula>
    </cfRule>
  </conditionalFormatting>
  <conditionalFormatting sqref="A16">
    <cfRule type="expression" dxfId="321" priority="506">
      <formula>IF(#REF!&lt;&gt;#REF!,1,0)</formula>
    </cfRule>
  </conditionalFormatting>
  <conditionalFormatting sqref="B16">
    <cfRule type="expression" dxfId="320" priority="507">
      <formula>IF(#REF!&lt;&gt;#REF!,1,0)</formula>
    </cfRule>
  </conditionalFormatting>
  <conditionalFormatting sqref="B17">
    <cfRule type="expression" dxfId="319" priority="508">
      <formula>IF(#REF!&lt;&gt;#REF!,1,0)</formula>
    </cfRule>
  </conditionalFormatting>
  <conditionalFormatting sqref="F17">
    <cfRule type="expression" dxfId="318" priority="147">
      <formula>IF(#REF!&lt;&gt;#REF!,1,0)</formula>
    </cfRule>
  </conditionalFormatting>
  <conditionalFormatting sqref="X6:AB17">
    <cfRule type="expression" dxfId="317" priority="142">
      <formula>IF(#REF!&lt;&gt;#REF!,1,0)</formula>
    </cfRule>
  </conditionalFormatting>
  <conditionalFormatting sqref="X24:AB24">
    <cfRule type="expression" dxfId="316" priority="132">
      <formula>IF(#REF!&lt;&gt;#REF!,1,0)</formula>
    </cfRule>
  </conditionalFormatting>
  <conditionalFormatting sqref="X24:AB24">
    <cfRule type="expression" dxfId="315" priority="131">
      <formula>IF(#REF!&lt;&gt;#REF!,1,0)</formula>
    </cfRule>
  </conditionalFormatting>
  <conditionalFormatting sqref="R25">
    <cfRule type="expression" dxfId="314" priority="138">
      <formula>IF(#REF!&lt;&gt;#REF!,1,0)</formula>
    </cfRule>
  </conditionalFormatting>
  <conditionalFormatting sqref="R25">
    <cfRule type="expression" dxfId="313" priority="137">
      <formula>IF(#REF!&lt;&gt;#REF!,1,0)</formula>
    </cfRule>
  </conditionalFormatting>
  <conditionalFormatting sqref="R25">
    <cfRule type="expression" dxfId="312" priority="136">
      <formula>IF(#REF!&lt;&gt;#REF!,1,0)</formula>
    </cfRule>
  </conditionalFormatting>
  <conditionalFormatting sqref="U25">
    <cfRule type="expression" dxfId="311" priority="135">
      <formula>IF(#REF!&lt;&gt;#REF!,1,0)</formula>
    </cfRule>
  </conditionalFormatting>
  <conditionalFormatting sqref="U25">
    <cfRule type="expression" dxfId="310" priority="134">
      <formula>IF(#REF!&lt;&gt;#REF!,1,0)</formula>
    </cfRule>
  </conditionalFormatting>
  <conditionalFormatting sqref="U25">
    <cfRule type="expression" dxfId="309" priority="133">
      <formula>IF(#REF!&lt;&gt;#REF!,1,0)</formula>
    </cfRule>
  </conditionalFormatting>
  <conditionalFormatting sqref="X24:AB24">
    <cfRule type="expression" dxfId="308" priority="130">
      <formula>IF(#REF!&lt;&gt;#REF!,1,0)</formula>
    </cfRule>
  </conditionalFormatting>
  <conditionalFormatting sqref="J25">
    <cfRule type="expression" dxfId="307" priority="129">
      <formula>IF(#REF!&lt;&gt;#REF!,1,0)</formula>
    </cfRule>
  </conditionalFormatting>
  <conditionalFormatting sqref="J25">
    <cfRule type="expression" dxfId="306" priority="128">
      <formula>IF(#REF!&lt;&gt;#REF!,1,0)</formula>
    </cfRule>
  </conditionalFormatting>
  <conditionalFormatting sqref="J25">
    <cfRule type="expression" dxfId="305" priority="127">
      <formula>IF(#REF!&lt;&gt;#REF!,1,0)</formula>
    </cfRule>
  </conditionalFormatting>
  <conditionalFormatting sqref="P25:P28">
    <cfRule type="expression" dxfId="304" priority="126">
      <formula>IF(#REF!&lt;&gt;#REF!,1,0)</formula>
    </cfRule>
  </conditionalFormatting>
  <conditionalFormatting sqref="P25:P28">
    <cfRule type="expression" dxfId="303" priority="125">
      <formula>IF(#REF!&lt;&gt;#REF!,1,0)</formula>
    </cfRule>
  </conditionalFormatting>
  <conditionalFormatting sqref="P25:P28">
    <cfRule type="expression" dxfId="302" priority="124">
      <formula>IF(#REF!&lt;&gt;#REF!,1,0)</formula>
    </cfRule>
  </conditionalFormatting>
  <conditionalFormatting sqref="H77">
    <cfRule type="expression" dxfId="301" priority="120">
      <formula>IF(#REF!&lt;&gt;#REF!,1,0)</formula>
    </cfRule>
  </conditionalFormatting>
  <conditionalFormatting sqref="H77">
    <cfRule type="expression" dxfId="300" priority="119">
      <formula>IF(#REF!&lt;&gt;#REF!,1,0)</formula>
    </cfRule>
  </conditionalFormatting>
  <conditionalFormatting sqref="H77">
    <cfRule type="expression" dxfId="299" priority="118">
      <formula>IF(#REF!&lt;&gt;#REF!,1,0)</formula>
    </cfRule>
  </conditionalFormatting>
  <conditionalFormatting sqref="G25">
    <cfRule type="expression" dxfId="298" priority="84">
      <formula>IF(#REF!&lt;&gt;#REF!,1,0)</formula>
    </cfRule>
  </conditionalFormatting>
  <conditionalFormatting sqref="H25">
    <cfRule type="expression" dxfId="297" priority="83">
      <formula>IF(#REF!&lt;&gt;#REF!,1,0)</formula>
    </cfRule>
  </conditionalFormatting>
  <conditionalFormatting sqref="O25">
    <cfRule type="expression" dxfId="296" priority="82">
      <formula>IF(#REF!&lt;&gt;#REF!,1,0)</formula>
    </cfRule>
  </conditionalFormatting>
  <conditionalFormatting sqref="H31">
    <cfRule type="expression" dxfId="295" priority="78">
      <formula>IF(#REF!&lt;&gt;#REF!,1,0)</formula>
    </cfRule>
  </conditionalFormatting>
  <conditionalFormatting sqref="X3">
    <cfRule type="expression" dxfId="294" priority="77">
      <formula>IF(#REF!&lt;&gt;#REF!,1,0)</formula>
    </cfRule>
  </conditionalFormatting>
  <conditionalFormatting sqref="X3">
    <cfRule type="expression" dxfId="293" priority="76">
      <formula>IF(#REF!&lt;&gt;#REF!,1,0)</formula>
    </cfRule>
  </conditionalFormatting>
  <conditionalFormatting sqref="Y6:AA23 Y27:AA2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 J22">
    <cfRule type="expression" dxfId="292" priority="1718">
      <formula>IF(#REF!&lt;&gt;#REF!,1,0)</formula>
    </cfRule>
  </conditionalFormatting>
  <conditionalFormatting sqref="C33:H33 O33 S33:U33 AC33:AE33">
    <cfRule type="expression" dxfId="291" priority="65">
      <formula>IF(#REF!&lt;&gt;#REF!,1,0)</formula>
    </cfRule>
  </conditionalFormatting>
  <conditionalFormatting sqref="S33:U33 AC33:AE33">
    <cfRule type="expression" dxfId="290" priority="64">
      <formula>IF(#REF!&lt;&gt;#REF!,1,0)</formula>
    </cfRule>
  </conditionalFormatting>
  <conditionalFormatting sqref="AL33 AG33 C33 J33:Q33 X33:AB33">
    <cfRule type="expression" dxfId="289" priority="66">
      <formula>IF(#REF!&lt;&gt;#REF!,1,0)</formula>
    </cfRule>
  </conditionalFormatting>
  <conditionalFormatting sqref="AL33">
    <cfRule type="expression" dxfId="288" priority="60">
      <formula>IF(#REF!&lt;&gt;#REF!,1,0)</formula>
    </cfRule>
  </conditionalFormatting>
  <conditionalFormatting sqref="AH33">
    <cfRule type="expression" dxfId="287" priority="58">
      <formula>IF(#REF!&lt;&gt;#REF!,1,0)</formula>
    </cfRule>
  </conditionalFormatting>
  <conditionalFormatting sqref="AG33">
    <cfRule type="expression" dxfId="286" priority="59">
      <formula>IF(#REF!&lt;&gt;#REF!,1,0)</formula>
    </cfRule>
  </conditionalFormatting>
  <conditionalFormatting sqref="AH33">
    <cfRule type="expression" dxfId="285" priority="57">
      <formula>IF(#REF!&lt;&gt;#REF!,1,0)</formula>
    </cfRule>
  </conditionalFormatting>
  <conditionalFormatting sqref="Q33">
    <cfRule type="expression" dxfId="284" priority="56">
      <formula>IF(#REF!&lt;&gt;#REF!,1,0)</formula>
    </cfRule>
  </conditionalFormatting>
  <conditionalFormatting sqref="M33:O33 AD33:AE33">
    <cfRule type="expression" dxfId="283" priority="55">
      <formula>IF(#REF!&lt;&gt;#REF!,1,0)</formula>
    </cfRule>
  </conditionalFormatting>
  <conditionalFormatting sqref="M33:O33 AD33:AE33">
    <cfRule type="expression" dxfId="282" priority="54">
      <formula>IF(#REF!&lt;&gt;#REF!,1,0)</formula>
    </cfRule>
  </conditionalFormatting>
  <conditionalFormatting sqref="V44">
    <cfRule type="expression" dxfId="281" priority="52">
      <formula>IF(#REF!&lt;&gt;#REF!,1,0)</formula>
    </cfRule>
  </conditionalFormatting>
  <conditionalFormatting sqref="V16">
    <cfRule type="expression" dxfId="280" priority="46">
      <formula>IF(#REF!&lt;&gt;#REF!,1,0)</formula>
    </cfRule>
  </conditionalFormatting>
  <conditionalFormatting sqref="O29">
    <cfRule type="expression" dxfId="279" priority="41">
      <formula>IF(#REF!&lt;&gt;#REF!,1,0)</formula>
    </cfRule>
  </conditionalFormatting>
  <conditionalFormatting sqref="J29:P29">
    <cfRule type="expression" dxfId="278" priority="42">
      <formula>IF(#REF!&lt;&gt;#REF!,1,0)</formula>
    </cfRule>
  </conditionalFormatting>
  <conditionalFormatting sqref="M29:O29">
    <cfRule type="expression" dxfId="277" priority="40">
      <formula>IF(#REF!&lt;&gt;#REF!,1,0)</formula>
    </cfRule>
  </conditionalFormatting>
  <conditionalFormatting sqref="M29:O29">
    <cfRule type="expression" dxfId="276" priority="39">
      <formula>IF(#REF!&lt;&gt;#REF!,1,0)</formula>
    </cfRule>
  </conditionalFormatting>
  <conditionalFormatting sqref="I29 O29">
    <cfRule type="expression" dxfId="275" priority="38">
      <formula>IF(#REF!&lt;&gt;#REF!,1,0)</formula>
    </cfRule>
  </conditionalFormatting>
  <conditionalFormatting sqref="I29:O29">
    <cfRule type="expression" dxfId="274" priority="37">
      <formula>IF(#REF!&lt;&gt;#REF!,1,0)</formula>
    </cfRule>
  </conditionalFormatting>
  <conditionalFormatting sqref="I29 O29">
    <cfRule type="expression" dxfId="273" priority="36">
      <formula>IF(#REF!&lt;&gt;#REF!,1,0)</formula>
    </cfRule>
  </conditionalFormatting>
  <conditionalFormatting sqref="J29:O29">
    <cfRule type="expression" dxfId="272" priority="35">
      <formula>IF(#REF!&lt;&gt;#REF!,1,0)</formula>
    </cfRule>
  </conditionalFormatting>
  <conditionalFormatting sqref="K29:O29">
    <cfRule type="expression" dxfId="271" priority="34">
      <formula>IF(#REF!&lt;&gt;#REF!,1,0)</formula>
    </cfRule>
  </conditionalFormatting>
  <conditionalFormatting sqref="P29">
    <cfRule type="expression" dxfId="270" priority="33">
      <formula>IF(#REF!&lt;&gt;#REF!,1,0)</formula>
    </cfRule>
  </conditionalFormatting>
  <conditionalFormatting sqref="P29">
    <cfRule type="expression" dxfId="269" priority="32">
      <formula>IF(#REF!&lt;&gt;#REF!,1,0)</formula>
    </cfRule>
  </conditionalFormatting>
  <conditionalFormatting sqref="P29">
    <cfRule type="expression" dxfId="268" priority="31">
      <formula>IF(#REF!&lt;&gt;#REF!,1,0)</formula>
    </cfRule>
  </conditionalFormatting>
  <conditionalFormatting sqref="P30">
    <cfRule type="expression" dxfId="267" priority="30">
      <formula>IF(#REF!&lt;&gt;#REF!,1,0)</formula>
    </cfRule>
  </conditionalFormatting>
  <conditionalFormatting sqref="P30">
    <cfRule type="expression" dxfId="266" priority="29">
      <formula>IF(#REF!&lt;&gt;#REF!,1,0)</formula>
    </cfRule>
  </conditionalFormatting>
  <conditionalFormatting sqref="P30">
    <cfRule type="expression" dxfId="265" priority="28">
      <formula>IF(#REF!&lt;&gt;#REF!,1,0)</formula>
    </cfRule>
  </conditionalFormatting>
  <conditionalFormatting sqref="P30">
    <cfRule type="expression" dxfId="264" priority="27">
      <formula>IF(#REF!&lt;&gt;#REF!,1,0)</formula>
    </cfRule>
  </conditionalFormatting>
  <conditionalFormatting sqref="W34:W45 W3">
    <cfRule type="expression" dxfId="263" priority="25">
      <formula>IF(#REF!&lt;&gt;#REF!,1,0)</formula>
    </cfRule>
  </conditionalFormatting>
  <conditionalFormatting sqref="W34:W45">
    <cfRule type="expression" dxfId="262" priority="24">
      <formula>IF(#REF!&lt;&gt;#REF!,1,0)</formula>
    </cfRule>
  </conditionalFormatting>
  <conditionalFormatting sqref="W34:W45 W3">
    <cfRule type="expression" dxfId="261" priority="23">
      <formula>IF(#REF!&lt;&gt;#REF!,1,0)</formula>
    </cfRule>
  </conditionalFormatting>
  <conditionalFormatting sqref="W46:W51">
    <cfRule type="expression" dxfId="260" priority="26">
      <formula>IF(#REF!&lt;&gt;#REF!,1,0)</formula>
    </cfRule>
  </conditionalFormatting>
  <conditionalFormatting sqref="W50:W51">
    <cfRule type="expression" dxfId="259" priority="22">
      <formula>IF(#REF!&lt;&gt;#REF!,1,0)</formula>
    </cfRule>
  </conditionalFormatting>
  <conditionalFormatting sqref="W6:W17">
    <cfRule type="expression" dxfId="258" priority="20">
      <formula>IF(#REF!&lt;&gt;#REF!,1,0)</formula>
    </cfRule>
  </conditionalFormatting>
  <conditionalFormatting sqref="W6:W17">
    <cfRule type="expression" dxfId="257" priority="19">
      <formula>IF(#REF!&lt;&gt;#REF!,1,0)</formula>
    </cfRule>
  </conditionalFormatting>
  <conditionalFormatting sqref="W6:W17">
    <cfRule type="expression" dxfId="256" priority="18">
      <formula>IF(#REF!&lt;&gt;#REF!,1,0)</formula>
    </cfRule>
  </conditionalFormatting>
  <conditionalFormatting sqref="W24:W25">
    <cfRule type="expression" dxfId="255" priority="17">
      <formula>IF(#REF!&lt;&gt;#REF!,1,0)</formula>
    </cfRule>
  </conditionalFormatting>
  <conditionalFormatting sqref="W33">
    <cfRule type="expression" dxfId="254" priority="15">
      <formula>IF(#REF!&lt;&gt;#REF!,1,0)</formula>
    </cfRule>
  </conditionalFormatting>
  <conditionalFormatting sqref="W33">
    <cfRule type="expression" dxfId="253" priority="14">
      <formula>IF(#REF!&lt;&gt;#REF!,1,0)</formula>
    </cfRule>
  </conditionalFormatting>
  <conditionalFormatting sqref="R5">
    <cfRule type="expression" dxfId="252" priority="12">
      <formula>IF(#REF!&lt;&gt;#REF!,1,0)</formula>
    </cfRule>
  </conditionalFormatting>
  <conditionalFormatting sqref="R5">
    <cfRule type="expression" dxfId="251" priority="13">
      <formula>IF(#REF!&lt;&gt;#REF!,1,0)</formula>
    </cfRule>
  </conditionalFormatting>
  <conditionalFormatting sqref="R5">
    <cfRule type="expression" dxfId="250" priority="11">
      <formula>IF(#REF!&lt;&gt;#REF!,1,0)</formula>
    </cfRule>
  </conditionalFormatting>
  <conditionalFormatting sqref="R5">
    <cfRule type="expression" dxfId="249" priority="10">
      <formula>IF(#REF!&lt;&gt;#REF!,1,0)</formula>
    </cfRule>
  </conditionalFormatting>
  <conditionalFormatting sqref="R5">
    <cfRule type="expression" dxfId="248" priority="9">
      <formula>IF(#REF!&lt;&gt;#REF!,1,0)</formula>
    </cfRule>
  </conditionalFormatting>
  <conditionalFormatting sqref="B42 B34 A41:B41 V41:V42">
    <cfRule type="expression" dxfId="247" priority="1754">
      <formula>IF(#REF!&lt;&gt;$F79,1,0)</formula>
    </cfRule>
  </conditionalFormatting>
  <conditionalFormatting sqref="A41 B34:B41 V41">
    <cfRule type="expression" dxfId="246" priority="1757">
      <formula>IF(#REF!&lt;&gt;$F80,1,0)</formula>
    </cfRule>
  </conditionalFormatting>
  <conditionalFormatting sqref="J41:J45 C34:C39 J34:J39 C41:C45">
    <cfRule type="expression" dxfId="245" priority="1760">
      <formula>IF(#REF!&lt;&gt;$D76,1,0)</formula>
    </cfRule>
  </conditionalFormatting>
  <conditionalFormatting sqref="J75:J86 E75:E82 E84:E90">
    <cfRule type="expression" dxfId="244" priority="1762">
      <formula>IF(#REF!&lt;&gt;$D76,1,0)</formula>
    </cfRule>
  </conditionalFormatting>
  <conditionalFormatting sqref="B76:B81">
    <cfRule type="expression" dxfId="243" priority="1766">
      <formula>IF(#REF!&lt;&gt;$F82,1,0)</formula>
    </cfRule>
  </conditionalFormatting>
  <conditionalFormatting sqref="J40 C40">
    <cfRule type="expression" dxfId="242" priority="1767">
      <formula>IF(#REF!&lt;&gt;$D83,1,0)</formula>
    </cfRule>
  </conditionalFormatting>
  <conditionalFormatting sqref="B35:B40">
    <cfRule type="expression" dxfId="241" priority="1769">
      <formula>IF(#REF!&lt;&gt;$F82,1,0)</formula>
    </cfRule>
  </conditionalFormatting>
  <conditionalFormatting sqref="A42">
    <cfRule type="expression" dxfId="240" priority="1771">
      <formula>IF(#REF!&lt;&gt;$F87,1,0)</formula>
    </cfRule>
  </conditionalFormatting>
  <conditionalFormatting sqref="A42">
    <cfRule type="expression" dxfId="239" priority="1773">
      <formula>IF(#REF!&lt;&gt;$F91,1,0)</formula>
    </cfRule>
  </conditionalFormatting>
  <conditionalFormatting sqref="E83">
    <cfRule type="expression" dxfId="238" priority="1774">
      <formula>IF(#REF!&lt;&gt;$D84,1,0)</formula>
    </cfRule>
  </conditionalFormatting>
  <conditionalFormatting sqref="B83">
    <cfRule type="expression" dxfId="237" priority="1775">
      <formula>IF(#REF!&lt;&gt;$F91,1,0)</formula>
    </cfRule>
  </conditionalFormatting>
  <conditionalFormatting sqref="B42 V42">
    <cfRule type="expression" dxfId="236" priority="1777">
      <formula>IF(#REF!&lt;&gt;$F91,1,0)</formula>
    </cfRule>
  </conditionalFormatting>
  <conditionalFormatting sqref="B75">
    <cfRule type="expression" dxfId="235" priority="1779">
      <formula>IF(#REF!&lt;&gt;$F38,1,0)</formula>
    </cfRule>
  </conditionalFormatting>
  <conditionalFormatting sqref="B75">
    <cfRule type="expression" dxfId="234" priority="1780">
      <formula>IF(#REF!&lt;&gt;$F39,1,0)</formula>
    </cfRule>
  </conditionalFormatting>
  <conditionalFormatting sqref="A43:B43 V43">
    <cfRule type="expression" dxfId="233" priority="1783">
      <formula>IF(#REF!&lt;&gt;$F91,1,0)</formula>
    </cfRule>
  </conditionalFormatting>
  <conditionalFormatting sqref="B82">
    <cfRule type="expression" dxfId="232" priority="1787">
      <formula>IF(#REF!&lt;&gt;$F91,1,0)</formula>
    </cfRule>
  </conditionalFormatting>
  <conditionalFormatting sqref="C46:C49 J46:J49">
    <cfRule type="expression" dxfId="231" priority="1808">
      <formula>IF(#REF!&lt;&gt;$D88,1,0)</formula>
    </cfRule>
  </conditionalFormatting>
  <conditionalFormatting sqref="J87:J90">
    <cfRule type="expression" dxfId="230" priority="1810">
      <formula>IF(#REF!&lt;&gt;$D88,1,0)</formula>
    </cfRule>
  </conditionalFormatting>
  <conditionalFormatting sqref="E74:O74 Q74:S74">
    <cfRule type="expression" dxfId="229" priority="1831">
      <formula>IF(#REF!&lt;&gt;$G73,1,0)</formula>
    </cfRule>
  </conditionalFormatting>
  <conditionalFormatting sqref="S4:U4 C4:H4 J4:Q4 AL4 AG4:AH4 X4:AE4">
    <cfRule type="expression" dxfId="228" priority="1832">
      <formula>IF(#REF!&lt;&gt;$G73,1,0)</formula>
    </cfRule>
  </conditionalFormatting>
  <conditionalFormatting sqref="B60:B61 B6 B14 A13:B13 B53 V13">
    <cfRule type="expression" dxfId="227" priority="1833">
      <formula>IF(#REF!&lt;&gt;#REF!,1,0)</formula>
    </cfRule>
  </conditionalFormatting>
  <conditionalFormatting sqref="B6:B13 A13 V13 B53:B60">
    <cfRule type="expression" dxfId="226" priority="1837">
      <formula>IF(#REF!&lt;&gt;#REF!,1,0)</formula>
    </cfRule>
  </conditionalFormatting>
  <conditionalFormatting sqref="X3">
    <cfRule type="expression" dxfId="225" priority="1840">
      <formula>IF(#REF!&lt;&gt;#REF!,1,0)</formula>
    </cfRule>
  </conditionalFormatting>
  <conditionalFormatting sqref="J53:J58 J60:J64 J13:J17 C6:C11 J6:J11 C13:C17 C53:C58 C60:C69">
    <cfRule type="expression" dxfId="224" priority="1841">
      <formula>IF(#REF!&lt;&gt;#REF!,1,0)</formula>
    </cfRule>
  </conditionalFormatting>
  <conditionalFormatting sqref="B7:B12 B54:B59">
    <cfRule type="expression" dxfId="223" priority="1848">
      <formula>IF(#REF!&lt;&gt;#REF!,1,0)</formula>
    </cfRule>
  </conditionalFormatting>
  <conditionalFormatting sqref="J12 C12 J59 C59 J29">
    <cfRule type="expression" dxfId="222" priority="1849">
      <formula>IF(#REF!&lt;&gt;#REF!,1,0)</formula>
    </cfRule>
  </conditionalFormatting>
  <conditionalFormatting sqref="A14 V14">
    <cfRule type="expression" dxfId="221" priority="1851">
      <formula>IF(#REF!&lt;&gt;#REF!,1,0)</formula>
    </cfRule>
  </conditionalFormatting>
  <conditionalFormatting sqref="A43">
    <cfRule type="expression" dxfId="220" priority="1853">
      <formula>IF(#REF!&lt;&gt;#REF!,1,0)</formula>
    </cfRule>
  </conditionalFormatting>
  <conditionalFormatting sqref="B61:B62 B43 V43">
    <cfRule type="expression" dxfId="219" priority="1854">
      <formula>IF(#REF!&lt;&gt;#REF!,1,0)</formula>
    </cfRule>
  </conditionalFormatting>
  <conditionalFormatting sqref="B62:B63 A44:B44 V44">
    <cfRule type="expression" dxfId="218" priority="1857">
      <formula>IF(#REF!&lt;&gt;#REF!,1,0)</formula>
    </cfRule>
  </conditionalFormatting>
  <conditionalFormatting sqref="B84">
    <cfRule type="expression" dxfId="217" priority="1860">
      <formula>IF(#REF!&lt;&gt;#REF!,1,0)</formula>
    </cfRule>
  </conditionalFormatting>
  <conditionalFormatting sqref="J65:J69 C23:C24 J23:J24 C50 J50">
    <cfRule type="expression" dxfId="216" priority="1861">
      <formula>IF(#REF!&lt;&gt;#REF!,1,0)</formula>
    </cfRule>
  </conditionalFormatting>
  <conditionalFormatting sqref="E91">
    <cfRule type="expression" dxfId="215" priority="1868">
      <formula>IF(#REF!&lt;&gt;#REF!,1,0)</formula>
    </cfRule>
  </conditionalFormatting>
  <conditionalFormatting sqref="A14:A15">
    <cfRule type="expression" dxfId="214" priority="1879">
      <formula>IF(#REF!&lt;&gt;#REF!,1,0)</formula>
    </cfRule>
  </conditionalFormatting>
  <conditionalFormatting sqref="B14:B15 V14:V15">
    <cfRule type="expression" dxfId="213" priority="1880">
      <formula>IF(#REF!&lt;&gt;#REF!,1,0)</formula>
    </cfRule>
  </conditionalFormatting>
  <conditionalFormatting sqref="A15:B16 V15:V16">
    <cfRule type="expression" dxfId="212" priority="1881">
      <formula>IF(#REF!&lt;&gt;#REF!,1,0)</formula>
    </cfRule>
  </conditionalFormatting>
  <conditionalFormatting sqref="B63">
    <cfRule type="expression" dxfId="211" priority="1884">
      <formula>IF(#REF!&lt;&gt;#REF!,1,0)</formula>
    </cfRule>
  </conditionalFormatting>
  <conditionalFormatting sqref="B64">
    <cfRule type="expression" dxfId="210" priority="1885">
      <formula>IF(#REF!&lt;&gt;#REF!,1,0)</formula>
    </cfRule>
  </conditionalFormatting>
  <conditionalFormatting sqref="J91">
    <cfRule type="expression" dxfId="209" priority="1890">
      <formula>IF(#REF!&lt;&gt;#REF!,1,0)</formula>
    </cfRule>
  </conditionalFormatting>
  <conditionalFormatting sqref="O20:O23">
    <cfRule type="expression" dxfId="208" priority="8">
      <formula>IF(#REF!&lt;&gt;#REF!,1,0)</formula>
    </cfRule>
  </conditionalFormatting>
  <conditionalFormatting sqref="O22">
    <cfRule type="expression" dxfId="207" priority="7">
      <formula>IF(#REF!&lt;&gt;#REF!,1,0)</formula>
    </cfRule>
  </conditionalFormatting>
  <conditionalFormatting sqref="O22">
    <cfRule type="expression" dxfId="206" priority="6">
      <formula>IF(#REF!&lt;&gt;#REF!,1,0)</formula>
    </cfRule>
  </conditionalFormatting>
  <conditionalFormatting sqref="O20:O23">
    <cfRule type="expression" dxfId="205" priority="5">
      <formula>IF(#REF!&lt;&gt;#REF!,1,0)</formula>
    </cfRule>
  </conditionalFormatting>
  <conditionalFormatting sqref="O20:O23">
    <cfRule type="expression" dxfId="204" priority="4">
      <formula>IF(#REF!&lt;&gt;#REF!,1,0)</formula>
    </cfRule>
  </conditionalFormatting>
  <conditionalFormatting sqref="AC19:AC23">
    <cfRule type="expression" dxfId="203" priority="3">
      <formula>IF(#REF!&lt;&gt;#REF!,1,0)</formula>
    </cfRule>
  </conditionalFormatting>
  <conditionalFormatting sqref="AC19:AC23">
    <cfRule type="expression" dxfId="202" priority="2">
      <formula>IF(#REF!&lt;&gt;#REF!,1,0)</formula>
    </cfRule>
  </conditionalFormatting>
  <conditionalFormatting sqref="AC19:AC23">
    <cfRule type="expression" dxfId="201" priority="1">
      <formula>IF(#REF!&lt;&gt;#REF!,1,0)</formula>
    </cfRule>
  </conditionalFormatting>
  <pageMargins left="0.7" right="0.7" top="0.75" bottom="0.75" header="0.3" footer="0.3"/>
  <pageSetup orientation="portrait" r:id="rId3"/>
  <ignoredErrors>
    <ignoredError sqref="C6:C18 C19:C23" formula="1"/>
  </ignoredErrors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DB493C-3EA3-4FE4-B507-376AB2EB6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AG34:AG41 AG45</xm:sqref>
        </x14:conditionalFormatting>
        <x14:conditionalFormatting xmlns:xm="http://schemas.microsoft.com/office/excel/2006/main">
          <x14:cfRule type="dataBar" id="{2A6F2992-BF9E-476D-A15C-6950EC3479B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AG42:AG44</xm:sqref>
        </x14:conditionalFormatting>
        <x14:conditionalFormatting xmlns:xm="http://schemas.microsoft.com/office/excel/2006/main">
          <x14:cfRule type="dataBar" id="{95D376DF-2106-41DC-AF8A-DDC483CE4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AG46:AG49</xm:sqref>
        </x14:conditionalFormatting>
        <x14:conditionalFormatting xmlns:xm="http://schemas.microsoft.com/office/excel/2006/main">
          <x14:cfRule type="dataBar" id="{BB7416CD-F227-4A34-89DD-4597AA9083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AG50</xm:sqref>
        </x14:conditionalFormatting>
        <x14:conditionalFormatting xmlns:xm="http://schemas.microsoft.com/office/excel/2006/main">
          <x14:cfRule type="dataBar" id="{99111BA0-10D8-4AD7-8486-B4D0999E31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AG6:AG13 AG17</xm:sqref>
        </x14:conditionalFormatting>
        <x14:conditionalFormatting xmlns:xm="http://schemas.microsoft.com/office/excel/2006/main">
          <x14:cfRule type="dataBar" id="{CDA841D3-5EDD-47C6-8C21-D300DE10DE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AG14:AG16</xm:sqref>
        </x14:conditionalFormatting>
        <x14:conditionalFormatting xmlns:xm="http://schemas.microsoft.com/office/excel/2006/main">
          <x14:cfRule type="dataBar" id="{46E17531-B428-4D54-B973-48017E31C6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AG18:AG23 AG27:AG28</xm:sqref>
        </x14:conditionalFormatting>
        <x14:conditionalFormatting xmlns:xm="http://schemas.microsoft.com/office/excel/2006/main">
          <x14:cfRule type="dataBar" id="{BC90891D-4A71-4E05-9458-F0D943F8E3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9C4B-4776-4B2F-8C80-75A160987156}">
  <dimension ref="B1:AK60"/>
  <sheetViews>
    <sheetView rightToLeft="1" topLeftCell="E1" zoomScale="80" zoomScaleNormal="80" workbookViewId="0">
      <selection activeCell="W5" sqref="W5:W17"/>
    </sheetView>
  </sheetViews>
  <sheetFormatPr defaultRowHeight="15.75" customHeight="1" x14ac:dyDescent="0.35"/>
  <cols>
    <col min="1" max="1" width="3.1796875" customWidth="1"/>
    <col min="2" max="2" width="5.26953125" customWidth="1"/>
    <col min="4" max="4" width="9.7265625" customWidth="1"/>
    <col min="5" max="5" width="7.54296875" customWidth="1"/>
    <col min="6" max="6" width="9.1796875" customWidth="1"/>
    <col min="7" max="7" width="9.453125" customWidth="1"/>
    <col min="8" max="8" width="9.54296875" customWidth="1"/>
    <col min="9" max="9" width="8" customWidth="1"/>
    <col min="10" max="10" width="9.81640625" customWidth="1"/>
    <col min="11" max="11" width="8.7265625" customWidth="1"/>
    <col min="12" max="12" width="10.81640625" customWidth="1"/>
    <col min="13" max="13" width="10.7265625" customWidth="1"/>
    <col min="14" max="14" width="4.7265625" customWidth="1"/>
    <col min="15" max="15" width="12.1796875" customWidth="1"/>
    <col min="16" max="16" width="10.453125" customWidth="1"/>
    <col min="17" max="17" width="11.453125" customWidth="1"/>
    <col min="18" max="19" width="11.54296875" customWidth="1"/>
    <col min="20" max="20" width="1.453125" customWidth="1"/>
    <col min="21" max="21" width="7.1796875" customWidth="1"/>
    <col min="22" max="22" width="4.7265625" customWidth="1"/>
    <col min="23" max="23" width="13.1796875" customWidth="1"/>
    <col min="24" max="24" width="11.7265625" customWidth="1"/>
    <col min="25" max="25" width="11.54296875" customWidth="1"/>
    <col min="27" max="27" width="9.7265625" customWidth="1"/>
    <col min="28" max="28" width="6.453125" customWidth="1"/>
    <col min="29" max="29" width="10.1796875" customWidth="1"/>
    <col min="31" max="33" width="10.81640625" customWidth="1"/>
  </cols>
  <sheetData>
    <row r="1" spans="2:37" ht="15.75" customHeight="1" x14ac:dyDescent="0.35">
      <c r="B1" s="310"/>
      <c r="C1" s="310"/>
      <c r="D1" s="310"/>
      <c r="E1" s="310"/>
      <c r="F1" s="310"/>
      <c r="G1" s="310"/>
      <c r="H1" s="310"/>
      <c r="I1" s="310"/>
      <c r="J1" s="310"/>
      <c r="K1" s="1062">
        <v>0.23</v>
      </c>
      <c r="L1" s="310" t="s">
        <v>441</v>
      </c>
      <c r="M1" s="310"/>
      <c r="X1" s="1075">
        <v>0.23334397944095367</v>
      </c>
      <c r="AE1" s="1075">
        <v>0.2214192281278555</v>
      </c>
      <c r="AF1" s="310" t="s">
        <v>441</v>
      </c>
    </row>
    <row r="2" spans="2:37" ht="21.75" customHeight="1" x14ac:dyDescent="0.7">
      <c r="B2" s="302" t="s">
        <v>313</v>
      </c>
      <c r="C2" s="303"/>
      <c r="D2" s="303"/>
      <c r="E2" s="303"/>
      <c r="F2" s="303"/>
      <c r="G2" s="303"/>
      <c r="H2" s="303"/>
      <c r="I2" s="303"/>
      <c r="J2" s="303"/>
      <c r="K2" s="1068">
        <v>10</v>
      </c>
      <c r="L2" s="1069" t="s">
        <v>444</v>
      </c>
      <c r="M2" s="303"/>
      <c r="O2" s="402" t="s">
        <v>442</v>
      </c>
      <c r="P2" s="303"/>
      <c r="Q2" s="303"/>
      <c r="R2" s="303"/>
      <c r="S2" s="303"/>
      <c r="T2" s="303"/>
      <c r="U2" s="303"/>
      <c r="W2" s="402" t="s">
        <v>443</v>
      </c>
      <c r="X2" s="402"/>
      <c r="Y2" s="302"/>
      <c r="Z2" s="302"/>
      <c r="AA2" s="302"/>
      <c r="AB2" s="302"/>
      <c r="AC2" s="302"/>
      <c r="AE2" s="402" t="s">
        <v>445</v>
      </c>
      <c r="AF2" s="402"/>
      <c r="AG2" s="302"/>
      <c r="AH2" s="302"/>
    </row>
    <row r="3" spans="2:37" ht="62.25" customHeight="1" x14ac:dyDescent="0.35">
      <c r="B3" s="1123" t="s">
        <v>92</v>
      </c>
      <c r="C3" s="1071" t="s">
        <v>93</v>
      </c>
      <c r="D3" s="227" t="s">
        <v>94</v>
      </c>
      <c r="E3" s="227" t="s">
        <v>95</v>
      </c>
      <c r="F3" s="228" t="s">
        <v>96</v>
      </c>
      <c r="G3" s="227" t="s">
        <v>97</v>
      </c>
      <c r="H3" s="204" t="s">
        <v>98</v>
      </c>
      <c r="I3" s="383" t="s">
        <v>99</v>
      </c>
      <c r="J3" s="472" t="s">
        <v>100</v>
      </c>
      <c r="K3" s="1063" t="s">
        <v>439</v>
      </c>
      <c r="L3" s="1064" t="s">
        <v>438</v>
      </c>
      <c r="M3" s="1064" t="s">
        <v>440</v>
      </c>
      <c r="O3" s="1060" t="str">
        <f>Shahrdary!C4</f>
        <v>وضعِ موجود</v>
      </c>
      <c r="P3" s="1060" t="str">
        <f>Shahrdary!J3</f>
        <v>نیاز آبیاری ماه اوج؛ لیتردرثانیه</v>
      </c>
      <c r="Q3" s="1063" t="s">
        <v>439</v>
      </c>
      <c r="R3" s="1064" t="s">
        <v>438</v>
      </c>
      <c r="S3" s="1064" t="s">
        <v>440</v>
      </c>
      <c r="U3" s="720" t="s">
        <v>314</v>
      </c>
      <c r="W3" s="227" t="s">
        <v>94</v>
      </c>
      <c r="X3" s="1063" t="s">
        <v>439</v>
      </c>
      <c r="Y3" s="1064" t="s">
        <v>438</v>
      </c>
      <c r="Z3" s="1064" t="s">
        <v>440</v>
      </c>
      <c r="AA3" s="720" t="s">
        <v>314</v>
      </c>
      <c r="AB3" s="720" t="s">
        <v>314</v>
      </c>
      <c r="AC3" s="720" t="s">
        <v>314</v>
      </c>
      <c r="AE3" s="227" t="s">
        <v>94</v>
      </c>
      <c r="AF3" s="1063" t="s">
        <v>439</v>
      </c>
      <c r="AG3" s="1064" t="s">
        <v>438</v>
      </c>
      <c r="AH3" s="1064" t="s">
        <v>440</v>
      </c>
    </row>
    <row r="4" spans="2:37" ht="15.75" customHeight="1" x14ac:dyDescent="0.7">
      <c r="B4" s="1124"/>
      <c r="C4" s="205" t="s">
        <v>101</v>
      </c>
      <c r="D4" s="206" t="s">
        <v>101</v>
      </c>
      <c r="E4" s="206" t="s">
        <v>101</v>
      </c>
      <c r="F4" s="374" t="s">
        <v>101</v>
      </c>
      <c r="G4" s="206" t="s">
        <v>101</v>
      </c>
      <c r="H4" s="207" t="s">
        <v>101</v>
      </c>
      <c r="I4" s="1126" t="s">
        <v>147</v>
      </c>
      <c r="J4" s="1127"/>
      <c r="K4" s="1065"/>
      <c r="L4" s="1066"/>
      <c r="M4" s="1066"/>
      <c r="O4" s="205" t="s">
        <v>101</v>
      </c>
      <c r="P4" s="1061"/>
      <c r="Q4" s="1070"/>
      <c r="R4" s="1067"/>
      <c r="S4" s="1066"/>
      <c r="U4" s="373" t="s">
        <v>101</v>
      </c>
      <c r="W4" s="206" t="s">
        <v>101</v>
      </c>
      <c r="X4" s="1065"/>
      <c r="Y4" s="1066"/>
      <c r="Z4" s="1066"/>
      <c r="AA4" s="1067"/>
      <c r="AB4" s="373" t="s">
        <v>101</v>
      </c>
      <c r="AC4" s="392" t="s">
        <v>150</v>
      </c>
      <c r="AE4" s="206" t="s">
        <v>101</v>
      </c>
      <c r="AF4" s="1065"/>
      <c r="AG4" s="1066"/>
      <c r="AH4" s="1066"/>
    </row>
    <row r="5" spans="2:37" ht="15.75" customHeight="1" x14ac:dyDescent="0.35">
      <c r="B5" s="208">
        <v>1</v>
      </c>
      <c r="C5" s="209">
        <v>1478.9601123</v>
      </c>
      <c r="D5" s="236">
        <v>42.587899999999998</v>
      </c>
      <c r="E5" s="210">
        <v>37.984299999999998</v>
      </c>
      <c r="F5" s="310">
        <v>4.6051000000000002</v>
      </c>
      <c r="G5" s="210">
        <v>16.6068</v>
      </c>
      <c r="H5" s="378">
        <v>54.591100000000004</v>
      </c>
      <c r="I5" s="384">
        <v>2.9249240918400004</v>
      </c>
      <c r="J5" s="385">
        <v>0.33001032959999999</v>
      </c>
      <c r="K5" s="1051">
        <f>(J5*$K$2/9+I5)*31</f>
        <v>102.03966931104</v>
      </c>
      <c r="L5" s="393">
        <f>K5/D5/$K$1*1000</f>
        <v>10417.295432152245</v>
      </c>
      <c r="M5" s="401">
        <f>L5*1000/31/24/3600*$K$1</f>
        <v>0.89455568600471047</v>
      </c>
      <c r="O5" s="237">
        <f>Shahrdary!C34</f>
        <v>42.423000000000002</v>
      </c>
      <c r="P5" s="240">
        <f>Shahrdary!J34</f>
        <v>72.755909034370646</v>
      </c>
      <c r="Q5" s="145">
        <f>P5*3600*24*31/1000/1000</f>
        <v>194.86942675765835</v>
      </c>
      <c r="R5" s="181">
        <f>Q5*1000/O5/$K$1</f>
        <v>19971.675204658091</v>
      </c>
      <c r="S5" s="401">
        <f t="shared" ref="S5:S20" si="0">R5*1000/31/24/3600*$K$1</f>
        <v>1.7150109382733576</v>
      </c>
      <c r="U5" s="363">
        <f>O5-D5</f>
        <v>-0.16489999999999583</v>
      </c>
      <c r="W5" s="304">
        <v>54.591100000000004</v>
      </c>
      <c r="X5" s="1076">
        <v>169.39732127093319</v>
      </c>
      <c r="Y5" s="143">
        <f>X5*1000/W5/$K$1</f>
        <v>13491.394979810229</v>
      </c>
      <c r="Z5" s="401">
        <f t="shared" ref="Z5:Z20" si="1">Y5*1000/31/24/3600*$K$1</f>
        <v>1.1585352618564639</v>
      </c>
      <c r="AA5" s="363">
        <f t="shared" ref="AA5:AA20" si="2">W5-D5</f>
        <v>12.003200000000007</v>
      </c>
      <c r="AB5" s="363">
        <f t="shared" ref="AB5:AB20" si="3">W5-O5</f>
        <v>12.168100000000003</v>
      </c>
      <c r="AC5" s="363">
        <f t="shared" ref="AC5:AC20" si="4">X5-Q5</f>
        <v>-25.472105486725155</v>
      </c>
      <c r="AD5" s="1079">
        <f>Z5*W5</f>
        <v>63.245714333532412</v>
      </c>
      <c r="AE5" s="304">
        <v>54.591100000000004</v>
      </c>
      <c r="AF5" s="1076">
        <v>158.290046745815</v>
      </c>
      <c r="AG5" s="143">
        <f>AF5*1000/AE5/$K$1</f>
        <v>12606.77279899144</v>
      </c>
      <c r="AH5" s="401">
        <f t="shared" ref="AH5:AH20" si="5">AG5*1000/31/24/3600*$K$1</f>
        <v>1.0825708422072995</v>
      </c>
    </row>
    <row r="6" spans="2:37" ht="15.75" customHeight="1" x14ac:dyDescent="0.35">
      <c r="B6" s="211">
        <v>2</v>
      </c>
      <c r="C6" s="212">
        <v>3848.8488720399996</v>
      </c>
      <c r="D6" s="237">
        <v>124.5886</v>
      </c>
      <c r="E6" s="210">
        <v>79.296700000000001</v>
      </c>
      <c r="F6" s="310">
        <v>45.301199999999994</v>
      </c>
      <c r="G6" s="210">
        <v>63.309699999999992</v>
      </c>
      <c r="H6" s="378">
        <v>142.60639999999998</v>
      </c>
      <c r="I6" s="384">
        <v>5.7405296246399997</v>
      </c>
      <c r="J6" s="385">
        <v>1.2580903584000001</v>
      </c>
      <c r="K6" s="1051">
        <f t="shared" ref="K6:K20" si="6">(J6*$K$2/9+I6)*31</f>
        <v>221.29064181983998</v>
      </c>
      <c r="L6" s="393">
        <f t="shared" ref="L6:L20" si="7">K6/D6/$K$1*1000</f>
        <v>7722.4820353038085</v>
      </c>
      <c r="M6" s="401">
        <f t="shared" ref="M6:M20" si="8">L6*1000/31/24/3600*$K$1</f>
        <v>0.66314623212360968</v>
      </c>
      <c r="O6" s="237">
        <f>Shahrdary!C35</f>
        <v>129.0044</v>
      </c>
      <c r="P6" s="240">
        <f>Shahrdary!J35</f>
        <v>155.55245600433528</v>
      </c>
      <c r="Q6" s="179">
        <f t="shared" ref="Q6:Q20" si="9">P6*3600*24*31/1000/1000</f>
        <v>416.63169816201162</v>
      </c>
      <c r="R6" s="181">
        <f t="shared" ref="R6:R20" si="10">Q6*1000/O6/$K$1</f>
        <v>14041.70839073543</v>
      </c>
      <c r="S6" s="401">
        <f t="shared" si="0"/>
        <v>1.2057918644971435</v>
      </c>
      <c r="U6" s="363">
        <f t="shared" ref="U6:U20" si="11">O6-D6</f>
        <v>4.4158000000000044</v>
      </c>
      <c r="W6" s="304">
        <v>142.60639999999998</v>
      </c>
      <c r="X6" s="1077">
        <v>376.76495765771142</v>
      </c>
      <c r="Y6" s="143">
        <f t="shared" ref="Y6:Y17" si="12">X6*1000/W6/$K$1</f>
        <v>11486.921425372684</v>
      </c>
      <c r="Z6" s="401">
        <f t="shared" si="1"/>
        <v>0.98640678309278584</v>
      </c>
      <c r="AA6" s="363">
        <f t="shared" si="2"/>
        <v>18.01779999999998</v>
      </c>
      <c r="AB6" s="363">
        <f t="shared" si="3"/>
        <v>13.601999999999975</v>
      </c>
      <c r="AC6" s="363">
        <f t="shared" si="4"/>
        <v>-39.866740504300196</v>
      </c>
      <c r="AD6" s="1079">
        <f t="shared" ref="AD6:AD20" si="13">Z6*W6</f>
        <v>140.66792027244304</v>
      </c>
      <c r="AE6" s="304">
        <v>142.60639999999998</v>
      </c>
      <c r="AF6" s="1077">
        <v>380.50878734517619</v>
      </c>
      <c r="AG6" s="143">
        <f t="shared" ref="AG6:AG10" si="14">AF6*1000/AE6/$K$1</f>
        <v>11601.064411804442</v>
      </c>
      <c r="AH6" s="401">
        <f t="shared" si="5"/>
        <v>0.99620848817018426</v>
      </c>
      <c r="AJ6" s="1079">
        <f>1/AK6^0.5</f>
        <v>2.2360679774997898</v>
      </c>
      <c r="AK6" s="364">
        <v>0.2</v>
      </c>
    </row>
    <row r="7" spans="2:37" ht="15.75" customHeight="1" x14ac:dyDescent="0.35">
      <c r="B7" s="211">
        <v>3</v>
      </c>
      <c r="C7" s="212">
        <v>3311.0004518109999</v>
      </c>
      <c r="D7" s="237">
        <v>103.5865</v>
      </c>
      <c r="E7" s="210">
        <v>71.100200000000001</v>
      </c>
      <c r="F7" s="310">
        <v>32.754100000000001</v>
      </c>
      <c r="G7" s="210">
        <v>39.873800000000003</v>
      </c>
      <c r="H7" s="378">
        <v>110.974</v>
      </c>
      <c r="I7" s="384">
        <v>4.7381364287999999</v>
      </c>
      <c r="J7" s="385">
        <v>0.79237215360000002</v>
      </c>
      <c r="K7" s="1051">
        <f t="shared" si="6"/>
        <v>174.1750479168</v>
      </c>
      <c r="L7" s="393">
        <f t="shared" si="7"/>
        <v>7310.6323413723321</v>
      </c>
      <c r="M7" s="401">
        <f t="shared" si="8"/>
        <v>0.62777980828690128</v>
      </c>
      <c r="O7" s="237">
        <f>Shahrdary!C36</f>
        <v>103.66589999999999</v>
      </c>
      <c r="P7" s="240">
        <f>Shahrdary!J36</f>
        <v>122.01480894035521</v>
      </c>
      <c r="Q7" s="145">
        <f t="shared" si="9"/>
        <v>326.80446426584746</v>
      </c>
      <c r="R7" s="181">
        <f t="shared" si="10"/>
        <v>13706.425884200127</v>
      </c>
      <c r="S7" s="401">
        <f t="shared" si="0"/>
        <v>1.1770004306175439</v>
      </c>
      <c r="U7" s="363">
        <f t="shared" si="11"/>
        <v>7.9399999999992588E-2</v>
      </c>
      <c r="W7" s="304">
        <v>110.974</v>
      </c>
      <c r="X7" s="1077">
        <v>303.15359904680986</v>
      </c>
      <c r="Y7" s="143">
        <f t="shared" si="12"/>
        <v>11877.188587331064</v>
      </c>
      <c r="Z7" s="401">
        <f t="shared" si="1"/>
        <v>1.0199198682370614</v>
      </c>
      <c r="AA7" s="363">
        <f t="shared" si="2"/>
        <v>7.3875000000000028</v>
      </c>
      <c r="AB7" s="363">
        <f t="shared" si="3"/>
        <v>7.3081000000000103</v>
      </c>
      <c r="AC7" s="363">
        <f t="shared" si="4"/>
        <v>-23.650865219037598</v>
      </c>
      <c r="AD7" s="1079">
        <f t="shared" si="13"/>
        <v>113.18458745773965</v>
      </c>
      <c r="AE7" s="304">
        <v>110.974</v>
      </c>
      <c r="AF7" s="1077">
        <v>227.82645297857178</v>
      </c>
      <c r="AG7" s="143">
        <f t="shared" si="14"/>
        <v>8925.9627981239537</v>
      </c>
      <c r="AH7" s="401">
        <f t="shared" si="5"/>
        <v>0.76649172773615204</v>
      </c>
      <c r="AJ7" s="1079">
        <f t="shared" ref="AJ7:AJ9" si="15">1/AK7^0.5</f>
        <v>1.4142135623730949</v>
      </c>
      <c r="AK7" s="364">
        <v>0.5</v>
      </c>
    </row>
    <row r="8" spans="2:37" ht="15.75" customHeight="1" x14ac:dyDescent="0.35">
      <c r="B8" s="211">
        <v>4</v>
      </c>
      <c r="C8" s="212">
        <v>1344.8621932199999</v>
      </c>
      <c r="D8" s="237">
        <v>51.905000000000001</v>
      </c>
      <c r="E8" s="210">
        <v>40.009699999999995</v>
      </c>
      <c r="F8" s="310">
        <v>11.863199999999999</v>
      </c>
      <c r="G8" s="210">
        <v>27.186300000000003</v>
      </c>
      <c r="H8" s="378">
        <v>67.195999999999998</v>
      </c>
      <c r="I8" s="384">
        <v>2.6532463593600002</v>
      </c>
      <c r="J8" s="385">
        <v>0.54024615360000006</v>
      </c>
      <c r="K8" s="1051">
        <f t="shared" si="6"/>
        <v>100.85911576416001</v>
      </c>
      <c r="L8" s="393">
        <f t="shared" si="7"/>
        <v>8448.4711420245185</v>
      </c>
      <c r="M8" s="401">
        <f t="shared" si="8"/>
        <v>0.72548848665831811</v>
      </c>
      <c r="O8" s="237">
        <f>Shahrdary!C37</f>
        <v>51.670999999999999</v>
      </c>
      <c r="P8" s="240">
        <f>Shahrdary!J37</f>
        <v>76.372668353603601</v>
      </c>
      <c r="Q8" s="145">
        <f t="shared" si="9"/>
        <v>204.55655491829182</v>
      </c>
      <c r="R8" s="181">
        <f t="shared" si="10"/>
        <v>17212.291725178602</v>
      </c>
      <c r="S8" s="401">
        <f t="shared" si="0"/>
        <v>1.4780567117648893</v>
      </c>
      <c r="U8" s="363">
        <f t="shared" si="11"/>
        <v>-0.23400000000000176</v>
      </c>
      <c r="W8" s="305">
        <v>67.195999999999998</v>
      </c>
      <c r="X8" s="1077">
        <v>175.99920655006392</v>
      </c>
      <c r="Y8" s="143">
        <f t="shared" si="12"/>
        <v>11387.790069677019</v>
      </c>
      <c r="Z8" s="401">
        <f t="shared" si="1"/>
        <v>0.97789415920912293</v>
      </c>
      <c r="AA8" s="363">
        <f t="shared" si="2"/>
        <v>15.290999999999997</v>
      </c>
      <c r="AB8" s="363">
        <f t="shared" si="3"/>
        <v>15.524999999999999</v>
      </c>
      <c r="AC8" s="363">
        <f t="shared" si="4"/>
        <v>-28.557348368227906</v>
      </c>
      <c r="AD8" s="1079">
        <f t="shared" si="13"/>
        <v>65.710575922216222</v>
      </c>
      <c r="AE8" s="305">
        <v>67.195999999999998</v>
      </c>
      <c r="AF8" s="1077">
        <v>149.06105393423539</v>
      </c>
      <c r="AG8" s="143">
        <f t="shared" si="14"/>
        <v>9644.7934228897811</v>
      </c>
      <c r="AH8" s="401">
        <f t="shared" si="5"/>
        <v>0.82821926794528444</v>
      </c>
      <c r="AJ8" s="1079">
        <f t="shared" si="15"/>
        <v>1.1547005383792517</v>
      </c>
      <c r="AK8" s="364">
        <v>0.75</v>
      </c>
    </row>
    <row r="9" spans="2:37" ht="15.75" customHeight="1" x14ac:dyDescent="0.35">
      <c r="B9" s="213">
        <v>5</v>
      </c>
      <c r="C9" s="214">
        <v>1438.7992606</v>
      </c>
      <c r="D9" s="236">
        <v>44.6798</v>
      </c>
      <c r="E9" s="215">
        <v>36.645600000000002</v>
      </c>
      <c r="F9" s="375">
        <v>8.0442</v>
      </c>
      <c r="G9" s="215">
        <v>36.533699999999996</v>
      </c>
      <c r="H9" s="379">
        <v>73.179300000000012</v>
      </c>
      <c r="I9" s="386">
        <v>2.5150638412800004</v>
      </c>
      <c r="J9" s="387">
        <v>0.72599768640000018</v>
      </c>
      <c r="K9" s="1053">
        <f t="shared" si="6"/>
        <v>102.97356605568001</v>
      </c>
      <c r="L9" s="1054">
        <f t="shared" si="7"/>
        <v>10020.437798822424</v>
      </c>
      <c r="M9" s="1055">
        <f>L9*1000/31/24/3600*$K$1</f>
        <v>0.86047666283197344</v>
      </c>
      <c r="O9" s="236">
        <f>Shahrdary!C38</f>
        <v>45.249200000000002</v>
      </c>
      <c r="P9" s="239">
        <f>Shahrdary!J38</f>
        <v>73.086671126616082</v>
      </c>
      <c r="Q9" s="143">
        <f t="shared" si="9"/>
        <v>195.7553399455285</v>
      </c>
      <c r="R9" s="181">
        <f t="shared" si="10"/>
        <v>18809.397153457096</v>
      </c>
      <c r="S9" s="401">
        <f t="shared" si="0"/>
        <v>1.6152036086078003</v>
      </c>
      <c r="U9" s="363">
        <f t="shared" si="11"/>
        <v>0.56940000000000168</v>
      </c>
      <c r="W9" s="306">
        <v>73.179300000000012</v>
      </c>
      <c r="X9" s="1076">
        <v>176.82755430920616</v>
      </c>
      <c r="Y9" s="143">
        <f t="shared" si="12"/>
        <v>10505.914288853372</v>
      </c>
      <c r="Z9" s="401">
        <f t="shared" si="1"/>
        <v>0.90216557886659032</v>
      </c>
      <c r="AA9" s="363">
        <f t="shared" si="2"/>
        <v>28.499500000000012</v>
      </c>
      <c r="AB9" s="363">
        <f t="shared" si="3"/>
        <v>27.93010000000001</v>
      </c>
      <c r="AC9" s="363">
        <f t="shared" si="4"/>
        <v>-18.927785636322341</v>
      </c>
      <c r="AD9" s="1079">
        <f t="shared" si="13"/>
        <v>66.019845545551888</v>
      </c>
      <c r="AE9" s="306">
        <v>73.179300000000012</v>
      </c>
      <c r="AF9" s="1076">
        <v>180.97723939681589</v>
      </c>
      <c r="AG9" s="143">
        <f t="shared" si="14"/>
        <v>10752.460908957199</v>
      </c>
      <c r="AH9" s="401">
        <f t="shared" si="5"/>
        <v>0.92333707028828993</v>
      </c>
      <c r="AJ9" s="1079">
        <f t="shared" si="15"/>
        <v>1</v>
      </c>
      <c r="AK9" s="364">
        <v>1</v>
      </c>
    </row>
    <row r="10" spans="2:37" ht="15.75" customHeight="1" x14ac:dyDescent="0.35">
      <c r="B10" s="216">
        <v>6</v>
      </c>
      <c r="C10" s="212">
        <v>1874.0366138893</v>
      </c>
      <c r="D10" s="237">
        <v>78.962399999999988</v>
      </c>
      <c r="E10" s="210">
        <v>59.709499999999998</v>
      </c>
      <c r="F10" s="310">
        <v>19.350199999999997</v>
      </c>
      <c r="G10" s="210">
        <v>29.673200000000001</v>
      </c>
      <c r="H10" s="378">
        <v>89.3827</v>
      </c>
      <c r="I10" s="384">
        <v>4.2208297775999997</v>
      </c>
      <c r="J10" s="385">
        <v>0.58966583039999998</v>
      </c>
      <c r="K10" s="1051">
        <f t="shared" si="6"/>
        <v>151.15643504159999</v>
      </c>
      <c r="L10" s="393">
        <f t="shared" si="7"/>
        <v>8322.9725981633983</v>
      </c>
      <c r="M10" s="401">
        <f t="shared" si="8"/>
        <v>0.71471165530823688</v>
      </c>
      <c r="O10" s="237">
        <f>Shahrdary!C39</f>
        <v>78.499600000000001</v>
      </c>
      <c r="P10" s="240">
        <f>Shahrdary!J39</f>
        <v>103.37367076351237</v>
      </c>
      <c r="Q10" s="145">
        <f t="shared" si="9"/>
        <v>276.87603977299153</v>
      </c>
      <c r="R10" s="181">
        <f t="shared" si="10"/>
        <v>15335.222963916047</v>
      </c>
      <c r="S10" s="401">
        <f t="shared" si="0"/>
        <v>1.3168687581021099</v>
      </c>
      <c r="U10" s="363">
        <f t="shared" si="11"/>
        <v>-0.46279999999998722</v>
      </c>
      <c r="W10" s="304">
        <v>89.3827</v>
      </c>
      <c r="X10" s="1077">
        <v>257.27223765904404</v>
      </c>
      <c r="Y10" s="143">
        <f t="shared" si="12"/>
        <v>12514.445707543737</v>
      </c>
      <c r="Z10" s="401">
        <f t="shared" si="1"/>
        <v>1.0746425152087289</v>
      </c>
      <c r="AA10" s="363">
        <f t="shared" si="2"/>
        <v>10.420300000000012</v>
      </c>
      <c r="AB10" s="363">
        <f t="shared" si="3"/>
        <v>10.883099999999999</v>
      </c>
      <c r="AC10" s="363">
        <f t="shared" si="4"/>
        <v>-19.603802113947495</v>
      </c>
      <c r="AD10" s="1079">
        <f t="shared" si="13"/>
        <v>96.054449544147246</v>
      </c>
      <c r="AE10" s="304">
        <v>89.3827</v>
      </c>
      <c r="AF10" s="1077">
        <v>191.53170536113822</v>
      </c>
      <c r="AG10" s="143">
        <f t="shared" si="14"/>
        <v>9316.6411962094116</v>
      </c>
      <c r="AH10" s="401">
        <f t="shared" si="5"/>
        <v>0.80004012661595159</v>
      </c>
    </row>
    <row r="11" spans="2:37" ht="15.75" customHeight="1" x14ac:dyDescent="0.35">
      <c r="B11" s="216">
        <v>7</v>
      </c>
      <c r="C11" s="212">
        <v>4747.0846203999999</v>
      </c>
      <c r="D11" s="237">
        <v>452.69809999999995</v>
      </c>
      <c r="E11" s="210">
        <v>71.425500000000014</v>
      </c>
      <c r="F11" s="310">
        <v>381.32459999999998</v>
      </c>
      <c r="G11" s="210">
        <v>456.31417999999996</v>
      </c>
      <c r="H11" s="378">
        <v>527.73967999999991</v>
      </c>
      <c r="I11" s="384">
        <v>5.2853842656000003</v>
      </c>
      <c r="J11" s="385">
        <v>9.0678753849600007</v>
      </c>
      <c r="K11" s="1051">
        <f t="shared" si="6"/>
        <v>476.18484216000013</v>
      </c>
      <c r="L11" s="393">
        <f t="shared" si="7"/>
        <v>4573.3986490257457</v>
      </c>
      <c r="M11" s="401">
        <f>L11*1000/31/24/3600*$K$1</f>
        <v>0.39272763189811888</v>
      </c>
      <c r="O11" s="237">
        <f>Shahrdary!C40</f>
        <v>452.32499999999999</v>
      </c>
      <c r="P11" s="240">
        <f>Shahrdary!J40</f>
        <v>244.23370023666456</v>
      </c>
      <c r="Q11" s="145">
        <f t="shared" si="9"/>
        <v>654.15554271388237</v>
      </c>
      <c r="R11" s="181">
        <f t="shared" si="10"/>
        <v>6287.8561510830023</v>
      </c>
      <c r="S11" s="401">
        <f t="shared" si="0"/>
        <v>0.53995180508851937</v>
      </c>
      <c r="U11" s="363">
        <f t="shared" si="11"/>
        <v>-0.37309999999996535</v>
      </c>
      <c r="W11" s="304">
        <v>527.73967999999991</v>
      </c>
      <c r="X11" s="1077">
        <v>859.21665394478339</v>
      </c>
      <c r="Y11" s="143">
        <f>X11*1000/W11/$K$1</f>
        <v>7078.7259778696643</v>
      </c>
      <c r="Z11" s="401">
        <f t="shared" si="1"/>
        <v>0.60786550735887945</v>
      </c>
      <c r="AA11" s="363">
        <f t="shared" si="2"/>
        <v>75.041579999999954</v>
      </c>
      <c r="AB11" s="363">
        <f t="shared" si="3"/>
        <v>75.414679999999919</v>
      </c>
      <c r="AC11" s="363">
        <f t="shared" si="4"/>
        <v>205.06111123090102</v>
      </c>
      <c r="AD11" s="1079">
        <f t="shared" si="13"/>
        <v>320.79474833661266</v>
      </c>
      <c r="AE11" s="304">
        <v>527.73967999999991</v>
      </c>
      <c r="AF11" s="1077">
        <v>1472.194808930416</v>
      </c>
      <c r="AG11" s="143">
        <f>AF11*1000/AE11/$K$1</f>
        <v>12128.796143109108</v>
      </c>
      <c r="AH11" s="401">
        <f t="shared" si="5"/>
        <v>1.0415259531493037</v>
      </c>
    </row>
    <row r="12" spans="2:37" ht="15.75" customHeight="1" x14ac:dyDescent="0.35">
      <c r="B12" s="217">
        <v>8</v>
      </c>
      <c r="C12" s="218">
        <v>1932.14249877</v>
      </c>
      <c r="D12" s="238">
        <v>111.27279999999999</v>
      </c>
      <c r="E12" s="219">
        <v>41.583399999999997</v>
      </c>
      <c r="F12" s="376">
        <v>69.689400000000006</v>
      </c>
      <c r="G12" s="219">
        <v>63.570900000000009</v>
      </c>
      <c r="H12" s="380">
        <v>105.15430000000001</v>
      </c>
      <c r="I12" s="388">
        <v>2.9697880262399994</v>
      </c>
      <c r="J12" s="389">
        <v>1.2632809248000001</v>
      </c>
      <c r="K12" s="1056">
        <f t="shared" si="6"/>
        <v>135.57643844543998</v>
      </c>
      <c r="L12" s="1057">
        <f t="shared" si="7"/>
        <v>5297.4561244952856</v>
      </c>
      <c r="M12" s="1058">
        <f t="shared" si="8"/>
        <v>0.45490401308016565</v>
      </c>
      <c r="O12" s="238">
        <f>Shahrdary!C41</f>
        <v>188.93360000000001</v>
      </c>
      <c r="P12" s="241">
        <f>Shahrdary!J41</f>
        <v>171.85525629119167</v>
      </c>
      <c r="Q12" s="147">
        <f t="shared" si="9"/>
        <v>460.29711845032773</v>
      </c>
      <c r="R12" s="181">
        <f t="shared" si="10"/>
        <v>10592.567014809703</v>
      </c>
      <c r="S12" s="401">
        <f t="shared" si="0"/>
        <v>0.90960663582968626</v>
      </c>
      <c r="U12" s="363">
        <f>O12-D12</f>
        <v>77.660800000000023</v>
      </c>
      <c r="W12" s="305">
        <v>105.15430000000001</v>
      </c>
      <c r="X12" s="1078">
        <v>218.35233856934593</v>
      </c>
      <c r="Y12" s="143">
        <f t="shared" si="12"/>
        <v>9028.237492710854</v>
      </c>
      <c r="Z12" s="401">
        <f t="shared" si="1"/>
        <v>0.7752742769278288</v>
      </c>
      <c r="AA12" s="363">
        <f t="shared" si="2"/>
        <v>-6.1184999999999832</v>
      </c>
      <c r="AB12" s="363">
        <f t="shared" si="3"/>
        <v>-83.779300000000006</v>
      </c>
      <c r="AC12" s="363">
        <f t="shared" si="4"/>
        <v>-241.9447798809818</v>
      </c>
      <c r="AD12" s="1079">
        <f t="shared" si="13"/>
        <v>81.523423898351993</v>
      </c>
      <c r="AE12" s="305">
        <v>105.15430000000001</v>
      </c>
      <c r="AF12" s="1078">
        <v>222.25402516462569</v>
      </c>
      <c r="AG12" s="143">
        <f t="shared" ref="AG12:AG17" si="16">AF12*1000/AE12/$K$1</f>
        <v>9189.5609455994727</v>
      </c>
      <c r="AH12" s="401">
        <f t="shared" si="5"/>
        <v>0.78912747068693201</v>
      </c>
    </row>
    <row r="13" spans="2:37" ht="15.75" customHeight="1" x14ac:dyDescent="0.35">
      <c r="B13" s="213">
        <v>9</v>
      </c>
      <c r="C13" s="214">
        <v>4476.4872878700007</v>
      </c>
      <c r="D13" s="236">
        <v>386.35109999999997</v>
      </c>
      <c r="E13" s="215">
        <v>104.74079999999999</v>
      </c>
      <c r="F13" s="375">
        <v>281.61019999999996</v>
      </c>
      <c r="G13" s="215">
        <v>219.51930000000002</v>
      </c>
      <c r="H13" s="379">
        <v>324.26009999999997</v>
      </c>
      <c r="I13" s="386">
        <v>7.7299887772799991</v>
      </c>
      <c r="J13" s="387">
        <v>4.3622875295999997</v>
      </c>
      <c r="K13" s="1053">
        <f t="shared" si="6"/>
        <v>389.88622255967994</v>
      </c>
      <c r="L13" s="1054">
        <f t="shared" si="7"/>
        <v>4387.6088081279249</v>
      </c>
      <c r="M13" s="1055">
        <f t="shared" si="8"/>
        <v>0.37677345649246669</v>
      </c>
      <c r="O13" s="236">
        <f>Shahrdary!C42</f>
        <v>418.58800000000002</v>
      </c>
      <c r="P13" s="239">
        <f>Shahrdary!J42</f>
        <v>283.80500367592487</v>
      </c>
      <c r="Q13" s="180">
        <f t="shared" si="9"/>
        <v>760.14332184559714</v>
      </c>
      <c r="R13" s="181">
        <f t="shared" si="10"/>
        <v>7895.5224816432246</v>
      </c>
      <c r="S13" s="401">
        <f t="shared" si="0"/>
        <v>0.67800558944815625</v>
      </c>
      <c r="U13" s="363">
        <f t="shared" si="11"/>
        <v>32.236900000000048</v>
      </c>
      <c r="W13" s="306">
        <v>324.26009999999997</v>
      </c>
      <c r="X13" s="1076">
        <v>638.50031045349954</v>
      </c>
      <c r="Y13" s="143">
        <f t="shared" si="12"/>
        <v>8561.3009627751417</v>
      </c>
      <c r="Z13" s="401">
        <f t="shared" si="1"/>
        <v>0.7351774273589764</v>
      </c>
      <c r="AA13" s="363">
        <f t="shared" si="2"/>
        <v>-62.091000000000008</v>
      </c>
      <c r="AB13" s="363">
        <f t="shared" si="3"/>
        <v>-94.327900000000056</v>
      </c>
      <c r="AC13" s="363">
        <f t="shared" si="4"/>
        <v>-121.64301139209761</v>
      </c>
      <c r="AD13" s="1079">
        <f t="shared" si="13"/>
        <v>238.3887061131644</v>
      </c>
      <c r="AE13" s="306">
        <v>324.26009999999997</v>
      </c>
      <c r="AF13" s="1076">
        <v>730.25004107683571</v>
      </c>
      <c r="AG13" s="143">
        <f t="shared" si="16"/>
        <v>9791.5228503134913</v>
      </c>
      <c r="AH13" s="401">
        <f t="shared" si="5"/>
        <v>0.84081924117835394</v>
      </c>
    </row>
    <row r="14" spans="2:37" ht="15.75" customHeight="1" x14ac:dyDescent="0.35">
      <c r="B14" s="216">
        <v>10</v>
      </c>
      <c r="C14" s="212">
        <v>2335.6470562199997</v>
      </c>
      <c r="D14" s="237">
        <v>152.72400000000002</v>
      </c>
      <c r="E14" s="210">
        <v>85.889400000000009</v>
      </c>
      <c r="F14" s="310">
        <v>66.831400000000002</v>
      </c>
      <c r="G14" s="210">
        <v>103.98360000000001</v>
      </c>
      <c r="H14" s="378">
        <v>189.87299999999999</v>
      </c>
      <c r="I14" s="384">
        <v>6.1535799187200002</v>
      </c>
      <c r="J14" s="385">
        <v>2.0663620992</v>
      </c>
      <c r="K14" s="1051">
        <f t="shared" si="6"/>
        <v>261.93567200832001</v>
      </c>
      <c r="L14" s="393">
        <f t="shared" si="7"/>
        <v>7456.9206402547125</v>
      </c>
      <c r="M14" s="401">
        <f t="shared" si="8"/>
        <v>0.64034190085819287</v>
      </c>
      <c r="O14" s="237">
        <f>Shahrdary!C43</f>
        <v>157.22989999999999</v>
      </c>
      <c r="P14" s="240">
        <f>Shahrdary!J43</f>
        <v>170.62453565497094</v>
      </c>
      <c r="Q14" s="145">
        <f t="shared" si="9"/>
        <v>457.00075629827415</v>
      </c>
      <c r="R14" s="181">
        <f t="shared" si="10"/>
        <v>12637.289790252977</v>
      </c>
      <c r="S14" s="401">
        <f t="shared" si="0"/>
        <v>1.0851914022394655</v>
      </c>
      <c r="U14" s="363">
        <f t="shared" si="11"/>
        <v>4.5058999999999685</v>
      </c>
      <c r="W14" s="304">
        <v>189.87299999999999</v>
      </c>
      <c r="X14" s="1077">
        <v>448.82585958594086</v>
      </c>
      <c r="Y14" s="143">
        <f t="shared" si="12"/>
        <v>10277.484322723287</v>
      </c>
      <c r="Z14" s="401">
        <f t="shared" si="1"/>
        <v>0.88254980369860969</v>
      </c>
      <c r="AA14" s="363">
        <f t="shared" si="2"/>
        <v>37.148999999999972</v>
      </c>
      <c r="AB14" s="363">
        <f t="shared" si="3"/>
        <v>32.643100000000004</v>
      </c>
      <c r="AC14" s="363">
        <f t="shared" si="4"/>
        <v>-8.1748967123332932</v>
      </c>
      <c r="AD14" s="1079">
        <f t="shared" si="13"/>
        <v>167.5723788776661</v>
      </c>
      <c r="AE14" s="304">
        <v>189.87299999999999</v>
      </c>
      <c r="AF14" s="1077">
        <v>488.61358743500239</v>
      </c>
      <c r="AG14" s="143">
        <f t="shared" si="16"/>
        <v>11188.56763147638</v>
      </c>
      <c r="AH14" s="401">
        <f t="shared" si="5"/>
        <v>0.96078649762528645</v>
      </c>
    </row>
    <row r="15" spans="2:37" ht="15.75" customHeight="1" x14ac:dyDescent="0.35">
      <c r="B15" s="216">
        <v>11</v>
      </c>
      <c r="C15" s="212">
        <v>1536.0067049500001</v>
      </c>
      <c r="D15" s="237">
        <v>106.37909999999999</v>
      </c>
      <c r="E15" s="210">
        <v>88.141300000000001</v>
      </c>
      <c r="F15" s="310">
        <v>18.380800000000001</v>
      </c>
      <c r="G15" s="210">
        <v>33.464700000000001</v>
      </c>
      <c r="H15" s="378">
        <v>121.60599999999999</v>
      </c>
      <c r="I15" s="384">
        <v>6.1143661814400012</v>
      </c>
      <c r="J15" s="385">
        <v>0.66501051839999992</v>
      </c>
      <c r="K15" s="1051">
        <f t="shared" si="6"/>
        <v>212.45126948064004</v>
      </c>
      <c r="L15" s="393">
        <f t="shared" si="7"/>
        <v>8683.1075996596755</v>
      </c>
      <c r="M15" s="401">
        <f t="shared" si="8"/>
        <v>0.74563722667328469</v>
      </c>
      <c r="O15" s="237">
        <f>Shahrdary!C44</f>
        <v>109.6369</v>
      </c>
      <c r="P15" s="240">
        <f>Shahrdary!J44</f>
        <v>162.44113063927753</v>
      </c>
      <c r="Q15" s="179">
        <f t="shared" si="9"/>
        <v>435.08232430424096</v>
      </c>
      <c r="R15" s="181">
        <f t="shared" si="10"/>
        <v>17253.883314683797</v>
      </c>
      <c r="S15" s="401">
        <f t="shared" si="0"/>
        <v>1.4816282714968916</v>
      </c>
      <c r="U15" s="363">
        <f t="shared" si="11"/>
        <v>3.2578000000000031</v>
      </c>
      <c r="W15" s="304">
        <v>121.60599999999999</v>
      </c>
      <c r="X15" s="1077">
        <v>364.20895487912708</v>
      </c>
      <c r="Y15" s="143">
        <f t="shared" si="12"/>
        <v>13021.702836427803</v>
      </c>
      <c r="Z15" s="401">
        <f t="shared" si="1"/>
        <v>1.1182017818019694</v>
      </c>
      <c r="AA15" s="363">
        <f t="shared" si="2"/>
        <v>15.226900000000001</v>
      </c>
      <c r="AB15" s="363">
        <f t="shared" si="3"/>
        <v>11.969099999999997</v>
      </c>
      <c r="AC15" s="363">
        <f t="shared" si="4"/>
        <v>-70.873369425113879</v>
      </c>
      <c r="AD15" s="1079">
        <f t="shared" si="13"/>
        <v>135.98004587781028</v>
      </c>
      <c r="AE15" s="304">
        <v>121.60599999999999</v>
      </c>
      <c r="AF15" s="1077">
        <v>283.44532871264278</v>
      </c>
      <c r="AG15" s="143">
        <f t="shared" si="16"/>
        <v>10134.129848879124</v>
      </c>
      <c r="AH15" s="401">
        <f t="shared" si="5"/>
        <v>0.87023964502770246</v>
      </c>
    </row>
    <row r="16" spans="2:37" ht="15.75" customHeight="1" x14ac:dyDescent="0.35">
      <c r="B16" s="217">
        <v>12</v>
      </c>
      <c r="C16" s="218">
        <v>6506.3394571199997</v>
      </c>
      <c r="D16" s="238">
        <v>84.639399999999995</v>
      </c>
      <c r="E16" s="219">
        <v>30.643900000000002</v>
      </c>
      <c r="F16" s="376">
        <v>53.995500000000007</v>
      </c>
      <c r="G16" s="219">
        <v>93.114900000000006</v>
      </c>
      <c r="H16" s="380">
        <v>123.75879999999999</v>
      </c>
      <c r="I16" s="388">
        <v>2.3652720489600001</v>
      </c>
      <c r="J16" s="389">
        <v>1.8503792928</v>
      </c>
      <c r="K16" s="1056">
        <f t="shared" si="6"/>
        <v>137.05872026975999</v>
      </c>
      <c r="L16" s="1057">
        <f t="shared" si="7"/>
        <v>7040.5447041654252</v>
      </c>
      <c r="M16" s="1058">
        <f t="shared" si="8"/>
        <v>0.60458679881946231</v>
      </c>
      <c r="O16" s="238">
        <f>Shahrdary!C45</f>
        <v>85.521299999999997</v>
      </c>
      <c r="P16" s="241">
        <f>Shahrdary!J45</f>
        <v>89.606466077927749</v>
      </c>
      <c r="Q16" s="147">
        <f t="shared" si="9"/>
        <v>240.00195874312169</v>
      </c>
      <c r="R16" s="181">
        <f t="shared" si="10"/>
        <v>12201.484041332478</v>
      </c>
      <c r="S16" s="401">
        <f t="shared" si="0"/>
        <v>1.0477678201562388</v>
      </c>
      <c r="U16" s="363">
        <f t="shared" si="11"/>
        <v>0.88190000000000168</v>
      </c>
      <c r="W16" s="305">
        <v>123.75879999999999</v>
      </c>
      <c r="X16" s="1078">
        <v>237.15974286545435</v>
      </c>
      <c r="Y16" s="143">
        <f t="shared" si="12"/>
        <v>8331.7656344948664</v>
      </c>
      <c r="Z16" s="401">
        <f t="shared" si="1"/>
        <v>0.71546673235282987</v>
      </c>
      <c r="AA16" s="363">
        <f t="shared" si="2"/>
        <v>39.119399999999999</v>
      </c>
      <c r="AB16" s="363">
        <f t="shared" si="3"/>
        <v>38.237499999999997</v>
      </c>
      <c r="AC16" s="363">
        <f t="shared" si="4"/>
        <v>-2.8422158776673427</v>
      </c>
      <c r="AD16" s="1079">
        <f t="shared" si="13"/>
        <v>88.545304235907395</v>
      </c>
      <c r="AE16" s="305">
        <v>123.75879999999999</v>
      </c>
      <c r="AF16" s="1078">
        <v>294.33443420944087</v>
      </c>
      <c r="AG16" s="143">
        <f t="shared" si="16"/>
        <v>10340.395441337465</v>
      </c>
      <c r="AH16" s="401">
        <f t="shared" si="5"/>
        <v>0.88795211749836356</v>
      </c>
    </row>
    <row r="17" spans="2:34" ht="15.75" customHeight="1" x14ac:dyDescent="0.35">
      <c r="B17" s="216">
        <v>13</v>
      </c>
      <c r="C17" s="212">
        <v>356.46676357000001</v>
      </c>
      <c r="D17" s="237">
        <v>7.2237000000000009</v>
      </c>
      <c r="E17" s="210">
        <v>7.0731999999999999</v>
      </c>
      <c r="F17" s="310">
        <v>0.15049999999999999</v>
      </c>
      <c r="G17" s="210">
        <v>2.0960999999999999</v>
      </c>
      <c r="H17" s="378">
        <v>9.1692999999999998</v>
      </c>
      <c r="I17" s="384">
        <v>0.51769708416000004</v>
      </c>
      <c r="J17" s="385">
        <v>4.1653699199999991E-2</v>
      </c>
      <c r="K17" s="1051">
        <f t="shared" si="6"/>
        <v>17.48334813696</v>
      </c>
      <c r="L17" s="393">
        <f t="shared" si="7"/>
        <v>10522.939368636209</v>
      </c>
      <c r="M17" s="401">
        <f t="shared" si="8"/>
        <v>0.9036275592840235</v>
      </c>
      <c r="O17" s="237">
        <f>Shahrdary!C46</f>
        <v>7.2237</v>
      </c>
      <c r="P17" s="240">
        <f>Shahrdary!J46</f>
        <v>13.139682276843978</v>
      </c>
      <c r="Q17" s="145">
        <f t="shared" si="9"/>
        <v>35.193325010298921</v>
      </c>
      <c r="R17" s="181">
        <f t="shared" si="10"/>
        <v>21182.282842105433</v>
      </c>
      <c r="S17" s="401">
        <f t="shared" si="0"/>
        <v>1.8189684340218975</v>
      </c>
      <c r="U17" s="363">
        <f t="shared" si="11"/>
        <v>0</v>
      </c>
      <c r="W17" s="306">
        <v>9.1692999999999998</v>
      </c>
      <c r="X17" s="1077">
        <v>29.754771989121497</v>
      </c>
      <c r="Y17" s="143">
        <f t="shared" si="12"/>
        <v>14108.882233730563</v>
      </c>
      <c r="Z17" s="401">
        <f t="shared" si="1"/>
        <v>1.2115602276575679</v>
      </c>
      <c r="AA17" s="363">
        <f t="shared" si="2"/>
        <v>1.9455999999999989</v>
      </c>
      <c r="AB17" s="363">
        <f t="shared" si="3"/>
        <v>1.9455999999999998</v>
      </c>
      <c r="AC17" s="363">
        <f t="shared" si="4"/>
        <v>-5.4385530211774231</v>
      </c>
      <c r="AD17" s="1079">
        <f t="shared" si="13"/>
        <v>11.109159195460537</v>
      </c>
      <c r="AE17" s="306">
        <v>9.1692999999999998</v>
      </c>
      <c r="AF17" s="1077">
        <v>23.942188993663468</v>
      </c>
      <c r="AG17" s="143">
        <f t="shared" si="16"/>
        <v>11352.717643167238</v>
      </c>
      <c r="AH17" s="401">
        <f t="shared" si="5"/>
        <v>0.97488241410112952</v>
      </c>
    </row>
    <row r="18" spans="2:34" ht="15.75" customHeight="1" x14ac:dyDescent="0.35">
      <c r="B18" s="216"/>
      <c r="C18" s="220"/>
      <c r="D18" s="237">
        <v>0</v>
      </c>
      <c r="E18" s="210">
        <v>0</v>
      </c>
      <c r="F18" s="310">
        <v>0</v>
      </c>
      <c r="G18" s="210">
        <v>0</v>
      </c>
      <c r="H18" s="378">
        <v>0</v>
      </c>
      <c r="I18" s="384">
        <v>0</v>
      </c>
      <c r="J18" s="385">
        <v>0</v>
      </c>
      <c r="K18" s="1051">
        <f t="shared" si="6"/>
        <v>0</v>
      </c>
      <c r="L18" s="393"/>
      <c r="M18" s="401">
        <f t="shared" si="8"/>
        <v>0</v>
      </c>
      <c r="O18" s="237">
        <f>Shahrdary!C47</f>
        <v>0</v>
      </c>
      <c r="P18" s="240">
        <f>Shahrdary!J47</f>
        <v>0</v>
      </c>
      <c r="Q18" s="145">
        <f t="shared" si="9"/>
        <v>0</v>
      </c>
      <c r="R18" s="181"/>
      <c r="S18" s="401">
        <f t="shared" si="0"/>
        <v>0</v>
      </c>
      <c r="U18" s="363">
        <f t="shared" si="11"/>
        <v>0</v>
      </c>
      <c r="W18" s="304"/>
      <c r="X18" s="1077"/>
      <c r="Y18" s="143"/>
      <c r="Z18" s="401">
        <f t="shared" si="1"/>
        <v>0</v>
      </c>
      <c r="AA18" s="363">
        <f t="shared" si="2"/>
        <v>0</v>
      </c>
      <c r="AB18" s="363">
        <f t="shared" si="3"/>
        <v>0</v>
      </c>
      <c r="AC18" s="363">
        <f t="shared" si="4"/>
        <v>0</v>
      </c>
      <c r="AD18" s="1079">
        <f t="shared" si="13"/>
        <v>0</v>
      </c>
      <c r="AE18" s="304"/>
      <c r="AF18" s="1077"/>
      <c r="AG18" s="143"/>
      <c r="AH18" s="401">
        <f t="shared" si="5"/>
        <v>0</v>
      </c>
    </row>
    <row r="19" spans="2:34" ht="15.75" customHeight="1" x14ac:dyDescent="0.35">
      <c r="B19" s="216"/>
      <c r="C19" s="220"/>
      <c r="D19" s="237">
        <v>0</v>
      </c>
      <c r="E19" s="210">
        <v>0</v>
      </c>
      <c r="F19" s="310">
        <v>0</v>
      </c>
      <c r="G19" s="210">
        <v>0</v>
      </c>
      <c r="H19" s="378">
        <v>0</v>
      </c>
      <c r="I19" s="384">
        <v>0</v>
      </c>
      <c r="J19" s="385">
        <v>0</v>
      </c>
      <c r="K19" s="1051">
        <f t="shared" si="6"/>
        <v>0</v>
      </c>
      <c r="L19" s="393"/>
      <c r="M19" s="401">
        <f t="shared" si="8"/>
        <v>0</v>
      </c>
      <c r="O19" s="237">
        <f>Shahrdary!C48</f>
        <v>0</v>
      </c>
      <c r="P19" s="240">
        <f>Shahrdary!J48</f>
        <v>0</v>
      </c>
      <c r="Q19" s="145">
        <f t="shared" si="9"/>
        <v>0</v>
      </c>
      <c r="R19" s="181"/>
      <c r="S19" s="401">
        <f t="shared" si="0"/>
        <v>0</v>
      </c>
      <c r="U19" s="363">
        <f t="shared" si="11"/>
        <v>0</v>
      </c>
      <c r="W19" s="304">
        <v>0</v>
      </c>
      <c r="X19" s="1077"/>
      <c r="Y19" s="143"/>
      <c r="Z19" s="401">
        <f t="shared" si="1"/>
        <v>0</v>
      </c>
      <c r="AA19" s="363">
        <f t="shared" si="2"/>
        <v>0</v>
      </c>
      <c r="AB19" s="363">
        <f t="shared" si="3"/>
        <v>0</v>
      </c>
      <c r="AC19" s="363">
        <f t="shared" si="4"/>
        <v>0</v>
      </c>
      <c r="AD19" s="1079">
        <f t="shared" si="13"/>
        <v>0</v>
      </c>
      <c r="AE19" s="304">
        <v>0</v>
      </c>
      <c r="AF19" s="1077"/>
      <c r="AG19" s="143"/>
      <c r="AH19" s="401">
        <f t="shared" si="5"/>
        <v>0</v>
      </c>
    </row>
    <row r="20" spans="2:34" ht="15.75" customHeight="1" x14ac:dyDescent="0.35">
      <c r="B20" s="221">
        <v>16</v>
      </c>
      <c r="C20" s="222"/>
      <c r="D20" s="237">
        <v>33.664000000000001</v>
      </c>
      <c r="E20" s="223">
        <v>19.841699999999999</v>
      </c>
      <c r="F20" s="377">
        <v>13.8223</v>
      </c>
      <c r="G20" s="223">
        <v>25.686199999999999</v>
      </c>
      <c r="H20" s="381">
        <v>45.527900000000002</v>
      </c>
      <c r="I20" s="390">
        <v>1.1434533609600002</v>
      </c>
      <c r="J20" s="391">
        <v>0.5104361664</v>
      </c>
      <c r="K20" s="1051">
        <f t="shared" si="6"/>
        <v>53.028744365760005</v>
      </c>
      <c r="L20" s="393">
        <f t="shared" si="7"/>
        <v>6848.852130228137</v>
      </c>
      <c r="M20" s="401">
        <f t="shared" si="8"/>
        <v>0.58812574296313902</v>
      </c>
      <c r="O20" s="237">
        <f>Shahrdary!C49</f>
        <v>33.2012</v>
      </c>
      <c r="P20" s="240">
        <f>Shahrdary!J49</f>
        <v>37.895949482004404</v>
      </c>
      <c r="Q20" s="145">
        <f t="shared" si="9"/>
        <v>101.50051109260059</v>
      </c>
      <c r="R20" s="181">
        <f t="shared" si="10"/>
        <v>13291.886135676681</v>
      </c>
      <c r="S20" s="401">
        <f t="shared" si="0"/>
        <v>1.1414030059758205</v>
      </c>
      <c r="U20" s="363">
        <f t="shared" si="11"/>
        <v>-0.46280000000000143</v>
      </c>
      <c r="W20" s="305">
        <v>45.527900000000002</v>
      </c>
      <c r="X20" s="1077">
        <v>97.316457737346141</v>
      </c>
      <c r="Y20" s="143">
        <f t="shared" ref="Y20" si="17">X20*1000/W20/$K$1</f>
        <v>9293.5328368019455</v>
      </c>
      <c r="Z20" s="401">
        <f t="shared" si="1"/>
        <v>0.79805576182215032</v>
      </c>
      <c r="AA20" s="363">
        <f t="shared" si="2"/>
        <v>11.863900000000001</v>
      </c>
      <c r="AB20" s="363">
        <f t="shared" si="3"/>
        <v>12.326700000000002</v>
      </c>
      <c r="AC20" s="363">
        <f t="shared" si="4"/>
        <v>-4.1840533552544485</v>
      </c>
      <c r="AD20" s="1079">
        <f t="shared" si="13"/>
        <v>36.333802918662677</v>
      </c>
      <c r="AE20" s="305">
        <v>45.527900000000002</v>
      </c>
      <c r="AF20" s="1077">
        <v>74.605931358822588</v>
      </c>
      <c r="AG20" s="143">
        <f t="shared" ref="AG20" si="18">AF20*1000/AE20/$K$1</f>
        <v>7124.721645487195</v>
      </c>
      <c r="AH20" s="401">
        <f t="shared" si="5"/>
        <v>0.61181525480214116</v>
      </c>
    </row>
    <row r="21" spans="2:34" ht="25.5" customHeight="1" x14ac:dyDescent="0.35">
      <c r="B21" s="224"/>
      <c r="C21" s="225">
        <f>SUM(C5:C17)</f>
        <v>35186.681892760302</v>
      </c>
      <c r="D21" s="1052">
        <f t="shared" ref="D21:K21" si="19">SUM(D5:D20)</f>
        <v>1781.2623999999998</v>
      </c>
      <c r="E21" s="226">
        <f t="shared" si="19"/>
        <v>774.08519999999999</v>
      </c>
      <c r="F21" s="225">
        <f t="shared" si="19"/>
        <v>1007.7227</v>
      </c>
      <c r="G21" s="226">
        <f t="shared" si="19"/>
        <v>1210.9333800000002</v>
      </c>
      <c r="H21" s="382">
        <f t="shared" si="19"/>
        <v>1985.0185799999999</v>
      </c>
      <c r="I21" s="226">
        <f t="shared" si="19"/>
        <v>55.072259786880004</v>
      </c>
      <c r="J21" s="225">
        <f t="shared" si="19"/>
        <v>24.06366812736</v>
      </c>
      <c r="K21" s="1072">
        <f t="shared" si="19"/>
        <v>2536.0997333356804</v>
      </c>
      <c r="L21" s="1074">
        <f>ROUND(SUMPRODUCT(L5:L20,D5:D20)/D21,-1)</f>
        <v>6190</v>
      </c>
      <c r="M21" s="1073">
        <f>SUMPRODUCT(M5:M20,D5:D20)/D21</f>
        <v>0.53157309493910998</v>
      </c>
      <c r="O21" s="1059">
        <f>SUM(O5:O20)</f>
        <v>1903.1727000000001</v>
      </c>
      <c r="P21" s="1059">
        <f>SUM(P5:P20)</f>
        <v>1776.757908557599</v>
      </c>
      <c r="Q21" s="1072">
        <f>SUM(Q5:Q20)</f>
        <v>4758.8683822806734</v>
      </c>
      <c r="R21" s="1074">
        <f>ROUND(SUMPRODUCT(R5:R20,O5:O20)/O21,-1)</f>
        <v>10870</v>
      </c>
      <c r="S21" s="1073">
        <f>SUMPRODUCT(S5:S20,P5:P20)/P21</f>
        <v>1.0640229682953732</v>
      </c>
      <c r="W21" s="226">
        <f>SUM(W5:W17,W20)</f>
        <v>1985.0185799999999</v>
      </c>
      <c r="X21" s="1072">
        <f>SUM(X5:X17,X20)</f>
        <v>4352.7499665183877</v>
      </c>
      <c r="Y21" s="1074">
        <f>ROUND(SUMPRODUCT(Y5:Y20,W5:W20)/W21,-1)</f>
        <v>9530</v>
      </c>
      <c r="Z21" s="1073">
        <f>SUMPRODUCT(Z5:Z20,W5:W20)/W21</f>
        <v>0.81869796026255159</v>
      </c>
      <c r="AC21" s="372">
        <f>SUM(AC5:AC17,AC20)</f>
        <v>-406.11841576228545</v>
      </c>
      <c r="AE21" s="226">
        <f>SUM(AE5:AE17,AE20)</f>
        <v>1985.0185799999999</v>
      </c>
      <c r="AF21" s="1072">
        <f>SUM(AF5:AF17,AF20)</f>
        <v>4877.8356316432019</v>
      </c>
      <c r="AG21" s="1074">
        <f>ROUND(SUMPRODUCT(AG5:AG20,AE5:AE20)/AE21,-1)</f>
        <v>10680</v>
      </c>
      <c r="AH21" s="1073">
        <f>SUMPRODUCT(AH5:AH20,AE5:AE20)/AE21</f>
        <v>0.91746002247781866</v>
      </c>
    </row>
    <row r="22" spans="2:34" ht="28" x14ac:dyDescent="0.35">
      <c r="B22" s="365"/>
      <c r="C22" s="365" t="s">
        <v>148</v>
      </c>
      <c r="D22" s="365"/>
      <c r="E22" s="365" t="s">
        <v>149</v>
      </c>
      <c r="F22" s="365"/>
      <c r="G22" s="365"/>
      <c r="H22" s="365"/>
      <c r="I22" s="365"/>
      <c r="J22" s="365"/>
      <c r="K22" s="365">
        <f>K21/K1/1000</f>
        <v>11.02652057972035</v>
      </c>
      <c r="L22" s="365"/>
      <c r="M22" s="365"/>
      <c r="Q22" s="365">
        <f>Q21/K1/1000</f>
        <v>20.690732096872491</v>
      </c>
      <c r="R22" s="365"/>
      <c r="S22" s="1081">
        <f>+S21*P21</f>
        <v>1890.5112238057359</v>
      </c>
      <c r="W22" s="1014"/>
      <c r="X22" s="365">
        <f>X21/X1/1000</f>
        <v>18.653791612480088</v>
      </c>
      <c r="Z22" s="1081">
        <f>+Z21*W21</f>
        <v>1625.1306625292666</v>
      </c>
      <c r="AF22" s="365">
        <f>AF21/AE1/1000</f>
        <v>22.029864672938714</v>
      </c>
    </row>
    <row r="24" spans="2:34" ht="15.75" customHeight="1" x14ac:dyDescent="0.35">
      <c r="B24" s="245" t="s">
        <v>103</v>
      </c>
      <c r="C24" s="246"/>
      <c r="D24" s="247"/>
      <c r="E24" s="245" t="s">
        <v>104</v>
      </c>
      <c r="G24" s="245" t="s">
        <v>119</v>
      </c>
      <c r="H24" s="261"/>
      <c r="I24" s="1125" t="s">
        <v>120</v>
      </c>
      <c r="J24" s="1125"/>
      <c r="K24" s="1125"/>
      <c r="L24" s="1125"/>
      <c r="M24" s="1125"/>
      <c r="N24" s="1125"/>
    </row>
    <row r="25" spans="2:34" ht="15.75" customHeight="1" x14ac:dyDescent="0.35">
      <c r="B25" s="246"/>
      <c r="C25" s="246"/>
      <c r="D25" s="247"/>
      <c r="E25" s="248" t="s">
        <v>105</v>
      </c>
      <c r="G25" s="1128" t="s">
        <v>121</v>
      </c>
      <c r="H25" s="262"/>
      <c r="I25" s="1130" t="s">
        <v>122</v>
      </c>
      <c r="J25" s="1132" t="s">
        <v>121</v>
      </c>
      <c r="K25" s="311"/>
      <c r="L25" s="367"/>
      <c r="M25" s="370"/>
      <c r="N25" s="263" t="s">
        <v>123</v>
      </c>
    </row>
    <row r="26" spans="2:34" ht="15.75" customHeight="1" x14ac:dyDescent="0.35">
      <c r="B26" s="246"/>
      <c r="C26" s="246"/>
      <c r="D26" s="247"/>
      <c r="E26" s="249" t="s">
        <v>106</v>
      </c>
      <c r="G26" s="1129">
        <v>0</v>
      </c>
      <c r="H26" s="262"/>
      <c r="I26" s="1131">
        <v>0</v>
      </c>
      <c r="J26" s="1133">
        <v>0</v>
      </c>
      <c r="K26" s="312"/>
      <c r="L26" s="368"/>
      <c r="M26" s="371"/>
      <c r="N26" s="264" t="s">
        <v>124</v>
      </c>
    </row>
    <row r="27" spans="2:34" ht="15.75" customHeight="1" x14ac:dyDescent="0.35">
      <c r="B27" s="250" t="s">
        <v>107</v>
      </c>
      <c r="C27" s="251" t="e">
        <f ca="1">MATCH(B27,$C$21:$C$33,0)</f>
        <v>#N/A</v>
      </c>
      <c r="D27" s="247"/>
      <c r="E27" s="252">
        <v>1.0669999999999999</v>
      </c>
      <c r="G27" s="265" t="s">
        <v>118</v>
      </c>
      <c r="H27" s="266">
        <v>1</v>
      </c>
      <c r="I27" s="267">
        <v>1</v>
      </c>
      <c r="J27" s="268" t="s">
        <v>125</v>
      </c>
      <c r="K27" s="268"/>
      <c r="L27" s="268"/>
      <c r="M27" s="268"/>
      <c r="N27" s="269">
        <v>1.2</v>
      </c>
    </row>
    <row r="28" spans="2:34" ht="15.75" customHeight="1" x14ac:dyDescent="0.35">
      <c r="B28" s="250" t="s">
        <v>108</v>
      </c>
      <c r="C28" s="251" t="e">
        <f t="shared" ref="C28:C38" ca="1" si="20">MATCH(B28,$C$21:$C$33,0)</f>
        <v>#N/A</v>
      </c>
      <c r="D28" s="247"/>
      <c r="E28" s="253">
        <v>1.0669999999999999</v>
      </c>
      <c r="G28" s="270" t="s">
        <v>117</v>
      </c>
      <c r="H28" s="266">
        <v>2</v>
      </c>
      <c r="I28" s="271">
        <v>2</v>
      </c>
      <c r="J28" s="272" t="s">
        <v>126</v>
      </c>
      <c r="K28" s="272"/>
      <c r="L28" s="272"/>
      <c r="M28" s="272"/>
      <c r="N28" s="273">
        <v>1.2</v>
      </c>
    </row>
    <row r="29" spans="2:34" ht="15.75" customHeight="1" x14ac:dyDescent="0.35">
      <c r="B29" s="250" t="s">
        <v>109</v>
      </c>
      <c r="C29" s="251" t="e">
        <f t="shared" ca="1" si="20"/>
        <v>#N/A</v>
      </c>
      <c r="D29" s="247"/>
      <c r="E29" s="254">
        <v>1.0669999999999999</v>
      </c>
      <c r="G29" s="274" t="s">
        <v>108</v>
      </c>
      <c r="H29" s="266">
        <v>3</v>
      </c>
      <c r="I29" s="275">
        <v>3</v>
      </c>
      <c r="J29" s="276" t="s">
        <v>127</v>
      </c>
      <c r="K29" s="276"/>
      <c r="L29" s="276"/>
      <c r="M29" s="276"/>
      <c r="N29" s="277">
        <v>1.1499999999999999</v>
      </c>
    </row>
    <row r="30" spans="2:34" ht="15.75" customHeight="1" x14ac:dyDescent="0.35">
      <c r="B30" s="250" t="s">
        <v>110</v>
      </c>
      <c r="C30" s="251" t="e">
        <f t="shared" ca="1" si="20"/>
        <v>#N/A</v>
      </c>
      <c r="D30" s="247"/>
      <c r="E30" s="255">
        <v>1.0669999999999999</v>
      </c>
      <c r="G30" s="274" t="s">
        <v>107</v>
      </c>
      <c r="H30" s="266">
        <v>4</v>
      </c>
      <c r="I30" s="275">
        <v>4</v>
      </c>
      <c r="J30" s="276" t="s">
        <v>128</v>
      </c>
      <c r="K30" s="276"/>
      <c r="L30" s="276"/>
      <c r="M30" s="276"/>
      <c r="N30" s="277">
        <v>1.1000000000000001</v>
      </c>
    </row>
    <row r="31" spans="2:34" ht="15.75" customHeight="1" x14ac:dyDescent="0.35">
      <c r="B31" s="250" t="s">
        <v>111</v>
      </c>
      <c r="C31" s="251" t="e">
        <f t="shared" ca="1" si="20"/>
        <v>#N/A</v>
      </c>
      <c r="D31" s="247"/>
      <c r="E31" s="256">
        <v>1.0669999999999999</v>
      </c>
      <c r="G31" s="278" t="s">
        <v>114</v>
      </c>
      <c r="H31" s="266">
        <v>5</v>
      </c>
      <c r="I31" s="279">
        <v>5</v>
      </c>
      <c r="J31" s="280" t="s">
        <v>129</v>
      </c>
      <c r="K31" s="280"/>
      <c r="L31" s="280"/>
      <c r="M31" s="280"/>
      <c r="N31" s="281">
        <v>1.1000000000000001</v>
      </c>
    </row>
    <row r="32" spans="2:34" ht="15.75" customHeight="1" x14ac:dyDescent="0.35">
      <c r="B32" s="250" t="s">
        <v>112</v>
      </c>
      <c r="C32" s="251" t="e">
        <f t="shared" ca="1" si="20"/>
        <v>#N/A</v>
      </c>
      <c r="D32" s="247"/>
      <c r="E32" s="256">
        <v>1.0669999999999999</v>
      </c>
      <c r="G32" s="278" t="s">
        <v>113</v>
      </c>
      <c r="H32" s="266">
        <v>6</v>
      </c>
      <c r="I32" s="279">
        <v>6</v>
      </c>
      <c r="J32" s="280" t="s">
        <v>130</v>
      </c>
      <c r="K32" s="280"/>
      <c r="L32" s="280"/>
      <c r="M32" s="280"/>
      <c r="N32" s="281">
        <v>1.05</v>
      </c>
    </row>
    <row r="33" spans="2:14" ht="15.75" customHeight="1" x14ac:dyDescent="0.35">
      <c r="B33" s="250" t="s">
        <v>113</v>
      </c>
      <c r="C33" s="251" t="e">
        <f t="shared" ca="1" si="20"/>
        <v>#N/A</v>
      </c>
      <c r="D33" s="247"/>
      <c r="E33" s="257">
        <v>0.66700000000000004</v>
      </c>
      <c r="G33" s="282" t="s">
        <v>111</v>
      </c>
      <c r="H33" s="266">
        <v>8</v>
      </c>
      <c r="I33" s="283">
        <v>7</v>
      </c>
      <c r="J33" s="284" t="s">
        <v>131</v>
      </c>
      <c r="K33" s="284"/>
      <c r="L33" s="284"/>
      <c r="M33" s="284"/>
      <c r="N33" s="285">
        <v>1.05</v>
      </c>
    </row>
    <row r="34" spans="2:14" ht="15.75" customHeight="1" x14ac:dyDescent="0.35">
      <c r="B34" s="250" t="s">
        <v>114</v>
      </c>
      <c r="C34" s="251" t="e">
        <f t="shared" ca="1" si="20"/>
        <v>#N/A</v>
      </c>
      <c r="D34" s="247"/>
      <c r="E34" s="258">
        <v>0.66700000000000004</v>
      </c>
      <c r="G34" s="282" t="s">
        <v>110</v>
      </c>
      <c r="H34" s="266">
        <v>9</v>
      </c>
      <c r="I34" s="286">
        <v>8</v>
      </c>
      <c r="J34" s="287" t="s">
        <v>132</v>
      </c>
      <c r="K34" s="287"/>
      <c r="L34" s="287"/>
      <c r="M34" s="287"/>
      <c r="N34" s="288">
        <v>1</v>
      </c>
    </row>
    <row r="35" spans="2:14" ht="15.75" customHeight="1" x14ac:dyDescent="0.35">
      <c r="B35" s="250" t="s">
        <v>115</v>
      </c>
      <c r="C35" s="251" t="e">
        <f t="shared" ca="1" si="20"/>
        <v>#N/A</v>
      </c>
      <c r="D35" s="247"/>
      <c r="E35" s="258">
        <v>0.66700000000000004</v>
      </c>
      <c r="G35" s="282" t="s">
        <v>109</v>
      </c>
      <c r="H35" s="266">
        <v>10</v>
      </c>
      <c r="I35" s="286">
        <v>9</v>
      </c>
      <c r="J35" s="287" t="s">
        <v>133</v>
      </c>
      <c r="K35" s="287"/>
      <c r="L35" s="287"/>
      <c r="M35" s="287"/>
      <c r="N35" s="288">
        <v>0.9</v>
      </c>
    </row>
    <row r="36" spans="2:14" ht="15.75" customHeight="1" x14ac:dyDescent="0.35">
      <c r="B36" s="250" t="s">
        <v>116</v>
      </c>
      <c r="C36" s="251" t="e">
        <f t="shared" ca="1" si="20"/>
        <v>#N/A</v>
      </c>
      <c r="D36" s="247"/>
      <c r="E36" s="258">
        <v>0.66700000000000004</v>
      </c>
      <c r="G36" s="289" t="s">
        <v>112</v>
      </c>
      <c r="H36" s="266">
        <v>11</v>
      </c>
      <c r="I36" s="286">
        <v>10</v>
      </c>
      <c r="J36" s="287" t="s">
        <v>134</v>
      </c>
      <c r="K36" s="287"/>
      <c r="L36" s="287"/>
      <c r="M36" s="287"/>
      <c r="N36" s="288">
        <v>0.8</v>
      </c>
    </row>
    <row r="37" spans="2:14" ht="15.75" customHeight="1" x14ac:dyDescent="0.35">
      <c r="B37" s="250" t="s">
        <v>117</v>
      </c>
      <c r="C37" s="251" t="e">
        <f t="shared" ca="1" si="20"/>
        <v>#N/A</v>
      </c>
      <c r="D37" s="247"/>
      <c r="E37" s="259">
        <v>0.33400000000000002</v>
      </c>
      <c r="G37" s="290" t="s">
        <v>115</v>
      </c>
      <c r="H37" s="266">
        <v>12</v>
      </c>
      <c r="I37" s="291">
        <v>11</v>
      </c>
      <c r="J37" s="292" t="s">
        <v>135</v>
      </c>
      <c r="K37" s="292"/>
      <c r="L37" s="292"/>
      <c r="M37" s="292"/>
      <c r="N37" s="293">
        <v>1</v>
      </c>
    </row>
    <row r="38" spans="2:14" ht="15.75" customHeight="1" x14ac:dyDescent="0.35">
      <c r="B38" s="250" t="s">
        <v>118</v>
      </c>
      <c r="C38" s="251" t="e">
        <f t="shared" ca="1" si="20"/>
        <v>#N/A</v>
      </c>
      <c r="D38" s="247"/>
      <c r="E38" s="260">
        <v>0.23</v>
      </c>
      <c r="G38" s="294" t="s">
        <v>116</v>
      </c>
      <c r="H38" s="266">
        <v>12</v>
      </c>
      <c r="I38" s="295">
        <v>12</v>
      </c>
      <c r="J38" s="296" t="s">
        <v>116</v>
      </c>
      <c r="K38" s="296"/>
      <c r="L38" s="296"/>
      <c r="M38" s="296"/>
      <c r="N38" s="297">
        <v>1.05</v>
      </c>
    </row>
    <row r="39" spans="2:14" ht="15.75" customHeight="1" x14ac:dyDescent="0.35">
      <c r="B39" s="246"/>
      <c r="C39" s="246"/>
      <c r="D39" s="246"/>
      <c r="E39" s="246"/>
      <c r="G39" s="298">
        <v>0</v>
      </c>
      <c r="H39" s="266">
        <v>0</v>
      </c>
      <c r="I39" s="299">
        <v>13</v>
      </c>
      <c r="J39" s="300" t="s">
        <v>4</v>
      </c>
      <c r="K39" s="300"/>
      <c r="L39" s="300"/>
      <c r="M39" s="300"/>
      <c r="N39" s="301" t="s">
        <v>4</v>
      </c>
    </row>
    <row r="40" spans="2:14" ht="15.75" customHeight="1" thickBot="1" x14ac:dyDescent="0.4"/>
    <row r="41" spans="2:14" ht="15.75" customHeight="1" thickBot="1" x14ac:dyDescent="0.4">
      <c r="B41" s="1121" t="s">
        <v>10</v>
      </c>
      <c r="C41" s="308" t="s">
        <v>136</v>
      </c>
      <c r="D41" s="1122" t="s">
        <v>11</v>
      </c>
    </row>
    <row r="42" spans="2:14" ht="15.75" customHeight="1" thickBot="1" x14ac:dyDescent="0.4">
      <c r="B42" s="1121"/>
      <c r="C42" s="309" t="s">
        <v>137</v>
      </c>
      <c r="D42" s="1122"/>
    </row>
    <row r="43" spans="2:14" ht="15.75" customHeight="1" x14ac:dyDescent="0.35">
      <c r="B43" s="313">
        <v>1</v>
      </c>
      <c r="C43" s="242" t="e">
        <f>#REF!</f>
        <v>#REF!</v>
      </c>
      <c r="D43" s="314" t="e">
        <f>#REF!</f>
        <v>#REF!</v>
      </c>
      <c r="E43" s="304">
        <v>42.587899999999998</v>
      </c>
    </row>
    <row r="44" spans="2:14" ht="15.75" customHeight="1" x14ac:dyDescent="0.35">
      <c r="B44" s="315">
        <v>2</v>
      </c>
      <c r="C44" s="243" t="e">
        <f>#REF!</f>
        <v>#REF!</v>
      </c>
      <c r="D44" s="316" t="e">
        <f>#REF!</f>
        <v>#REF!</v>
      </c>
      <c r="E44" s="304">
        <v>125.1786</v>
      </c>
    </row>
    <row r="45" spans="2:14" ht="15.75" customHeight="1" x14ac:dyDescent="0.35">
      <c r="B45" s="315">
        <f t="shared" ref="B45:B58" si="21">B19</f>
        <v>0</v>
      </c>
      <c r="C45" s="243" t="e">
        <f>#REF!</f>
        <v>#REF!</v>
      </c>
      <c r="D45" s="316" t="e">
        <f>#REF!</f>
        <v>#REF!</v>
      </c>
      <c r="E45" s="304">
        <v>103.99939999999999</v>
      </c>
    </row>
    <row r="46" spans="2:14" ht="15.75" customHeight="1" thickBot="1" x14ac:dyDescent="0.4">
      <c r="B46" s="317">
        <f t="shared" si="21"/>
        <v>16</v>
      </c>
      <c r="C46" s="244" t="e">
        <f>#REF!</f>
        <v>#REF!</v>
      </c>
      <c r="D46" s="318" t="e">
        <f>#REF!</f>
        <v>#REF!</v>
      </c>
      <c r="E46" s="305">
        <v>52.1325</v>
      </c>
    </row>
    <row r="47" spans="2:14" ht="15.75" customHeight="1" x14ac:dyDescent="0.35">
      <c r="B47" s="313">
        <f t="shared" si="21"/>
        <v>0</v>
      </c>
      <c r="C47" s="242" t="e">
        <f>#REF!</f>
        <v>#REF!</v>
      </c>
      <c r="D47" s="314" t="e">
        <f>#REF!</f>
        <v>#REF!</v>
      </c>
      <c r="E47" s="306">
        <v>44.6798</v>
      </c>
    </row>
    <row r="48" spans="2:14" ht="15.75" customHeight="1" x14ac:dyDescent="0.35">
      <c r="B48" s="315">
        <f t="shared" si="21"/>
        <v>0</v>
      </c>
      <c r="C48" s="243" t="e">
        <f>#REF!</f>
        <v>#REF!</v>
      </c>
      <c r="D48" s="316" t="e">
        <f>#REF!</f>
        <v>#REF!</v>
      </c>
      <c r="E48" s="304">
        <v>79.698599999999999</v>
      </c>
    </row>
    <row r="49" spans="2:5" ht="15.75" customHeight="1" x14ac:dyDescent="0.35">
      <c r="B49" s="315">
        <f t="shared" si="21"/>
        <v>0</v>
      </c>
      <c r="C49" s="243" t="e">
        <f>#REF!</f>
        <v>#REF!</v>
      </c>
      <c r="D49" s="316" t="e">
        <f>#REF!</f>
        <v>#REF!</v>
      </c>
      <c r="E49" s="304">
        <v>529.63679999999999</v>
      </c>
    </row>
    <row r="50" spans="2:5" ht="15.75" customHeight="1" thickBot="1" x14ac:dyDescent="0.4">
      <c r="B50" s="317" t="str">
        <f t="shared" si="21"/>
        <v>ترتیب بانک</v>
      </c>
      <c r="C50" s="244" t="e">
        <f>#REF!</f>
        <v>#REF!</v>
      </c>
      <c r="D50" s="318" t="e">
        <f>#REF!</f>
        <v>#REF!</v>
      </c>
      <c r="E50" s="305">
        <v>111.2728</v>
      </c>
    </row>
    <row r="51" spans="2:5" ht="15.75" customHeight="1" x14ac:dyDescent="0.35">
      <c r="B51" s="313">
        <f t="shared" si="21"/>
        <v>0</v>
      </c>
      <c r="C51" s="242" t="e">
        <f>#REF!</f>
        <v>#REF!</v>
      </c>
      <c r="D51" s="314" t="e">
        <f>#REF!</f>
        <v>#REF!</v>
      </c>
      <c r="E51" s="306">
        <v>393.52850000000001</v>
      </c>
    </row>
    <row r="52" spans="2:5" ht="15.75" customHeight="1" x14ac:dyDescent="0.35">
      <c r="B52" s="315">
        <f t="shared" si="21"/>
        <v>0</v>
      </c>
      <c r="C52" s="243" t="e">
        <f>#REF!</f>
        <v>#REF!</v>
      </c>
      <c r="D52" s="316" t="e">
        <f>#REF!</f>
        <v>#REF!</v>
      </c>
      <c r="E52" s="304">
        <v>153.48150000000001</v>
      </c>
    </row>
    <row r="53" spans="2:5" ht="15.75" customHeight="1" x14ac:dyDescent="0.35">
      <c r="B53" s="315" t="str">
        <f t="shared" si="21"/>
        <v>آیلند ها</v>
      </c>
      <c r="C53" s="243" t="e">
        <f>#REF!</f>
        <v>#REF!</v>
      </c>
      <c r="D53" s="316" t="e">
        <f>#REF!</f>
        <v>#REF!</v>
      </c>
      <c r="E53" s="304">
        <v>106.5814</v>
      </c>
    </row>
    <row r="54" spans="2:5" ht="15.75" customHeight="1" thickBot="1" x14ac:dyDescent="0.4">
      <c r="B54" s="317" t="str">
        <f t="shared" si="21"/>
        <v>آیلند های بزرگراه</v>
      </c>
      <c r="C54" s="244" t="e">
        <f>#REF!</f>
        <v>#REF!</v>
      </c>
      <c r="D54" s="318" t="e">
        <f>#REF!</f>
        <v>#REF!</v>
      </c>
      <c r="E54" s="305">
        <v>87.462000000000003</v>
      </c>
    </row>
    <row r="55" spans="2:5" ht="15.75" customHeight="1" x14ac:dyDescent="0.35">
      <c r="B55" s="313" t="str">
        <f t="shared" si="21"/>
        <v>پارک های بالای 10 هکتار</v>
      </c>
      <c r="C55" s="242" t="e">
        <f>#REF!</f>
        <v>#REF!</v>
      </c>
      <c r="D55" s="314" t="e">
        <f>#REF!</f>
        <v>#REF!</v>
      </c>
      <c r="E55" s="306">
        <v>7.2237</v>
      </c>
    </row>
    <row r="56" spans="2:5" ht="15.75" customHeight="1" x14ac:dyDescent="0.35">
      <c r="B56" s="315" t="str">
        <f t="shared" si="21"/>
        <v>پارک های بین 6 تا 10 هکتار</v>
      </c>
      <c r="C56" s="243" t="e">
        <f>#REF!</f>
        <v>#REF!</v>
      </c>
      <c r="D56" s="316" t="e">
        <f>#REF!</f>
        <v>#REF!</v>
      </c>
      <c r="E56" s="304"/>
    </row>
    <row r="57" spans="2:5" ht="15.75" customHeight="1" x14ac:dyDescent="0.35">
      <c r="B57" s="315" t="str">
        <f t="shared" si="21"/>
        <v>پارک های زیر 6 هکتار</v>
      </c>
      <c r="C57" s="243" t="e">
        <f>#REF!</f>
        <v>#REF!</v>
      </c>
      <c r="D57" s="316" t="e">
        <f>#REF!</f>
        <v>#REF!</v>
      </c>
      <c r="E57" s="304"/>
    </row>
    <row r="58" spans="2:5" ht="15.75" customHeight="1" thickBot="1" x14ac:dyDescent="0.4">
      <c r="B58" s="317" t="str">
        <f t="shared" si="21"/>
        <v>جنگل کاری داخل محدوده</v>
      </c>
      <c r="C58" s="244" t="e">
        <f>#REF!</f>
        <v>#REF!</v>
      </c>
      <c r="D58" s="318" t="e">
        <f>#REF!</f>
        <v>#REF!</v>
      </c>
      <c r="E58" s="305">
        <v>33.664000000000001</v>
      </c>
    </row>
    <row r="59" spans="2:5" ht="15.75" customHeight="1" thickBot="1" x14ac:dyDescent="0.4">
      <c r="B59" s="317"/>
      <c r="C59" s="319" t="e">
        <f>SUM(C43:C55,C58)</f>
        <v>#REF!</v>
      </c>
      <c r="D59" s="318"/>
      <c r="E59" s="307">
        <f>SUM(E43:E55,E58)</f>
        <v>1871.1275000000001</v>
      </c>
    </row>
    <row r="60" spans="2:5" ht="15.75" customHeight="1" thickBot="1" x14ac:dyDescent="0.4">
      <c r="B60" s="320" t="s">
        <v>138</v>
      </c>
      <c r="C60" s="321" t="e">
        <f>SUM(C43:C58)</f>
        <v>#REF!</v>
      </c>
      <c r="D60" s="322" t="e">
        <f>SUM(D43:D58)</f>
        <v>#REF!</v>
      </c>
    </row>
  </sheetData>
  <mergeCells count="8">
    <mergeCell ref="B41:B42"/>
    <mergeCell ref="D41:D42"/>
    <mergeCell ref="B3:B4"/>
    <mergeCell ref="I24:N24"/>
    <mergeCell ref="I4:J4"/>
    <mergeCell ref="G25:G26"/>
    <mergeCell ref="I25:I26"/>
    <mergeCell ref="J25:J26"/>
  </mergeCells>
  <conditionalFormatting sqref="C18:C20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6 O6:O12">
    <cfRule type="expression" dxfId="200" priority="218">
      <formula>IF(#REF!&lt;&gt;#REF!,1,0)</formula>
    </cfRule>
  </conditionalFormatting>
  <conditionalFormatting sqref="O5">
    <cfRule type="expression" dxfId="199" priority="215">
      <formula>IF(#REF!&lt;&gt;#REF!,1,0)</formula>
    </cfRule>
  </conditionalFormatting>
  <conditionalFormatting sqref="O5">
    <cfRule type="expression" dxfId="198" priority="214">
      <formula>IF(#REF!&lt;&gt;#REF!,1,0)</formula>
    </cfRule>
  </conditionalFormatting>
  <conditionalFormatting sqref="O13:O15">
    <cfRule type="expression" dxfId="197" priority="212">
      <formula>IF(#REF!&lt;&gt;#REF!,1,0)</formula>
    </cfRule>
  </conditionalFormatting>
  <conditionalFormatting sqref="O13:O15">
    <cfRule type="expression" dxfId="196" priority="211">
      <formula>IF(#REF!&lt;&gt;#REF!,1,0)</formula>
    </cfRule>
  </conditionalFormatting>
  <conditionalFormatting sqref="O17:O20">
    <cfRule type="expression" dxfId="195" priority="209">
      <formula>IF(#REF!&lt;&gt;#REF!,1,0)</formula>
    </cfRule>
  </conditionalFormatting>
  <conditionalFormatting sqref="Q13:Q16">
    <cfRule type="expression" dxfId="194" priority="208">
      <formula>IF(#REF!&lt;&gt;#REF!,1,0)</formula>
    </cfRule>
  </conditionalFormatting>
  <conditionalFormatting sqref="Q5:R5 Q6:Q16 R6:R20">
    <cfRule type="expression" dxfId="193" priority="207">
      <formula>IF(#REF!&lt;&gt;#REF!,1,0)</formula>
    </cfRule>
  </conditionalFormatting>
  <conditionalFormatting sqref="Q13:Q16">
    <cfRule type="expression" dxfId="192" priority="206">
      <formula>IF(#REF!&lt;&gt;#REF!,1,0)</formula>
    </cfRule>
  </conditionalFormatting>
  <conditionalFormatting sqref="Q5:R5 Q6:Q12 R6:R20">
    <cfRule type="expression" dxfId="191" priority="205">
      <formula>IF(#REF!&lt;&gt;#REF!,1,0)</formula>
    </cfRule>
  </conditionalFormatting>
  <conditionalFormatting sqref="Q5:R5 Q6:Q12 R6:R20">
    <cfRule type="expression" dxfId="190" priority="204">
      <formula>IF(#REF!&lt;&gt;#REF!,1,0)</formula>
    </cfRule>
  </conditionalFormatting>
  <conditionalFormatting sqref="Q17:Q20">
    <cfRule type="expression" dxfId="189" priority="203">
      <formula>IF(#REF!&lt;&gt;#REF!,1,0)</formula>
    </cfRule>
  </conditionalFormatting>
  <conditionalFormatting sqref="Q17:Q20">
    <cfRule type="expression" dxfId="188" priority="202">
      <formula>IF(#REF!&lt;&gt;#REF!,1,0)</formula>
    </cfRule>
  </conditionalFormatting>
  <conditionalFormatting sqref="Q17:Q20">
    <cfRule type="expression" dxfId="187" priority="201">
      <formula>IF(#REF!&lt;&gt;#REF!,1,0)</formula>
    </cfRule>
  </conditionalFormatting>
  <conditionalFormatting sqref="Q15">
    <cfRule type="expression" dxfId="186" priority="200">
      <formula>IF(#REF!&lt;&gt;#REF!,1,0)</formula>
    </cfRule>
  </conditionalFormatting>
  <conditionalFormatting sqref="Q15">
    <cfRule type="expression" dxfId="185" priority="199">
      <formula>IF(#REF!&lt;&gt;#REF!,1,0)</formula>
    </cfRule>
  </conditionalFormatting>
  <conditionalFormatting sqref="P16 P6:P12">
    <cfRule type="expression" dxfId="184" priority="197">
      <formula>IF(#REF!&lt;&gt;#REF!,1,0)</formula>
    </cfRule>
  </conditionalFormatting>
  <conditionalFormatting sqref="P5">
    <cfRule type="expression" dxfId="183" priority="194">
      <formula>IF(#REF!&lt;&gt;#REF!,1,0)</formula>
    </cfRule>
  </conditionalFormatting>
  <conditionalFormatting sqref="P5">
    <cfRule type="expression" dxfId="182" priority="193">
      <formula>IF(#REF!&lt;&gt;#REF!,1,0)</formula>
    </cfRule>
  </conditionalFormatting>
  <conditionalFormatting sqref="P13:P15">
    <cfRule type="expression" dxfId="181" priority="191">
      <formula>IF(#REF!&lt;&gt;#REF!,1,0)</formula>
    </cfRule>
  </conditionalFormatting>
  <conditionalFormatting sqref="P13:P15">
    <cfRule type="expression" dxfId="180" priority="190">
      <formula>IF(#REF!&lt;&gt;#REF!,1,0)</formula>
    </cfRule>
  </conditionalFormatting>
  <conditionalFormatting sqref="P17:P20">
    <cfRule type="expression" dxfId="179" priority="188">
      <formula>IF(#REF!&lt;&gt;#REF!,1,0)</formula>
    </cfRule>
  </conditionalFormatting>
  <conditionalFormatting sqref="D16 D6:D12">
    <cfRule type="expression" dxfId="178" priority="186">
      <formula>IF(#REF!&lt;&gt;#REF!,1,0)</formula>
    </cfRule>
  </conditionalFormatting>
  <conditionalFormatting sqref="D5">
    <cfRule type="expression" dxfId="177" priority="183">
      <formula>IF(#REF!&lt;&gt;#REF!,1,0)</formula>
    </cfRule>
  </conditionalFormatting>
  <conditionalFormatting sqref="D5">
    <cfRule type="expression" dxfId="176" priority="182">
      <formula>IF(#REF!&lt;&gt;#REF!,1,0)</formula>
    </cfRule>
  </conditionalFormatting>
  <conditionalFormatting sqref="D13:D15">
    <cfRule type="expression" dxfId="175" priority="180">
      <formula>IF(#REF!&lt;&gt;#REF!,1,0)</formula>
    </cfRule>
  </conditionalFormatting>
  <conditionalFormatting sqref="D13:D15">
    <cfRule type="expression" dxfId="174" priority="179">
      <formula>IF(#REF!&lt;&gt;#REF!,1,0)</formula>
    </cfRule>
  </conditionalFormatting>
  <conditionalFormatting sqref="D17:D20">
    <cfRule type="expression" dxfId="173" priority="177">
      <formula>IF(#REF!&lt;&gt;#REF!,1,0)</formula>
    </cfRule>
  </conditionalFormatting>
  <conditionalFormatting sqref="W5:W20">
    <cfRule type="dataBar" priority="1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{25786216-D40A-45B3-B00C-E0267DBC40DE}</x14:id>
        </ext>
      </extLst>
    </cfRule>
  </conditionalFormatting>
  <conditionalFormatting sqref="D43:D55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:E58">
    <cfRule type="dataBar" priority="1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{FD1F71FE-24DB-4EEC-99C0-FE6B99F2A872}</x14:id>
        </ext>
      </extLst>
    </cfRule>
  </conditionalFormatting>
  <conditionalFormatting sqref="U5:U20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:AB20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3:Z16">
    <cfRule type="expression" dxfId="172" priority="171">
      <formula>IF(#REF!&lt;&gt;#REF!,1,0)</formula>
    </cfRule>
  </conditionalFormatting>
  <conditionalFormatting sqref="Y5:Z19 Z22">
    <cfRule type="expression" dxfId="171" priority="170">
      <formula>IF(#REF!&lt;&gt;#REF!,1,0)</formula>
    </cfRule>
  </conditionalFormatting>
  <conditionalFormatting sqref="Y13:Z16">
    <cfRule type="expression" dxfId="170" priority="169">
      <formula>IF(#REF!&lt;&gt;#REF!,1,0)</formula>
    </cfRule>
  </conditionalFormatting>
  <conditionalFormatting sqref="Y5:Z19 Z22">
    <cfRule type="expression" dxfId="169" priority="168">
      <formula>IF(#REF!&lt;&gt;#REF!,1,0)</formula>
    </cfRule>
  </conditionalFormatting>
  <conditionalFormatting sqref="Y5:Z19 Z22">
    <cfRule type="expression" dxfId="168" priority="167">
      <formula>IF(#REF!&lt;&gt;#REF!,1,0)</formula>
    </cfRule>
  </conditionalFormatting>
  <conditionalFormatting sqref="Y17:Z19 Z22">
    <cfRule type="expression" dxfId="167" priority="166">
      <formula>IF(#REF!&lt;&gt;#REF!,1,0)</formula>
    </cfRule>
  </conditionalFormatting>
  <conditionalFormatting sqref="Y17:Z19 Z22">
    <cfRule type="expression" dxfId="166" priority="165">
      <formula>IF(#REF!&lt;&gt;#REF!,1,0)</formula>
    </cfRule>
  </conditionalFormatting>
  <conditionalFormatting sqref="Y17:Z19 Z22">
    <cfRule type="expression" dxfId="165" priority="164">
      <formula>IF(#REF!&lt;&gt;#REF!,1,0)</formula>
    </cfRule>
  </conditionalFormatting>
  <conditionalFormatting sqref="Y15:Z15">
    <cfRule type="expression" dxfId="164" priority="163">
      <formula>IF(#REF!&lt;&gt;#REF!,1,0)</formula>
    </cfRule>
  </conditionalFormatting>
  <conditionalFormatting sqref="Y15:Z15">
    <cfRule type="expression" dxfId="163" priority="162">
      <formula>IF(#REF!&lt;&gt;#REF!,1,0)</formula>
    </cfRule>
  </conditionalFormatting>
  <conditionalFormatting sqref="Y5:Y19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20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">
    <cfRule type="expression" dxfId="162" priority="149">
      <formula>IF(#REF!&lt;&gt;#REF!,1,0)</formula>
    </cfRule>
  </conditionalFormatting>
  <conditionalFormatting sqref="R21">
    <cfRule type="expression" dxfId="161" priority="148">
      <formula>IF(#REF!&lt;&gt;#REF!,1,0)</formula>
    </cfRule>
  </conditionalFormatting>
  <conditionalFormatting sqref="R21">
    <cfRule type="expression" dxfId="160" priority="147">
      <formula>IF(#REF!&lt;&gt;#REF!,1,0)</formula>
    </cfRule>
  </conditionalFormatting>
  <conditionalFormatting sqref="R21">
    <cfRule type="expression" dxfId="159" priority="146">
      <formula>IF(#REF!&lt;&gt;#REF!,1,0)</formula>
    </cfRule>
  </conditionalFormatting>
  <conditionalFormatting sqref="R21">
    <cfRule type="expression" dxfId="158" priority="145">
      <formula>IF(#REF!&lt;&gt;#REF!,1,0)</formula>
    </cfRule>
  </conditionalFormatting>
  <conditionalFormatting sqref="X13:X16">
    <cfRule type="expression" dxfId="157" priority="144">
      <formula>IF(#REF!&lt;&gt;#REF!,1,0)</formula>
    </cfRule>
  </conditionalFormatting>
  <conditionalFormatting sqref="X5:X16">
    <cfRule type="expression" dxfId="156" priority="143">
      <formula>IF(#REF!&lt;&gt;#REF!,1,0)</formula>
    </cfRule>
  </conditionalFormatting>
  <conditionalFormatting sqref="X13:X16">
    <cfRule type="expression" dxfId="155" priority="142">
      <formula>IF(#REF!&lt;&gt;#REF!,1,0)</formula>
    </cfRule>
  </conditionalFormatting>
  <conditionalFormatting sqref="X5:X12">
    <cfRule type="expression" dxfId="154" priority="141">
      <formula>IF(#REF!&lt;&gt;#REF!,1,0)</formula>
    </cfRule>
  </conditionalFormatting>
  <conditionalFormatting sqref="X5:X12">
    <cfRule type="expression" dxfId="153" priority="140">
      <formula>IF(#REF!&lt;&gt;#REF!,1,0)</formula>
    </cfRule>
  </conditionalFormatting>
  <conditionalFormatting sqref="X17:X20">
    <cfRule type="expression" dxfId="152" priority="139">
      <formula>IF(#REF!&lt;&gt;#REF!,1,0)</formula>
    </cfRule>
  </conditionalFormatting>
  <conditionalFormatting sqref="X17:X20">
    <cfRule type="expression" dxfId="151" priority="138">
      <formula>IF(#REF!&lt;&gt;#REF!,1,0)</formula>
    </cfRule>
  </conditionalFormatting>
  <conditionalFormatting sqref="X17:X20">
    <cfRule type="expression" dxfId="150" priority="137">
      <formula>IF(#REF!&lt;&gt;#REF!,1,0)</formula>
    </cfRule>
  </conditionalFormatting>
  <conditionalFormatting sqref="X15">
    <cfRule type="expression" dxfId="149" priority="136">
      <formula>IF(#REF!&lt;&gt;#REF!,1,0)</formula>
    </cfRule>
  </conditionalFormatting>
  <conditionalFormatting sqref="X15">
    <cfRule type="expression" dxfId="148" priority="135">
      <formula>IF(#REF!&lt;&gt;#REF!,1,0)</formula>
    </cfRule>
  </conditionalFormatting>
  <conditionalFormatting sqref="R5:R20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:Z20 Z22">
    <cfRule type="expression" dxfId="147" priority="133">
      <formula>IF(#REF!&lt;&gt;#REF!,1,0)</formula>
    </cfRule>
  </conditionalFormatting>
  <conditionalFormatting sqref="Z5:Z20 Z22">
    <cfRule type="expression" dxfId="146" priority="132">
      <formula>IF(#REF!&lt;&gt;#REF!,1,0)</formula>
    </cfRule>
  </conditionalFormatting>
  <conditionalFormatting sqref="Z5:Z20 Z22">
    <cfRule type="expression" dxfId="145" priority="131">
      <formula>IF(#REF!&lt;&gt;#REF!,1,0)</formula>
    </cfRule>
  </conditionalFormatting>
  <conditionalFormatting sqref="M5:M20">
    <cfRule type="expression" dxfId="144" priority="127">
      <formula>IF(#REF!&lt;&gt;#REF!,1,0)</formula>
    </cfRule>
  </conditionalFormatting>
  <conditionalFormatting sqref="M5:M20">
    <cfRule type="expression" dxfId="143" priority="126">
      <formula>IF(#REF!&lt;&gt;#REF!,1,0)</formula>
    </cfRule>
  </conditionalFormatting>
  <conditionalFormatting sqref="M5:M20">
    <cfRule type="expression" dxfId="142" priority="125">
      <formula>IF(#REF!&lt;&gt;#REF!,1,0)</formula>
    </cfRule>
  </conditionalFormatting>
  <conditionalFormatting sqref="O12:P20 O5:P10 D5:D10 D12:D20">
    <cfRule type="expression" dxfId="141" priority="1999">
      <formula>IF(#REF!&lt;&gt;#REF!,1,0)</formula>
    </cfRule>
  </conditionalFormatting>
  <conditionalFormatting sqref="O11:P11 D11">
    <cfRule type="expression" dxfId="140" priority="2002">
      <formula>IF(#REF!&lt;&gt;#REF!,1,0)</formula>
    </cfRule>
  </conditionalFormatting>
  <conditionalFormatting sqref="S13:S16">
    <cfRule type="expression" dxfId="139" priority="108">
      <formula>IF(#REF!&lt;&gt;#REF!,1,0)</formula>
    </cfRule>
  </conditionalFormatting>
  <conditionalFormatting sqref="S5:S19">
    <cfRule type="expression" dxfId="138" priority="107">
      <formula>IF(#REF!&lt;&gt;#REF!,1,0)</formula>
    </cfRule>
  </conditionalFormatting>
  <conditionalFormatting sqref="S13:S16">
    <cfRule type="expression" dxfId="137" priority="106">
      <formula>IF(#REF!&lt;&gt;#REF!,1,0)</formula>
    </cfRule>
  </conditionalFormatting>
  <conditionalFormatting sqref="S5:S19">
    <cfRule type="expression" dxfId="136" priority="105">
      <formula>IF(#REF!&lt;&gt;#REF!,1,0)</formula>
    </cfRule>
  </conditionalFormatting>
  <conditionalFormatting sqref="S5:S19">
    <cfRule type="expression" dxfId="135" priority="104">
      <formula>IF(#REF!&lt;&gt;#REF!,1,0)</formula>
    </cfRule>
  </conditionalFormatting>
  <conditionalFormatting sqref="S17:S19">
    <cfRule type="expression" dxfId="134" priority="103">
      <formula>IF(#REF!&lt;&gt;#REF!,1,0)</formula>
    </cfRule>
  </conditionalFormatting>
  <conditionalFormatting sqref="S17:S19">
    <cfRule type="expression" dxfId="133" priority="102">
      <formula>IF(#REF!&lt;&gt;#REF!,1,0)</formula>
    </cfRule>
  </conditionalFormatting>
  <conditionalFormatting sqref="S17:S19">
    <cfRule type="expression" dxfId="132" priority="101">
      <formula>IF(#REF!&lt;&gt;#REF!,1,0)</formula>
    </cfRule>
  </conditionalFormatting>
  <conditionalFormatting sqref="S15">
    <cfRule type="expression" dxfId="131" priority="100">
      <formula>IF(#REF!&lt;&gt;#REF!,1,0)</formula>
    </cfRule>
  </conditionalFormatting>
  <conditionalFormatting sqref="S15">
    <cfRule type="expression" dxfId="130" priority="99">
      <formula>IF(#REF!&lt;&gt;#REF!,1,0)</formula>
    </cfRule>
  </conditionalFormatting>
  <conditionalFormatting sqref="S21">
    <cfRule type="expression" dxfId="129" priority="98">
      <formula>IF(#REF!&lt;&gt;#REF!,1,0)</formula>
    </cfRule>
  </conditionalFormatting>
  <conditionalFormatting sqref="S21">
    <cfRule type="expression" dxfId="128" priority="97">
      <formula>IF(#REF!&lt;&gt;#REF!,1,0)</formula>
    </cfRule>
  </conditionalFormatting>
  <conditionalFormatting sqref="S21">
    <cfRule type="expression" dxfId="127" priority="96">
      <formula>IF(#REF!&lt;&gt;#REF!,1,0)</formula>
    </cfRule>
  </conditionalFormatting>
  <conditionalFormatting sqref="S21">
    <cfRule type="expression" dxfId="126" priority="95">
      <formula>IF(#REF!&lt;&gt;#REF!,1,0)</formula>
    </cfRule>
  </conditionalFormatting>
  <conditionalFormatting sqref="S21">
    <cfRule type="expression" dxfId="125" priority="94">
      <formula>IF(#REF!&lt;&gt;#REF!,1,0)</formula>
    </cfRule>
  </conditionalFormatting>
  <conditionalFormatting sqref="S5:S20">
    <cfRule type="expression" dxfId="124" priority="93">
      <formula>IF(#REF!&lt;&gt;#REF!,1,0)</formula>
    </cfRule>
  </conditionalFormatting>
  <conditionalFormatting sqref="S5:S20">
    <cfRule type="expression" dxfId="123" priority="92">
      <formula>IF(#REF!&lt;&gt;#REF!,1,0)</formula>
    </cfRule>
  </conditionalFormatting>
  <conditionalFormatting sqref="S5:S20">
    <cfRule type="expression" dxfId="122" priority="91">
      <formula>IF(#REF!&lt;&gt;#REF!,1,0)</formula>
    </cfRule>
  </conditionalFormatting>
  <conditionalFormatting sqref="S21">
    <cfRule type="expression" dxfId="121" priority="90">
      <formula>IF(#REF!&lt;&gt;#REF!,1,0)</formula>
    </cfRule>
  </conditionalFormatting>
  <conditionalFormatting sqref="S21">
    <cfRule type="expression" dxfId="120" priority="89">
      <formula>IF(#REF!&lt;&gt;#REF!,1,0)</formula>
    </cfRule>
  </conditionalFormatting>
  <conditionalFormatting sqref="S21">
    <cfRule type="expression" dxfId="119" priority="88">
      <formula>IF(#REF!&lt;&gt;#REF!,1,0)</formula>
    </cfRule>
  </conditionalFormatting>
  <conditionalFormatting sqref="L21">
    <cfRule type="expression" dxfId="118" priority="87">
      <formula>IF(#REF!&lt;&gt;#REF!,1,0)</formula>
    </cfRule>
  </conditionalFormatting>
  <conditionalFormatting sqref="L21">
    <cfRule type="expression" dxfId="117" priority="86">
      <formula>IF(#REF!&lt;&gt;#REF!,1,0)</formula>
    </cfRule>
  </conditionalFormatting>
  <conditionalFormatting sqref="L21">
    <cfRule type="expression" dxfId="116" priority="85">
      <formula>IF(#REF!&lt;&gt;#REF!,1,0)</formula>
    </cfRule>
  </conditionalFormatting>
  <conditionalFormatting sqref="L21">
    <cfRule type="expression" dxfId="115" priority="84">
      <formula>IF(#REF!&lt;&gt;#REF!,1,0)</formula>
    </cfRule>
  </conditionalFormatting>
  <conditionalFormatting sqref="L21">
    <cfRule type="expression" dxfId="114" priority="83">
      <formula>IF(#REF!&lt;&gt;#REF!,1,0)</formula>
    </cfRule>
  </conditionalFormatting>
  <conditionalFormatting sqref="M21">
    <cfRule type="expression" dxfId="113" priority="82">
      <formula>IF(#REF!&lt;&gt;#REF!,1,0)</formula>
    </cfRule>
  </conditionalFormatting>
  <conditionalFormatting sqref="M21">
    <cfRule type="expression" dxfId="112" priority="81">
      <formula>IF(#REF!&lt;&gt;#REF!,1,0)</formula>
    </cfRule>
  </conditionalFormatting>
  <conditionalFormatting sqref="M21">
    <cfRule type="expression" dxfId="111" priority="80">
      <formula>IF(#REF!&lt;&gt;#REF!,1,0)</formula>
    </cfRule>
  </conditionalFormatting>
  <conditionalFormatting sqref="M21">
    <cfRule type="expression" dxfId="110" priority="79">
      <formula>IF(#REF!&lt;&gt;#REF!,1,0)</formula>
    </cfRule>
  </conditionalFormatting>
  <conditionalFormatting sqref="M21">
    <cfRule type="expression" dxfId="109" priority="78">
      <formula>IF(#REF!&lt;&gt;#REF!,1,0)</formula>
    </cfRule>
  </conditionalFormatting>
  <conditionalFormatting sqref="M21">
    <cfRule type="expression" dxfId="108" priority="77">
      <formula>IF(#REF!&lt;&gt;#REF!,1,0)</formula>
    </cfRule>
  </conditionalFormatting>
  <conditionalFormatting sqref="M21">
    <cfRule type="expression" dxfId="107" priority="76">
      <formula>IF(#REF!&lt;&gt;#REF!,1,0)</formula>
    </cfRule>
  </conditionalFormatting>
  <conditionalFormatting sqref="M21">
    <cfRule type="expression" dxfId="106" priority="75">
      <formula>IF(#REF!&lt;&gt;#REF!,1,0)</formula>
    </cfRule>
  </conditionalFormatting>
  <conditionalFormatting sqref="Y21">
    <cfRule type="expression" dxfId="105" priority="74">
      <formula>IF(#REF!&lt;&gt;#REF!,1,0)</formula>
    </cfRule>
  </conditionalFormatting>
  <conditionalFormatting sqref="Y21">
    <cfRule type="expression" dxfId="104" priority="73">
      <formula>IF(#REF!&lt;&gt;#REF!,1,0)</formula>
    </cfRule>
  </conditionalFormatting>
  <conditionalFormatting sqref="Y21">
    <cfRule type="expression" dxfId="103" priority="72">
      <formula>IF(#REF!&lt;&gt;#REF!,1,0)</formula>
    </cfRule>
  </conditionalFormatting>
  <conditionalFormatting sqref="Y21">
    <cfRule type="expression" dxfId="102" priority="71">
      <formula>IF(#REF!&lt;&gt;#REF!,1,0)</formula>
    </cfRule>
  </conditionalFormatting>
  <conditionalFormatting sqref="Y21">
    <cfRule type="expression" dxfId="101" priority="70">
      <formula>IF(#REF!&lt;&gt;#REF!,1,0)</formula>
    </cfRule>
  </conditionalFormatting>
  <conditionalFormatting sqref="Z21">
    <cfRule type="expression" dxfId="100" priority="69">
      <formula>IF(#REF!&lt;&gt;#REF!,1,0)</formula>
    </cfRule>
  </conditionalFormatting>
  <conditionalFormatting sqref="Z21">
    <cfRule type="expression" dxfId="99" priority="68">
      <formula>IF(#REF!&lt;&gt;#REF!,1,0)</formula>
    </cfRule>
  </conditionalFormatting>
  <conditionalFormatting sqref="Z21">
    <cfRule type="expression" dxfId="98" priority="67">
      <formula>IF(#REF!&lt;&gt;#REF!,1,0)</formula>
    </cfRule>
  </conditionalFormatting>
  <conditionalFormatting sqref="Z21">
    <cfRule type="expression" dxfId="97" priority="66">
      <formula>IF(#REF!&lt;&gt;#REF!,1,0)</formula>
    </cfRule>
  </conditionalFormatting>
  <conditionalFormatting sqref="Z21">
    <cfRule type="expression" dxfId="96" priority="65">
      <formula>IF(#REF!&lt;&gt;#REF!,1,0)</formula>
    </cfRule>
  </conditionalFormatting>
  <conditionalFormatting sqref="Z21">
    <cfRule type="expression" dxfId="95" priority="64">
      <formula>IF(#REF!&lt;&gt;#REF!,1,0)</formula>
    </cfRule>
  </conditionalFormatting>
  <conditionalFormatting sqref="Z21">
    <cfRule type="expression" dxfId="94" priority="63">
      <formula>IF(#REF!&lt;&gt;#REF!,1,0)</formula>
    </cfRule>
  </conditionalFormatting>
  <conditionalFormatting sqref="Z21">
    <cfRule type="expression" dxfId="93" priority="62">
      <formula>IF(#REF!&lt;&gt;#REF!,1,0)</formula>
    </cfRule>
  </conditionalFormatting>
  <conditionalFormatting sqref="Y20">
    <cfRule type="expression" dxfId="92" priority="61">
      <formula>IF(#REF!&lt;&gt;#REF!,1,0)</formula>
    </cfRule>
  </conditionalFormatting>
  <conditionalFormatting sqref="Y20">
    <cfRule type="expression" dxfId="91" priority="60">
      <formula>IF(#REF!&lt;&gt;#REF!,1,0)</formula>
    </cfRule>
  </conditionalFormatting>
  <conditionalFormatting sqref="Y20">
    <cfRule type="expression" dxfId="90" priority="59">
      <formula>IF(#REF!&lt;&gt;#REF!,1,0)</formula>
    </cfRule>
  </conditionalFormatting>
  <conditionalFormatting sqref="Y20">
    <cfRule type="expression" dxfId="89" priority="58">
      <formula>IF(#REF!&lt;&gt;#REF!,1,0)</formula>
    </cfRule>
  </conditionalFormatting>
  <conditionalFormatting sqref="Y20">
    <cfRule type="expression" dxfId="88" priority="57">
      <formula>IF(#REF!&lt;&gt;#REF!,1,0)</formula>
    </cfRule>
  </conditionalFormatting>
  <conditionalFormatting sqref="Y20">
    <cfRule type="expression" dxfId="87" priority="56">
      <formula>IF(#REF!&lt;&gt;#REF!,1,0)</formula>
    </cfRule>
  </conditionalFormatting>
  <conditionalFormatting sqref="Y2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20">
    <cfRule type="dataBar" priority="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{27EFF188-B17E-49F7-BD52-2DA1EB833F2A}</x14:id>
        </ext>
      </extLst>
    </cfRule>
  </conditionalFormatting>
  <conditionalFormatting sqref="AG13:AH16">
    <cfRule type="expression" dxfId="86" priority="53">
      <formula>IF(#REF!&lt;&gt;#REF!,1,0)</formula>
    </cfRule>
  </conditionalFormatting>
  <conditionalFormatting sqref="AG5:AH19">
    <cfRule type="expression" dxfId="85" priority="52">
      <formula>IF(#REF!&lt;&gt;#REF!,1,0)</formula>
    </cfRule>
  </conditionalFormatting>
  <conditionalFormatting sqref="AG13:AH16">
    <cfRule type="expression" dxfId="84" priority="51">
      <formula>IF(#REF!&lt;&gt;#REF!,1,0)</formula>
    </cfRule>
  </conditionalFormatting>
  <conditionalFormatting sqref="AG5:AH19">
    <cfRule type="expression" dxfId="83" priority="50">
      <formula>IF(#REF!&lt;&gt;#REF!,1,0)</formula>
    </cfRule>
  </conditionalFormatting>
  <conditionalFormatting sqref="AG5:AH19">
    <cfRule type="expression" dxfId="82" priority="49">
      <formula>IF(#REF!&lt;&gt;#REF!,1,0)</formula>
    </cfRule>
  </conditionalFormatting>
  <conditionalFormatting sqref="AG17:AH19">
    <cfRule type="expression" dxfId="81" priority="48">
      <formula>IF(#REF!&lt;&gt;#REF!,1,0)</formula>
    </cfRule>
  </conditionalFormatting>
  <conditionalFormatting sqref="AG17:AH19">
    <cfRule type="expression" dxfId="80" priority="47">
      <formula>IF(#REF!&lt;&gt;#REF!,1,0)</formula>
    </cfRule>
  </conditionalFormatting>
  <conditionalFormatting sqref="AG17:AH19">
    <cfRule type="expression" dxfId="79" priority="46">
      <formula>IF(#REF!&lt;&gt;#REF!,1,0)</formula>
    </cfRule>
  </conditionalFormatting>
  <conditionalFormatting sqref="AG15:AH15">
    <cfRule type="expression" dxfId="78" priority="45">
      <formula>IF(#REF!&lt;&gt;#REF!,1,0)</formula>
    </cfRule>
  </conditionalFormatting>
  <conditionalFormatting sqref="AG15:AH15">
    <cfRule type="expression" dxfId="77" priority="44">
      <formula>IF(#REF!&lt;&gt;#REF!,1,0)</formula>
    </cfRule>
  </conditionalFormatting>
  <conditionalFormatting sqref="AG5:AG19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3:AF16">
    <cfRule type="expression" dxfId="76" priority="42">
      <formula>IF(#REF!&lt;&gt;#REF!,1,0)</formula>
    </cfRule>
  </conditionalFormatting>
  <conditionalFormatting sqref="AF5:AF16">
    <cfRule type="expression" dxfId="75" priority="41">
      <formula>IF(#REF!&lt;&gt;#REF!,1,0)</formula>
    </cfRule>
  </conditionalFormatting>
  <conditionalFormatting sqref="AF13:AF16">
    <cfRule type="expression" dxfId="74" priority="40">
      <formula>IF(#REF!&lt;&gt;#REF!,1,0)</formula>
    </cfRule>
  </conditionalFormatting>
  <conditionalFormatting sqref="AF5:AF12">
    <cfRule type="expression" dxfId="73" priority="39">
      <formula>IF(#REF!&lt;&gt;#REF!,1,0)</formula>
    </cfRule>
  </conditionalFormatting>
  <conditionalFormatting sqref="AF5:AF12">
    <cfRule type="expression" dxfId="72" priority="38">
      <formula>IF(#REF!&lt;&gt;#REF!,1,0)</formula>
    </cfRule>
  </conditionalFormatting>
  <conditionalFormatting sqref="AF17:AF20">
    <cfRule type="expression" dxfId="71" priority="37">
      <formula>IF(#REF!&lt;&gt;#REF!,1,0)</formula>
    </cfRule>
  </conditionalFormatting>
  <conditionalFormatting sqref="AF17:AF20">
    <cfRule type="expression" dxfId="70" priority="36">
      <formula>IF(#REF!&lt;&gt;#REF!,1,0)</formula>
    </cfRule>
  </conditionalFormatting>
  <conditionalFormatting sqref="AF17:AF20">
    <cfRule type="expression" dxfId="69" priority="35">
      <formula>IF(#REF!&lt;&gt;#REF!,1,0)</formula>
    </cfRule>
  </conditionalFormatting>
  <conditionalFormatting sqref="AF15">
    <cfRule type="expression" dxfId="68" priority="34">
      <formula>IF(#REF!&lt;&gt;#REF!,1,0)</formula>
    </cfRule>
  </conditionalFormatting>
  <conditionalFormatting sqref="AF15">
    <cfRule type="expression" dxfId="67" priority="33">
      <formula>IF(#REF!&lt;&gt;#REF!,1,0)</formula>
    </cfRule>
  </conditionalFormatting>
  <conditionalFormatting sqref="AH5:AH20">
    <cfRule type="expression" dxfId="66" priority="32">
      <formula>IF(#REF!&lt;&gt;#REF!,1,0)</formula>
    </cfRule>
  </conditionalFormatting>
  <conditionalFormatting sqref="AH5:AH20">
    <cfRule type="expression" dxfId="65" priority="31">
      <formula>IF(#REF!&lt;&gt;#REF!,1,0)</formula>
    </cfRule>
  </conditionalFormatting>
  <conditionalFormatting sqref="AH5:AH20">
    <cfRule type="expression" dxfId="64" priority="30">
      <formula>IF(#REF!&lt;&gt;#REF!,1,0)</formula>
    </cfRule>
  </conditionalFormatting>
  <conditionalFormatting sqref="AG21">
    <cfRule type="expression" dxfId="63" priority="29">
      <formula>IF(#REF!&lt;&gt;#REF!,1,0)</formula>
    </cfRule>
  </conditionalFormatting>
  <conditionalFormatting sqref="AG21">
    <cfRule type="expression" dxfId="62" priority="28">
      <formula>IF(#REF!&lt;&gt;#REF!,1,0)</formula>
    </cfRule>
  </conditionalFormatting>
  <conditionalFormatting sqref="AG21">
    <cfRule type="expression" dxfId="61" priority="27">
      <formula>IF(#REF!&lt;&gt;#REF!,1,0)</formula>
    </cfRule>
  </conditionalFormatting>
  <conditionalFormatting sqref="AG21">
    <cfRule type="expression" dxfId="60" priority="26">
      <formula>IF(#REF!&lt;&gt;#REF!,1,0)</formula>
    </cfRule>
  </conditionalFormatting>
  <conditionalFormatting sqref="AG21">
    <cfRule type="expression" dxfId="59" priority="25">
      <formula>IF(#REF!&lt;&gt;#REF!,1,0)</formula>
    </cfRule>
  </conditionalFormatting>
  <conditionalFormatting sqref="AH21">
    <cfRule type="expression" dxfId="58" priority="24">
      <formula>IF(#REF!&lt;&gt;#REF!,1,0)</formula>
    </cfRule>
  </conditionalFormatting>
  <conditionalFormatting sqref="AH21">
    <cfRule type="expression" dxfId="57" priority="23">
      <formula>IF(#REF!&lt;&gt;#REF!,1,0)</formula>
    </cfRule>
  </conditionalFormatting>
  <conditionalFormatting sqref="AH21">
    <cfRule type="expression" dxfId="56" priority="22">
      <formula>IF(#REF!&lt;&gt;#REF!,1,0)</formula>
    </cfRule>
  </conditionalFormatting>
  <conditionalFormatting sqref="AH21">
    <cfRule type="expression" dxfId="55" priority="21">
      <formula>IF(#REF!&lt;&gt;#REF!,1,0)</formula>
    </cfRule>
  </conditionalFormatting>
  <conditionalFormatting sqref="AH21">
    <cfRule type="expression" dxfId="54" priority="20">
      <formula>IF(#REF!&lt;&gt;#REF!,1,0)</formula>
    </cfRule>
  </conditionalFormatting>
  <conditionalFormatting sqref="AH21">
    <cfRule type="expression" dxfId="53" priority="19">
      <formula>IF(#REF!&lt;&gt;#REF!,1,0)</formula>
    </cfRule>
  </conditionalFormatting>
  <conditionalFormatting sqref="AH21">
    <cfRule type="expression" dxfId="52" priority="18">
      <formula>IF(#REF!&lt;&gt;#REF!,1,0)</formula>
    </cfRule>
  </conditionalFormatting>
  <conditionalFormatting sqref="AH21">
    <cfRule type="expression" dxfId="51" priority="17">
      <formula>IF(#REF!&lt;&gt;#REF!,1,0)</formula>
    </cfRule>
  </conditionalFormatting>
  <conditionalFormatting sqref="AG20">
    <cfRule type="expression" dxfId="50" priority="16">
      <formula>IF(#REF!&lt;&gt;#REF!,1,0)</formula>
    </cfRule>
  </conditionalFormatting>
  <conditionalFormatting sqref="AG20">
    <cfRule type="expression" dxfId="49" priority="15">
      <formula>IF(#REF!&lt;&gt;#REF!,1,0)</formula>
    </cfRule>
  </conditionalFormatting>
  <conditionalFormatting sqref="AG20">
    <cfRule type="expression" dxfId="48" priority="14">
      <formula>IF(#REF!&lt;&gt;#REF!,1,0)</formula>
    </cfRule>
  </conditionalFormatting>
  <conditionalFormatting sqref="AG20">
    <cfRule type="expression" dxfId="47" priority="13">
      <formula>IF(#REF!&lt;&gt;#REF!,1,0)</formula>
    </cfRule>
  </conditionalFormatting>
  <conditionalFormatting sqref="AG20">
    <cfRule type="expression" dxfId="46" priority="12">
      <formula>IF(#REF!&lt;&gt;#REF!,1,0)</formula>
    </cfRule>
  </conditionalFormatting>
  <conditionalFormatting sqref="AG20">
    <cfRule type="expression" dxfId="45" priority="11">
      <formula>IF(#REF!&lt;&gt;#REF!,1,0)</formula>
    </cfRule>
  </conditionalFormatting>
  <conditionalFormatting sqref="AG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">
    <cfRule type="expression" dxfId="44" priority="9">
      <formula>IF(#REF!&lt;&gt;#REF!,1,0)</formula>
    </cfRule>
  </conditionalFormatting>
  <conditionalFormatting sqref="S22">
    <cfRule type="expression" dxfId="43" priority="8">
      <formula>IF(#REF!&lt;&gt;#REF!,1,0)</formula>
    </cfRule>
  </conditionalFormatting>
  <conditionalFormatting sqref="S22">
    <cfRule type="expression" dxfId="42" priority="7">
      <formula>IF(#REF!&lt;&gt;#REF!,1,0)</formula>
    </cfRule>
  </conditionalFormatting>
  <conditionalFormatting sqref="S22">
    <cfRule type="expression" dxfId="41" priority="6">
      <formula>IF(#REF!&lt;&gt;#REF!,1,0)</formula>
    </cfRule>
  </conditionalFormatting>
  <conditionalFormatting sqref="S22">
    <cfRule type="expression" dxfId="40" priority="5">
      <formula>IF(#REF!&lt;&gt;#REF!,1,0)</formula>
    </cfRule>
  </conditionalFormatting>
  <conditionalFormatting sqref="S22">
    <cfRule type="expression" dxfId="39" priority="4">
      <formula>IF(#REF!&lt;&gt;#REF!,1,0)</formula>
    </cfRule>
  </conditionalFormatting>
  <conditionalFormatting sqref="S22">
    <cfRule type="expression" dxfId="38" priority="3">
      <formula>IF(#REF!&lt;&gt;#REF!,1,0)</formula>
    </cfRule>
  </conditionalFormatting>
  <conditionalFormatting sqref="S22">
    <cfRule type="expression" dxfId="37" priority="2">
      <formula>IF(#REF!&lt;&gt;#REF!,1,0)</formula>
    </cfRule>
  </conditionalFormatting>
  <conditionalFormatting sqref="S22">
    <cfRule type="expression" dxfId="36" priority="1">
      <formula>IF(#REF!&lt;&gt;#REF!,1,0)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786216-D40A-45B3-B00C-E0267DBC40D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W5:W20</xm:sqref>
        </x14:conditionalFormatting>
        <x14:conditionalFormatting xmlns:xm="http://schemas.microsoft.com/office/excel/2006/main">
          <x14:cfRule type="dataBar" id="{FD1F71FE-24DB-4EEC-99C0-FE6B99F2A8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E43:E58</xm:sqref>
        </x14:conditionalFormatting>
        <x14:conditionalFormatting xmlns:xm="http://schemas.microsoft.com/office/excel/2006/main">
          <x14:cfRule type="dataBar" id="{27EFF188-B17E-49F7-BD52-2DA1EB833F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AE5:AE20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C1F2-6B93-4BF6-A641-D3D9E0B8E935}">
  <dimension ref="B2:Z20"/>
  <sheetViews>
    <sheetView rightToLeft="1" zoomScale="70" zoomScaleNormal="70" workbookViewId="0">
      <selection activeCell="P6" sqref="P6"/>
    </sheetView>
  </sheetViews>
  <sheetFormatPr defaultRowHeight="14.5" x14ac:dyDescent="0.35"/>
  <cols>
    <col min="1" max="1" width="4.453125" customWidth="1"/>
    <col min="10" max="10" width="12.1796875" customWidth="1"/>
    <col min="13" max="13" width="9.54296875" bestFit="1" customWidth="1"/>
    <col min="14" max="14" width="11.7265625" bestFit="1" customWidth="1"/>
    <col min="18" max="18" width="11.453125" bestFit="1" customWidth="1"/>
    <col min="19" max="20" width="10.26953125" customWidth="1"/>
    <col min="21" max="21" width="12.26953125" customWidth="1"/>
  </cols>
  <sheetData>
    <row r="2" spans="2:26" ht="15.75" customHeight="1" x14ac:dyDescent="0.35">
      <c r="B2" s="402" t="s">
        <v>102</v>
      </c>
      <c r="C2" s="303"/>
      <c r="D2" s="303"/>
      <c r="E2" s="303"/>
      <c r="F2" s="303"/>
      <c r="G2" s="303"/>
      <c r="H2" s="303"/>
      <c r="I2" s="303"/>
      <c r="J2" s="303"/>
      <c r="K2" s="403"/>
      <c r="L2" s="303"/>
      <c r="M2" s="303"/>
      <c r="N2" s="672">
        <v>0.23</v>
      </c>
      <c r="O2" s="673">
        <v>10</v>
      </c>
      <c r="R2" s="402" t="s">
        <v>146</v>
      </c>
      <c r="S2" s="402"/>
      <c r="T2" s="302"/>
      <c r="U2" s="302"/>
      <c r="V2" s="302"/>
      <c r="W2" s="302"/>
    </row>
    <row r="3" spans="2:26" ht="55.5" x14ac:dyDescent="0.35">
      <c r="B3" s="675" t="s">
        <v>159</v>
      </c>
      <c r="C3" s="676"/>
      <c r="D3" s="677" t="s">
        <v>94</v>
      </c>
      <c r="E3" s="677" t="s">
        <v>95</v>
      </c>
      <c r="F3" s="678" t="s">
        <v>96</v>
      </c>
      <c r="G3" s="679" t="s">
        <v>97</v>
      </c>
      <c r="H3" s="680" t="s">
        <v>98</v>
      </c>
      <c r="I3" s="681" t="s">
        <v>99</v>
      </c>
      <c r="J3" s="682" t="s">
        <v>100</v>
      </c>
      <c r="K3" s="681" t="s">
        <v>99</v>
      </c>
      <c r="L3" s="682" t="s">
        <v>100</v>
      </c>
      <c r="M3" s="681"/>
      <c r="N3" s="681"/>
      <c r="O3" s="681"/>
      <c r="R3" s="392" t="s">
        <v>307</v>
      </c>
      <c r="S3" s="666" t="s">
        <v>304</v>
      </c>
      <c r="T3" s="667" t="s">
        <v>305</v>
      </c>
      <c r="Z3">
        <v>940924</v>
      </c>
    </row>
    <row r="4" spans="2:26" ht="39" customHeight="1" thickBot="1" x14ac:dyDescent="0.75">
      <c r="B4" s="683" t="s">
        <v>160</v>
      </c>
      <c r="C4" s="684" t="s">
        <v>161</v>
      </c>
      <c r="D4" s="685" t="s">
        <v>162</v>
      </c>
      <c r="E4" s="685" t="s">
        <v>162</v>
      </c>
      <c r="F4" s="686" t="s">
        <v>162</v>
      </c>
      <c r="G4" s="687" t="s">
        <v>162</v>
      </c>
      <c r="H4" s="688" t="s">
        <v>162</v>
      </c>
      <c r="I4" s="689" t="s">
        <v>163</v>
      </c>
      <c r="J4" s="690"/>
      <c r="K4" s="689" t="s">
        <v>164</v>
      </c>
      <c r="L4" s="691" t="s">
        <v>164</v>
      </c>
      <c r="M4" s="692" t="s">
        <v>150</v>
      </c>
      <c r="N4" s="692" t="s">
        <v>2</v>
      </c>
      <c r="O4" s="692" t="s">
        <v>306</v>
      </c>
      <c r="R4" s="392" t="s">
        <v>162</v>
      </c>
      <c r="S4" s="666" t="s">
        <v>308</v>
      </c>
      <c r="T4" s="667" t="s">
        <v>308</v>
      </c>
      <c r="U4" s="392" t="s">
        <v>2</v>
      </c>
      <c r="W4" s="392" t="s">
        <v>306</v>
      </c>
      <c r="Z4">
        <v>34812</v>
      </c>
    </row>
    <row r="5" spans="2:26" ht="28" x14ac:dyDescent="1.1499999999999999">
      <c r="B5" s="674" t="s">
        <v>154</v>
      </c>
      <c r="C5" s="616"/>
      <c r="D5" s="466">
        <v>81110</v>
      </c>
      <c r="E5" s="466">
        <v>22687</v>
      </c>
      <c r="F5" s="467">
        <v>58423</v>
      </c>
      <c r="G5" s="468">
        <v>82094</v>
      </c>
      <c r="H5" s="469">
        <v>104781</v>
      </c>
      <c r="I5" s="470">
        <v>130.74245856000002</v>
      </c>
      <c r="J5" s="471">
        <v>163.1371968</v>
      </c>
      <c r="K5" s="470">
        <v>1.5132229000000001</v>
      </c>
      <c r="L5" s="473">
        <v>1.8881620000000001</v>
      </c>
      <c r="M5" s="310">
        <f>(J5*$O$2/9+I5)*31/1000*P5</f>
        <v>17.023047936153599</v>
      </c>
      <c r="N5" s="393">
        <f>M5/(D5/10000)/$N$2*1000</f>
        <v>9125.0464673061251</v>
      </c>
      <c r="O5" s="401">
        <f t="shared" ref="O5:O10" si="0">N5*1000/31/24/3600*$N$2</f>
        <v>0.78358747292428654</v>
      </c>
      <c r="P5" s="1017">
        <v>1.76</v>
      </c>
      <c r="R5" s="668">
        <v>82094</v>
      </c>
      <c r="S5" s="660">
        <v>300725.5437080384</v>
      </c>
      <c r="T5" s="661">
        <v>72675.71301644147</v>
      </c>
      <c r="U5" s="393">
        <f t="shared" ref="U5:U10" si="1">S5/R5*10000</f>
        <v>36631.854180334543</v>
      </c>
      <c r="V5" s="428">
        <f t="shared" ref="V5:V10" si="2">T5/S5</f>
        <v>0.24166790795463394</v>
      </c>
      <c r="W5" s="401">
        <f t="shared" ref="W5:W10" si="3">U5*1000/31/24/3600*$N$2</f>
        <v>3.1456565343029217</v>
      </c>
      <c r="Z5">
        <f>Z3-Z4</f>
        <v>906112</v>
      </c>
    </row>
    <row r="6" spans="2:26" ht="28" x14ac:dyDescent="1.1499999999999999">
      <c r="B6" s="674" t="s">
        <v>155</v>
      </c>
      <c r="C6" s="616"/>
      <c r="D6" s="466">
        <v>174768</v>
      </c>
      <c r="E6" s="466">
        <v>94968</v>
      </c>
      <c r="F6" s="467">
        <v>79800</v>
      </c>
      <c r="G6" s="468">
        <v>174768</v>
      </c>
      <c r="H6" s="469">
        <v>269736</v>
      </c>
      <c r="I6" s="470">
        <v>547.28918784000007</v>
      </c>
      <c r="J6" s="471">
        <v>347.29896960000008</v>
      </c>
      <c r="K6" s="470">
        <v>6.3343655999999999</v>
      </c>
      <c r="L6" s="473">
        <v>4.0196640000000006</v>
      </c>
      <c r="M6" s="310">
        <f t="shared" ref="M6:M9" si="4">(J6*$O$2/9+I6)*31/1000*P6</f>
        <v>50.914133401190412</v>
      </c>
      <c r="N6" s="393">
        <f>M6/(D6/10000)/$N$2*1000</f>
        <v>12666.265986706951</v>
      </c>
      <c r="O6" s="401">
        <f t="shared" si="0"/>
        <v>1.0876796508895605</v>
      </c>
      <c r="P6" s="1017">
        <f>P5</f>
        <v>1.76</v>
      </c>
      <c r="R6" s="669">
        <v>174768</v>
      </c>
      <c r="S6" s="662">
        <v>460264.79824196256</v>
      </c>
      <c r="T6" s="663">
        <v>109653.16533028387</v>
      </c>
      <c r="U6" s="393">
        <f t="shared" si="1"/>
        <v>26335.759306163745</v>
      </c>
      <c r="V6" s="428">
        <f t="shared" si="2"/>
        <v>0.23823930430725418</v>
      </c>
      <c r="W6" s="401">
        <f t="shared" si="3"/>
        <v>2.261508602306475</v>
      </c>
      <c r="Z6">
        <v>156533</v>
      </c>
    </row>
    <row r="7" spans="2:26" ht="28" x14ac:dyDescent="1.1499999999999999">
      <c r="B7" s="674" t="s">
        <v>156</v>
      </c>
      <c r="C7" s="616"/>
      <c r="D7" s="466">
        <v>13428</v>
      </c>
      <c r="E7" s="466">
        <v>13428</v>
      </c>
      <c r="F7" s="467">
        <v>0</v>
      </c>
      <c r="G7" s="468">
        <v>0</v>
      </c>
      <c r="H7" s="469">
        <v>13428</v>
      </c>
      <c r="I7" s="470">
        <v>77.383952640000004</v>
      </c>
      <c r="J7" s="471">
        <v>0</v>
      </c>
      <c r="K7" s="470">
        <v>0.8956476000000001</v>
      </c>
      <c r="L7" s="473">
        <v>0</v>
      </c>
      <c r="M7" s="310">
        <f t="shared" si="4"/>
        <v>4.2220684560384001</v>
      </c>
      <c r="N7" s="393">
        <f>M7/(D7/10000)/$N$2*1000</f>
        <v>13670.553599999999</v>
      </c>
      <c r="O7" s="401">
        <f t="shared" si="0"/>
        <v>1.1739199999999999</v>
      </c>
      <c r="P7" s="1017">
        <f t="shared" ref="P7:P9" si="5">P6</f>
        <v>1.76</v>
      </c>
      <c r="R7" s="669">
        <v>13428</v>
      </c>
      <c r="S7" s="662">
        <v>18725.313915703373</v>
      </c>
      <c r="T7" s="663">
        <v>4179.2022436193329</v>
      </c>
      <c r="U7" s="393">
        <f t="shared" si="1"/>
        <v>13944.976106421933</v>
      </c>
      <c r="V7" s="428">
        <f t="shared" si="2"/>
        <v>0.2231846292368205</v>
      </c>
      <c r="W7" s="401">
        <f t="shared" si="3"/>
        <v>1.1974852540610235</v>
      </c>
      <c r="Z7">
        <f>Z5-Z6</f>
        <v>749579</v>
      </c>
    </row>
    <row r="8" spans="2:26" ht="28" x14ac:dyDescent="1.1499999999999999">
      <c r="B8" s="674" t="s">
        <v>157</v>
      </c>
      <c r="C8" s="616"/>
      <c r="D8" s="466">
        <v>13334</v>
      </c>
      <c r="E8" s="466">
        <v>13334</v>
      </c>
      <c r="F8" s="467">
        <v>0</v>
      </c>
      <c r="G8" s="468">
        <v>0</v>
      </c>
      <c r="H8" s="469">
        <v>13334</v>
      </c>
      <c r="I8" s="470">
        <v>76.842241920000006</v>
      </c>
      <c r="J8" s="471">
        <v>0</v>
      </c>
      <c r="K8" s="470">
        <v>0.8893778</v>
      </c>
      <c r="L8" s="473">
        <v>0</v>
      </c>
      <c r="M8" s="310">
        <f t="shared" si="4"/>
        <v>4.192512719155201</v>
      </c>
      <c r="N8" s="393">
        <f>M8/(D8/10000)/$N$2*1000</f>
        <v>13670.553600000003</v>
      </c>
      <c r="O8" s="401">
        <f t="shared" si="0"/>
        <v>1.1739200000000003</v>
      </c>
      <c r="P8" s="1017">
        <f t="shared" si="5"/>
        <v>1.76</v>
      </c>
      <c r="R8" s="669">
        <v>13334</v>
      </c>
      <c r="S8" s="662">
        <v>20565.599356689159</v>
      </c>
      <c r="T8" s="663">
        <v>4675.8370819804286</v>
      </c>
      <c r="U8" s="393">
        <f t="shared" si="1"/>
        <v>15423.428346099563</v>
      </c>
      <c r="V8" s="428">
        <f t="shared" si="2"/>
        <v>0.22736206229066538</v>
      </c>
      <c r="W8" s="401">
        <f t="shared" si="3"/>
        <v>1.3244431450130298</v>
      </c>
    </row>
    <row r="9" spans="2:26" ht="28.5" thickBot="1" x14ac:dyDescent="1.2">
      <c r="B9" s="674" t="s">
        <v>158</v>
      </c>
      <c r="C9" s="616"/>
      <c r="D9" s="466">
        <v>54000</v>
      </c>
      <c r="E9" s="466">
        <v>54000</v>
      </c>
      <c r="F9" s="467">
        <v>0</v>
      </c>
      <c r="G9" s="468">
        <v>0</v>
      </c>
      <c r="H9" s="469">
        <v>54000</v>
      </c>
      <c r="I9" s="470">
        <v>311.19552000000004</v>
      </c>
      <c r="J9" s="471">
        <v>0</v>
      </c>
      <c r="K9" s="470">
        <v>3.6017999999999999</v>
      </c>
      <c r="L9" s="473">
        <v>0</v>
      </c>
      <c r="M9" s="310">
        <f t="shared" si="4"/>
        <v>16.978827571200004</v>
      </c>
      <c r="N9" s="393">
        <f>M9/(D9/10000)/$N$2*1000</f>
        <v>13670.553600000001</v>
      </c>
      <c r="O9" s="401">
        <f t="shared" si="0"/>
        <v>1.1739200000000001</v>
      </c>
      <c r="P9" s="1017">
        <f t="shared" si="5"/>
        <v>1.76</v>
      </c>
      <c r="R9" s="670">
        <v>54000</v>
      </c>
      <c r="S9" s="664">
        <v>84457.241617407446</v>
      </c>
      <c r="T9" s="665">
        <v>18645.623520857145</v>
      </c>
      <c r="U9" s="393">
        <f t="shared" si="1"/>
        <v>15640.229929149527</v>
      </c>
      <c r="V9" s="428">
        <f t="shared" si="2"/>
        <v>0.22076997974101611</v>
      </c>
      <c r="W9" s="401">
        <f t="shared" si="3"/>
        <v>1.343060365779716</v>
      </c>
    </row>
    <row r="10" spans="2:26" ht="28.5" thickBot="1" x14ac:dyDescent="1.2">
      <c r="B10" s="649"/>
      <c r="C10" s="649"/>
      <c r="D10" s="650">
        <f>SUM(D5:D9)</f>
        <v>336640</v>
      </c>
      <c r="E10" s="650"/>
      <c r="F10" s="651"/>
      <c r="G10" s="652"/>
      <c r="H10" s="653"/>
      <c r="I10" s="654"/>
      <c r="J10" s="655"/>
      <c r="K10" s="654">
        <f>SUM(K5:K9)</f>
        <v>13.2344139</v>
      </c>
      <c r="L10" s="656">
        <f>SUM(L5:L9)</f>
        <v>5.9078260000000009</v>
      </c>
      <c r="M10" s="657">
        <f>SUM(M5:M9)</f>
        <v>93.330590083737619</v>
      </c>
      <c r="N10" s="658">
        <f>SUMPRODUCT(N5:N9,D5:D9)/D10</f>
        <v>12053.979749201522</v>
      </c>
      <c r="O10" s="659">
        <f t="shared" si="0"/>
        <v>1.035101307615125</v>
      </c>
      <c r="R10" s="671">
        <f>SUM(R5:R9)</f>
        <v>337624</v>
      </c>
      <c r="S10" s="648">
        <f>SUM(S5:S9)</f>
        <v>884738.49683980085</v>
      </c>
      <c r="T10" s="648">
        <f>SUM(T5:T9)</f>
        <v>209829.54119318223</v>
      </c>
      <c r="U10" s="393">
        <f t="shared" si="1"/>
        <v>26204.846125861932</v>
      </c>
      <c r="V10" s="428">
        <f t="shared" si="2"/>
        <v>0.23716560536550943</v>
      </c>
      <c r="W10" s="401">
        <f t="shared" si="3"/>
        <v>2.2502668044161607</v>
      </c>
    </row>
    <row r="12" spans="2:26" x14ac:dyDescent="0.35">
      <c r="H12">
        <f>H5/D5</f>
        <v>1.2918382443595118</v>
      </c>
    </row>
    <row r="13" spans="2:26" x14ac:dyDescent="0.35">
      <c r="H13">
        <f>H6/D6</f>
        <v>1.5433946717934632</v>
      </c>
    </row>
    <row r="14" spans="2:26" x14ac:dyDescent="0.35">
      <c r="H14">
        <f>H7/D7</f>
        <v>1</v>
      </c>
      <c r="M14" t="s">
        <v>437</v>
      </c>
    </row>
    <row r="15" spans="2:26" ht="28" x14ac:dyDescent="0.35">
      <c r="B15" s="1015" t="s">
        <v>154</v>
      </c>
      <c r="C15" s="1016"/>
      <c r="D15" s="466">
        <v>81110</v>
      </c>
      <c r="E15" s="466">
        <v>22687</v>
      </c>
      <c r="F15" s="467">
        <v>58423</v>
      </c>
      <c r="G15" s="468">
        <v>82094</v>
      </c>
      <c r="H15" s="469">
        <v>104781</v>
      </c>
      <c r="I15" s="470">
        <v>130.74245856000002</v>
      </c>
      <c r="J15" s="471">
        <v>163.1371968</v>
      </c>
      <c r="K15" s="470">
        <v>1.5132229000000001</v>
      </c>
      <c r="L15" s="473">
        <v>1.8881620000000001</v>
      </c>
    </row>
    <row r="16" spans="2:26" ht="28" x14ac:dyDescent="0.35">
      <c r="B16" s="1015" t="s">
        <v>155</v>
      </c>
      <c r="C16" s="1016"/>
      <c r="D16" s="466">
        <v>174768</v>
      </c>
      <c r="E16" s="466">
        <v>94968</v>
      </c>
      <c r="F16" s="467">
        <v>79800</v>
      </c>
      <c r="G16" s="468">
        <v>174768</v>
      </c>
      <c r="H16" s="469">
        <v>269736</v>
      </c>
      <c r="I16" s="470">
        <v>547.28918784000007</v>
      </c>
      <c r="J16" s="471">
        <v>347.29896960000008</v>
      </c>
      <c r="K16" s="470">
        <v>6.3343655999999999</v>
      </c>
      <c r="L16" s="473">
        <v>4.0196640000000006</v>
      </c>
    </row>
    <row r="17" spans="2:23" ht="28" x14ac:dyDescent="0.35">
      <c r="B17" s="1015" t="s">
        <v>156</v>
      </c>
      <c r="C17" s="1016"/>
      <c r="D17" s="466">
        <v>13428</v>
      </c>
      <c r="E17" s="466">
        <v>13428</v>
      </c>
      <c r="F17" s="467">
        <v>0</v>
      </c>
      <c r="G17" s="468">
        <v>0</v>
      </c>
      <c r="H17" s="469">
        <v>13428</v>
      </c>
      <c r="I17" s="470">
        <v>77.383952640000004</v>
      </c>
      <c r="J17" s="471">
        <v>0</v>
      </c>
      <c r="K17" s="470">
        <v>0.8956476000000001</v>
      </c>
      <c r="L17" s="473">
        <v>0</v>
      </c>
    </row>
    <row r="18" spans="2:23" ht="28" x14ac:dyDescent="0.35">
      <c r="B18" s="1015" t="s">
        <v>157</v>
      </c>
      <c r="C18" s="1016"/>
      <c r="D18" s="466">
        <v>13334</v>
      </c>
      <c r="E18" s="466">
        <v>13334</v>
      </c>
      <c r="F18" s="467">
        <v>0</v>
      </c>
      <c r="G18" s="468">
        <v>0</v>
      </c>
      <c r="H18" s="469">
        <v>13334</v>
      </c>
      <c r="I18" s="470">
        <v>76.842241920000006</v>
      </c>
      <c r="J18" s="471">
        <v>0</v>
      </c>
      <c r="K18" s="470">
        <v>0.8893778</v>
      </c>
      <c r="L18" s="473">
        <v>0</v>
      </c>
    </row>
    <row r="19" spans="2:23" ht="28" x14ac:dyDescent="0.35">
      <c r="B19" s="1015" t="s">
        <v>158</v>
      </c>
      <c r="C19" s="1016"/>
      <c r="D19" s="466">
        <v>54000</v>
      </c>
      <c r="E19" s="466">
        <v>54000</v>
      </c>
      <c r="F19" s="467">
        <v>0</v>
      </c>
      <c r="G19" s="468">
        <v>0</v>
      </c>
      <c r="H19" s="469">
        <v>54000</v>
      </c>
      <c r="I19" s="470">
        <v>311.19552000000004</v>
      </c>
      <c r="J19" s="471">
        <v>0</v>
      </c>
      <c r="K19" s="470">
        <v>3.6017999999999999</v>
      </c>
      <c r="L19" s="473">
        <v>0</v>
      </c>
    </row>
    <row r="20" spans="2:23" ht="28.5" thickBot="1" x14ac:dyDescent="1.2">
      <c r="B20" s="649"/>
      <c r="C20" s="649"/>
      <c r="D20" s="650">
        <f>SUM(D15:D19)</f>
        <v>336640</v>
      </c>
      <c r="E20" s="650"/>
      <c r="F20" s="651"/>
      <c r="G20" s="652"/>
      <c r="H20" s="653"/>
      <c r="I20" s="654"/>
      <c r="J20" s="655"/>
      <c r="K20" s="654">
        <f>SUM(K15:K19)</f>
        <v>13.2344139</v>
      </c>
      <c r="L20" s="656">
        <f>SUM(L15:L19)</f>
        <v>5.9078260000000009</v>
      </c>
      <c r="M20" s="657">
        <f>SUM(M15:M19)</f>
        <v>0</v>
      </c>
      <c r="N20" s="658">
        <f>SUMPRODUCT(N15:N19,D15:D19)/D20</f>
        <v>0</v>
      </c>
      <c r="O20" s="659">
        <f t="shared" ref="O20" si="6">N20*1000/31/24/3600*$N$2</f>
        <v>0</v>
      </c>
      <c r="R20" s="671">
        <f>SUM(R15:R19)</f>
        <v>0</v>
      </c>
      <c r="S20" s="648">
        <f>SUM(S15:S19)</f>
        <v>0</v>
      </c>
      <c r="T20" s="648">
        <f>SUM(T15:T19)</f>
        <v>0</v>
      </c>
      <c r="U20" s="393" t="e">
        <f t="shared" ref="U20" si="7">S20/R20*10000</f>
        <v>#DIV/0!</v>
      </c>
      <c r="V20" s="428" t="e">
        <f t="shared" ref="V20" si="8">T20/S20</f>
        <v>#DIV/0!</v>
      </c>
      <c r="W20" s="401" t="e">
        <f t="shared" ref="W20" si="9">U20*1000/31/24/3600*$N$2</f>
        <v>#DIV/0!</v>
      </c>
    </row>
  </sheetData>
  <conditionalFormatting sqref="O5:O9">
    <cfRule type="expression" dxfId="35" priority="34">
      <formula>IF(#REF!&lt;&gt;#REF!,1,0)</formula>
    </cfRule>
  </conditionalFormatting>
  <conditionalFormatting sqref="O5:O9">
    <cfRule type="expression" dxfId="34" priority="33">
      <formula>IF(#REF!&lt;&gt;#REF!,1,0)</formula>
    </cfRule>
  </conditionalFormatting>
  <conditionalFormatting sqref="O5:O9">
    <cfRule type="expression" dxfId="33" priority="32">
      <formula>IF(#REF!&lt;&gt;#REF!,1,0)</formula>
    </cfRule>
  </conditionalFormatting>
  <conditionalFormatting sqref="N5:N9">
    <cfRule type="colorScale" priority="16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">
    <cfRule type="expression" dxfId="32" priority="27">
      <formula>IF(#REF!&lt;&gt;#REF!,1,0)</formula>
    </cfRule>
  </conditionalFormatting>
  <conditionalFormatting sqref="O10">
    <cfRule type="expression" dxfId="31" priority="26">
      <formula>IF(#REF!&lt;&gt;#REF!,1,0)</formula>
    </cfRule>
  </conditionalFormatting>
  <conditionalFormatting sqref="O10">
    <cfRule type="expression" dxfId="30" priority="25">
      <formula>IF(#REF!&lt;&gt;#REF!,1,0)</formula>
    </cfRule>
  </conditionalFormatting>
  <conditionalFormatting sqref="D10:L10">
    <cfRule type="expression" dxfId="29" priority="28">
      <formula>IF($I10&lt;&gt;#REF!,1,0)</formula>
    </cfRule>
    <cfRule type="expression" dxfId="28" priority="29">
      <formula>IF($D10&lt;&gt;#REF!,1,0)</formula>
    </cfRule>
    <cfRule type="expression" dxfId="27" priority="30">
      <formula>IF($B10&lt;&gt;#REF!,1,0)</formula>
    </cfRule>
  </conditionalFormatting>
  <conditionalFormatting sqref="N10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">
    <cfRule type="expression" dxfId="26" priority="23">
      <formula>IF(#REF!&lt;&gt;#REF!,1,0)</formula>
    </cfRule>
  </conditionalFormatting>
  <conditionalFormatting sqref="V5:V10">
    <cfRule type="expression" dxfId="25" priority="22">
      <formula>IF(#REF!&lt;&gt;#REF!,1,0)</formula>
    </cfRule>
  </conditionalFormatting>
  <conditionalFormatting sqref="W5:W10">
    <cfRule type="expression" dxfId="24" priority="21">
      <formula>IF(#REF!&lt;&gt;#REF!,1,0)</formula>
    </cfRule>
  </conditionalFormatting>
  <conditionalFormatting sqref="W5:W10">
    <cfRule type="expression" dxfId="23" priority="20">
      <formula>IF(#REF!&lt;&gt;#REF!,1,0)</formula>
    </cfRule>
  </conditionalFormatting>
  <conditionalFormatting sqref="W5:W10">
    <cfRule type="expression" dxfId="22" priority="19">
      <formula>IF(#REF!&lt;&gt;#REF!,1,0)</formula>
    </cfRule>
  </conditionalFormatting>
  <conditionalFormatting sqref="O2">
    <cfRule type="expression" dxfId="21" priority="18">
      <formula>IF(#REF!&lt;&gt;#REF!,1,0)</formula>
    </cfRule>
  </conditionalFormatting>
  <conditionalFormatting sqref="K15:L19 B15:H19">
    <cfRule type="expression" dxfId="20" priority="15">
      <formula>IF($I15&lt;&gt;$I14,1,0)</formula>
    </cfRule>
    <cfRule type="expression" dxfId="19" priority="16">
      <formula>IF($D15&lt;&gt;$D14,1,0)</formula>
    </cfRule>
    <cfRule type="expression" dxfId="18" priority="17">
      <formula>IF($B15&lt;&gt;$B14,1,0)</formula>
    </cfRule>
  </conditionalFormatting>
  <conditionalFormatting sqref="I15:J19">
    <cfRule type="expression" dxfId="17" priority="12">
      <formula>IF($I15&lt;&gt;$I14,1,0)</formula>
    </cfRule>
    <cfRule type="expression" dxfId="16" priority="13">
      <formula>IF($D15&lt;&gt;$D14,1,0)</formula>
    </cfRule>
    <cfRule type="expression" dxfId="15" priority="14">
      <formula>IF($B15&lt;&gt;$B14,1,0)</formula>
    </cfRule>
  </conditionalFormatting>
  <conditionalFormatting sqref="O20">
    <cfRule type="expression" dxfId="14" priority="7">
      <formula>IF(#REF!&lt;&gt;#REF!,1,0)</formula>
    </cfRule>
  </conditionalFormatting>
  <conditionalFormatting sqref="O20">
    <cfRule type="expression" dxfId="13" priority="6">
      <formula>IF(#REF!&lt;&gt;#REF!,1,0)</formula>
    </cfRule>
  </conditionalFormatting>
  <conditionalFormatting sqref="O20">
    <cfRule type="expression" dxfId="12" priority="5">
      <formula>IF(#REF!&lt;&gt;#REF!,1,0)</formula>
    </cfRule>
  </conditionalFormatting>
  <conditionalFormatting sqref="D20:L20">
    <cfRule type="expression" dxfId="11" priority="8">
      <formula>IF($I20&lt;&gt;#REF!,1,0)</formula>
    </cfRule>
    <cfRule type="expression" dxfId="10" priority="9">
      <formula>IF($D20&lt;&gt;#REF!,1,0)</formula>
    </cfRule>
    <cfRule type="expression" dxfId="9" priority="10">
      <formula>IF($B20&lt;&gt;#REF!,1,0)</formula>
    </cfRule>
  </conditionalFormatting>
  <conditionalFormatting sqref="N2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">
    <cfRule type="expression" dxfId="8" priority="4">
      <formula>IF(#REF!&lt;&gt;#REF!,1,0)</formula>
    </cfRule>
  </conditionalFormatting>
  <conditionalFormatting sqref="W20">
    <cfRule type="expression" dxfId="7" priority="3">
      <formula>IF(#REF!&lt;&gt;#REF!,1,0)</formula>
    </cfRule>
  </conditionalFormatting>
  <conditionalFormatting sqref="W20">
    <cfRule type="expression" dxfId="6" priority="2">
      <formula>IF(#REF!&lt;&gt;#REF!,1,0)</formula>
    </cfRule>
  </conditionalFormatting>
  <conditionalFormatting sqref="W20">
    <cfRule type="expression" dxfId="5" priority="1">
      <formula>IF(#REF!&lt;&gt;#REF!,1,0)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B3FA-6947-451D-9E59-A9DE11CDADB3}">
  <sheetPr>
    <tabColor rgb="FF660066"/>
  </sheetPr>
  <dimension ref="A1:AH116"/>
  <sheetViews>
    <sheetView rightToLeft="1" zoomScale="80" zoomScaleNormal="80" workbookViewId="0">
      <pane ySplit="4" topLeftCell="A29" activePane="bottomLeft" state="frozen"/>
      <selection activeCell="O7" sqref="O7"/>
      <selection pane="bottomLeft" activeCell="F58" sqref="F58"/>
    </sheetView>
  </sheetViews>
  <sheetFormatPr defaultColWidth="8.54296875" defaultRowHeight="13" customHeight="1" x14ac:dyDescent="0.35"/>
  <cols>
    <col min="1" max="1" width="8" style="487" customWidth="1"/>
    <col min="2" max="3" width="6.7265625" style="487" customWidth="1"/>
    <col min="4" max="4" width="7.26953125" style="487" customWidth="1"/>
    <col min="5" max="5" width="33" style="597" customWidth="1"/>
    <col min="6" max="6" width="13" style="487" customWidth="1"/>
    <col min="7" max="7" width="10.7265625" style="487" customWidth="1"/>
    <col min="8" max="8" width="12.1796875" style="487" customWidth="1"/>
    <col min="9" max="9" width="12.453125" style="487" customWidth="1"/>
    <col min="10" max="10" width="12.81640625" style="487" customWidth="1"/>
    <col min="11" max="11" width="9.1796875" style="487" customWidth="1"/>
    <col min="12" max="13" width="8" style="487" customWidth="1"/>
    <col min="14" max="14" width="8.81640625" style="487" customWidth="1"/>
    <col min="15" max="17" width="6" style="594" customWidth="1"/>
    <col min="18" max="18" width="8.1796875" style="594" customWidth="1"/>
    <col min="19" max="19" width="11.54296875" style="487" customWidth="1"/>
    <col min="20" max="23" width="8.54296875" style="487"/>
    <col min="24" max="24" width="14.54296875" style="487" customWidth="1"/>
    <col min="25" max="29" width="8.54296875" style="487"/>
    <col min="30" max="30" width="13.453125" style="487" customWidth="1"/>
    <col min="31" max="16384" width="8.54296875" style="487"/>
  </cols>
  <sheetData>
    <row r="1" spans="1:34" s="480" customFormat="1" ht="13" customHeight="1" x14ac:dyDescent="0.35">
      <c r="E1" s="481"/>
      <c r="O1" s="482"/>
      <c r="P1" s="482"/>
      <c r="Q1" s="482"/>
      <c r="R1" s="482"/>
    </row>
    <row r="2" spans="1:34" s="483" customFormat="1" ht="20.25" customHeight="1" x14ac:dyDescent="0.35">
      <c r="B2" s="484" t="s">
        <v>165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6"/>
      <c r="P2" s="486"/>
      <c r="Q2" s="486"/>
      <c r="R2" s="486"/>
      <c r="AD2" s="1134" t="s">
        <v>166</v>
      </c>
      <c r="AE2" s="1135"/>
      <c r="AF2" s="1135"/>
      <c r="AG2" s="1135"/>
      <c r="AH2" s="1136"/>
    </row>
    <row r="3" spans="1:34" ht="19.5" customHeight="1" x14ac:dyDescent="0.35">
      <c r="B3" s="488" t="s">
        <v>10</v>
      </c>
      <c r="C3" s="489" t="s">
        <v>167</v>
      </c>
      <c r="D3" s="489" t="s">
        <v>168</v>
      </c>
      <c r="E3" s="490" t="s">
        <v>169</v>
      </c>
      <c r="F3" s="1115" t="s">
        <v>312</v>
      </c>
      <c r="G3" s="1115"/>
      <c r="H3" s="1115"/>
      <c r="I3" s="1115"/>
      <c r="J3" s="491"/>
      <c r="K3" s="491"/>
      <c r="L3" s="491"/>
      <c r="M3" s="491"/>
      <c r="N3" s="492"/>
      <c r="O3" s="493"/>
      <c r="P3" s="493"/>
      <c r="Q3" s="493"/>
      <c r="R3" s="493"/>
      <c r="S3" s="494"/>
      <c r="T3" s="494"/>
      <c r="X3" s="490" t="s">
        <v>170</v>
      </c>
      <c r="AA3" s="1137" t="s">
        <v>171</v>
      </c>
      <c r="AB3" s="1138"/>
      <c r="AC3" s="1138"/>
      <c r="AD3" s="1138"/>
      <c r="AE3" s="1138"/>
      <c r="AF3" s="495">
        <v>0.15</v>
      </c>
    </row>
    <row r="4" spans="1:34" ht="34.5" customHeight="1" x14ac:dyDescent="0.35">
      <c r="B4" s="496" t="s">
        <v>172</v>
      </c>
      <c r="C4" s="497" t="s">
        <v>173</v>
      </c>
      <c r="D4" s="497" t="s">
        <v>174</v>
      </c>
      <c r="E4" s="498" t="s">
        <v>174</v>
      </c>
      <c r="F4" s="235" t="s">
        <v>21</v>
      </c>
      <c r="G4" s="23" t="s">
        <v>5</v>
      </c>
      <c r="H4" s="23" t="s">
        <v>6</v>
      </c>
      <c r="I4" s="23" t="s">
        <v>23</v>
      </c>
      <c r="J4" s="23" t="s">
        <v>175</v>
      </c>
      <c r="K4" s="499"/>
      <c r="L4" s="499"/>
      <c r="M4" s="499"/>
      <c r="N4" s="500"/>
      <c r="O4" s="493" t="str">
        <f t="shared" ref="O4:Q19" si="0">IF(B4="",O3,B4)</f>
        <v>District</v>
      </c>
      <c r="P4" s="493" t="str">
        <f t="shared" si="0"/>
        <v>Region</v>
      </c>
      <c r="Q4" s="493" t="str">
        <f t="shared" si="0"/>
        <v>Peyman</v>
      </c>
      <c r="R4" s="494" t="s">
        <v>176</v>
      </c>
      <c r="S4" s="494" t="s">
        <v>177</v>
      </c>
      <c r="T4" s="494" t="s">
        <v>178</v>
      </c>
      <c r="AA4" s="501" t="s">
        <v>179</v>
      </c>
      <c r="AB4" s="502" t="s">
        <v>180</v>
      </c>
      <c r="AC4" s="503" t="s">
        <v>135</v>
      </c>
      <c r="AD4" s="504" t="s">
        <v>116</v>
      </c>
      <c r="AE4" s="505" t="s">
        <v>181</v>
      </c>
    </row>
    <row r="5" spans="1:34" ht="13" customHeight="1" x14ac:dyDescent="0.35">
      <c r="A5" s="506" t="str">
        <f>+S5</f>
        <v>010101</v>
      </c>
      <c r="B5" s="1139" t="s">
        <v>182</v>
      </c>
      <c r="C5" s="1027" t="s">
        <v>182</v>
      </c>
      <c r="D5" s="507" t="s">
        <v>182</v>
      </c>
      <c r="E5" s="508" t="s">
        <v>183</v>
      </c>
      <c r="F5" s="987">
        <v>102205</v>
      </c>
      <c r="G5" s="988">
        <v>0</v>
      </c>
      <c r="H5" s="989">
        <v>0</v>
      </c>
      <c r="I5" s="990">
        <v>0</v>
      </c>
      <c r="J5" s="989">
        <v>0</v>
      </c>
      <c r="K5" s="509"/>
      <c r="L5" s="509"/>
      <c r="M5" s="510"/>
      <c r="N5" s="510"/>
      <c r="O5" s="511" t="str">
        <f t="shared" si="0"/>
        <v>01</v>
      </c>
      <c r="P5" s="511" t="str">
        <f t="shared" si="0"/>
        <v>01</v>
      </c>
      <c r="Q5" s="511" t="str">
        <f t="shared" si="0"/>
        <v>01</v>
      </c>
      <c r="R5" s="512" t="str">
        <f>CONCATENATE(P5,Q5)</f>
        <v>0101</v>
      </c>
      <c r="S5" s="513" t="str">
        <f>CONCATENATE(O5,P5,Q5)</f>
        <v>010101</v>
      </c>
      <c r="T5" s="514"/>
      <c r="U5" s="506">
        <f>VALUE(S5)</f>
        <v>10101</v>
      </c>
    </row>
    <row r="6" spans="1:34" ht="13" customHeight="1" x14ac:dyDescent="0.35">
      <c r="A6" s="506" t="str">
        <f t="shared" ref="A6:A56" si="1">+S6</f>
        <v>010201</v>
      </c>
      <c r="B6" s="1140"/>
      <c r="C6" s="1142" t="s">
        <v>184</v>
      </c>
      <c r="D6" s="515" t="s">
        <v>182</v>
      </c>
      <c r="E6" s="516" t="s">
        <v>185</v>
      </c>
      <c r="F6" s="987">
        <v>160580</v>
      </c>
      <c r="G6" s="991">
        <v>0</v>
      </c>
      <c r="H6" s="1020">
        <v>59659</v>
      </c>
      <c r="I6" s="992">
        <v>0</v>
      </c>
      <c r="J6" s="1020">
        <v>59659</v>
      </c>
      <c r="K6" s="517"/>
      <c r="L6" s="517"/>
      <c r="M6" s="510"/>
      <c r="N6" s="510"/>
      <c r="O6" s="511" t="str">
        <f t="shared" si="0"/>
        <v>01</v>
      </c>
      <c r="P6" s="511" t="str">
        <f t="shared" si="0"/>
        <v>02</v>
      </c>
      <c r="Q6" s="511" t="str">
        <f t="shared" si="0"/>
        <v>01</v>
      </c>
      <c r="R6" s="512" t="str">
        <f t="shared" ref="R6:R69" si="2">CONCATENATE(P6,Q6)</f>
        <v>0201</v>
      </c>
      <c r="S6" s="513" t="str">
        <f t="shared" ref="S6:S69" si="3">CONCATENATE(O6,P6,Q6)</f>
        <v>010201</v>
      </c>
      <c r="T6" s="514"/>
      <c r="U6" s="506">
        <f t="shared" ref="U6:U69" si="4">VALUE(S6)</f>
        <v>10201</v>
      </c>
    </row>
    <row r="7" spans="1:34" ht="13" customHeight="1" x14ac:dyDescent="0.35">
      <c r="A7" s="506" t="str">
        <f t="shared" si="1"/>
        <v>010202</v>
      </c>
      <c r="B7" s="1140"/>
      <c r="C7" s="1143"/>
      <c r="D7" s="518" t="s">
        <v>184</v>
      </c>
      <c r="E7" s="519" t="s">
        <v>186</v>
      </c>
      <c r="F7" s="993">
        <v>88067</v>
      </c>
      <c r="G7" s="1033">
        <v>0</v>
      </c>
      <c r="H7" s="1023">
        <v>5524</v>
      </c>
      <c r="I7" s="994">
        <v>0</v>
      </c>
      <c r="J7" s="1023">
        <v>5524</v>
      </c>
      <c r="K7" s="520"/>
      <c r="L7" s="520"/>
      <c r="M7" s="510"/>
      <c r="N7" s="510"/>
      <c r="O7" s="511" t="str">
        <f t="shared" si="0"/>
        <v>01</v>
      </c>
      <c r="P7" s="511" t="str">
        <f t="shared" si="0"/>
        <v>02</v>
      </c>
      <c r="Q7" s="511" t="str">
        <f t="shared" si="0"/>
        <v>02</v>
      </c>
      <c r="R7" s="512" t="str">
        <f t="shared" si="2"/>
        <v>0202</v>
      </c>
      <c r="S7" s="513" t="str">
        <f t="shared" si="3"/>
        <v>010202</v>
      </c>
      <c r="T7" s="514"/>
      <c r="U7" s="506">
        <f t="shared" si="4"/>
        <v>10202</v>
      </c>
    </row>
    <row r="8" spans="1:34" ht="13" customHeight="1" x14ac:dyDescent="0.35">
      <c r="A8" s="506" t="str">
        <f t="shared" si="1"/>
        <v>010301</v>
      </c>
      <c r="B8" s="1141"/>
      <c r="C8" s="521" t="s">
        <v>187</v>
      </c>
      <c r="D8" s="522" t="s">
        <v>182</v>
      </c>
      <c r="E8" s="523" t="s">
        <v>188</v>
      </c>
      <c r="F8" s="995">
        <v>73378</v>
      </c>
      <c r="G8" s="996">
        <v>0</v>
      </c>
      <c r="H8" s="997">
        <v>37692</v>
      </c>
      <c r="I8" s="998">
        <v>0</v>
      </c>
      <c r="J8" s="997">
        <v>37692</v>
      </c>
      <c r="K8" s="524"/>
      <c r="L8" s="524"/>
      <c r="M8" s="510"/>
      <c r="N8" s="510"/>
      <c r="O8" s="511" t="str">
        <f t="shared" si="0"/>
        <v>01</v>
      </c>
      <c r="P8" s="511" t="str">
        <f t="shared" si="0"/>
        <v>03</v>
      </c>
      <c r="Q8" s="511" t="str">
        <f t="shared" si="0"/>
        <v>01</v>
      </c>
      <c r="R8" s="512" t="str">
        <f t="shared" si="2"/>
        <v>0301</v>
      </c>
      <c r="S8" s="513" t="str">
        <f t="shared" si="3"/>
        <v>010301</v>
      </c>
      <c r="T8" s="514"/>
      <c r="U8" s="506">
        <f t="shared" si="4"/>
        <v>10301</v>
      </c>
    </row>
    <row r="9" spans="1:34" ht="13" customHeight="1" x14ac:dyDescent="0.35">
      <c r="A9" s="506" t="str">
        <f t="shared" si="1"/>
        <v>020101</v>
      </c>
      <c r="B9" s="1139" t="s">
        <v>184</v>
      </c>
      <c r="C9" s="1151" t="s">
        <v>182</v>
      </c>
      <c r="D9" s="507" t="s">
        <v>182</v>
      </c>
      <c r="E9" s="508" t="s">
        <v>189</v>
      </c>
      <c r="F9" s="999"/>
      <c r="G9" s="1032"/>
      <c r="H9" s="1152">
        <v>47601</v>
      </c>
      <c r="I9" s="1000"/>
      <c r="J9" s="1155">
        <v>314971</v>
      </c>
      <c r="K9" s="525"/>
      <c r="L9" s="525"/>
      <c r="M9" s="510"/>
      <c r="N9" s="510"/>
      <c r="O9" s="511" t="str">
        <f t="shared" si="0"/>
        <v>02</v>
      </c>
      <c r="P9" s="511" t="str">
        <f t="shared" si="0"/>
        <v>01</v>
      </c>
      <c r="Q9" s="511" t="str">
        <f t="shared" si="0"/>
        <v>01</v>
      </c>
      <c r="R9" s="512" t="str">
        <f t="shared" si="2"/>
        <v>0101</v>
      </c>
      <c r="S9" s="513" t="str">
        <f t="shared" si="3"/>
        <v>020101</v>
      </c>
      <c r="T9" s="514"/>
      <c r="U9" s="506">
        <f t="shared" si="4"/>
        <v>20101</v>
      </c>
    </row>
    <row r="10" spans="1:34" ht="13" customHeight="1" x14ac:dyDescent="0.35">
      <c r="A10" s="506" t="str">
        <f t="shared" si="1"/>
        <v>020102</v>
      </c>
      <c r="B10" s="1140"/>
      <c r="C10" s="1145"/>
      <c r="D10" s="527" t="s">
        <v>184</v>
      </c>
      <c r="E10" s="528" t="s">
        <v>190</v>
      </c>
      <c r="F10" s="1001"/>
      <c r="G10" s="1002"/>
      <c r="H10" s="1153"/>
      <c r="I10" s="1003"/>
      <c r="J10" s="1156"/>
      <c r="K10" s="529"/>
      <c r="L10" s="529"/>
      <c r="M10" s="510"/>
      <c r="N10" s="510"/>
      <c r="O10" s="511" t="str">
        <f t="shared" si="0"/>
        <v>02</v>
      </c>
      <c r="P10" s="511" t="str">
        <f t="shared" si="0"/>
        <v>01</v>
      </c>
      <c r="Q10" s="511" t="str">
        <f t="shared" si="0"/>
        <v>02</v>
      </c>
      <c r="R10" s="512" t="str">
        <f t="shared" si="2"/>
        <v>0102</v>
      </c>
      <c r="S10" s="513" t="str">
        <f t="shared" si="3"/>
        <v>020102</v>
      </c>
      <c r="T10" s="514"/>
      <c r="U10" s="506">
        <f t="shared" si="4"/>
        <v>20102</v>
      </c>
    </row>
    <row r="11" spans="1:34" ht="13" customHeight="1" x14ac:dyDescent="0.35">
      <c r="A11" s="506" t="str">
        <f t="shared" si="1"/>
        <v>020103</v>
      </c>
      <c r="B11" s="1140"/>
      <c r="C11" s="1143"/>
      <c r="D11" s="518" t="s">
        <v>187</v>
      </c>
      <c r="E11" s="519" t="s">
        <v>191</v>
      </c>
      <c r="F11" s="993"/>
      <c r="G11" s="1033"/>
      <c r="H11" s="1154"/>
      <c r="I11" s="994"/>
      <c r="J11" s="1157"/>
      <c r="K11" s="520"/>
      <c r="L11" s="520"/>
      <c r="M11" s="510"/>
      <c r="N11" s="510"/>
      <c r="O11" s="511" t="str">
        <f t="shared" si="0"/>
        <v>02</v>
      </c>
      <c r="P11" s="511" t="str">
        <f t="shared" si="0"/>
        <v>01</v>
      </c>
      <c r="Q11" s="511" t="str">
        <f t="shared" si="0"/>
        <v>03</v>
      </c>
      <c r="R11" s="512" t="str">
        <f t="shared" si="2"/>
        <v>0103</v>
      </c>
      <c r="S11" s="513" t="str">
        <f t="shared" si="3"/>
        <v>020103</v>
      </c>
      <c r="T11" s="514"/>
      <c r="U11" s="506">
        <f t="shared" si="4"/>
        <v>20103</v>
      </c>
      <c r="AA11" s="1034">
        <f>+Z12-AA12-AA13</f>
        <v>561.66282027000011</v>
      </c>
    </row>
    <row r="12" spans="1:34" ht="13" customHeight="1" thickBot="1" x14ac:dyDescent="0.4">
      <c r="A12" s="506" t="str">
        <f t="shared" si="1"/>
        <v>02201</v>
      </c>
      <c r="B12" s="1140"/>
      <c r="C12" s="1142">
        <v>2</v>
      </c>
      <c r="D12" s="515" t="s">
        <v>182</v>
      </c>
      <c r="E12" s="516" t="s">
        <v>192</v>
      </c>
      <c r="F12" s="987"/>
      <c r="G12" s="991">
        <v>331320</v>
      </c>
      <c r="H12" s="1020">
        <v>878273</v>
      </c>
      <c r="I12" s="992"/>
      <c r="J12" s="1020">
        <v>916130</v>
      </c>
      <c r="K12" s="517"/>
      <c r="L12" s="517"/>
      <c r="M12" s="510"/>
      <c r="N12" s="510"/>
      <c r="O12" s="511" t="str">
        <f t="shared" si="0"/>
        <v>02</v>
      </c>
      <c r="P12" s="511">
        <f t="shared" si="0"/>
        <v>2</v>
      </c>
      <c r="Q12" s="511" t="str">
        <f t="shared" si="0"/>
        <v>01</v>
      </c>
      <c r="R12" s="512" t="str">
        <f t="shared" si="2"/>
        <v>201</v>
      </c>
      <c r="S12" s="513" t="str">
        <f t="shared" si="3"/>
        <v>02201</v>
      </c>
      <c r="T12" s="514"/>
      <c r="U12" s="506">
        <f t="shared" si="4"/>
        <v>2201</v>
      </c>
      <c r="W12" s="531" t="s">
        <v>182</v>
      </c>
      <c r="X12" s="532" t="s">
        <v>193</v>
      </c>
      <c r="Z12" s="1144">
        <f>11016628.2027/10000</f>
        <v>1101.6628202700001</v>
      </c>
      <c r="AA12" s="487">
        <v>270</v>
      </c>
      <c r="AB12" s="533">
        <f>1.8/100*AA12*10000</f>
        <v>48600</v>
      </c>
      <c r="AC12" s="534">
        <f>2.2/100*AA12*10000</f>
        <v>59400.000000000007</v>
      </c>
      <c r="AD12" s="535" t="e">
        <f>+AB12/10000*#REF!</f>
        <v>#REF!</v>
      </c>
      <c r="AE12" s="535" t="e">
        <f>+AC12/10000*#REF!</f>
        <v>#REF!</v>
      </c>
      <c r="AF12" s="536" t="e">
        <f>SUM(AD12:AE12)*(1+$AF$3)</f>
        <v>#REF!</v>
      </c>
      <c r="AG12" s="536" t="e">
        <f>+AF12*1.5</f>
        <v>#REF!</v>
      </c>
    </row>
    <row r="13" spans="1:34" ht="13" customHeight="1" thickTop="1" thickBot="1" x14ac:dyDescent="0.4">
      <c r="A13" s="506" t="str">
        <f t="shared" si="1"/>
        <v>02202</v>
      </c>
      <c r="B13" s="1140"/>
      <c r="C13" s="1143"/>
      <c r="D13" s="518" t="s">
        <v>184</v>
      </c>
      <c r="E13" s="519" t="s">
        <v>193</v>
      </c>
      <c r="F13" s="993"/>
      <c r="G13" s="1033"/>
      <c r="H13" s="1023">
        <v>0</v>
      </c>
      <c r="I13" s="994"/>
      <c r="J13" s="1004">
        <v>148541</v>
      </c>
      <c r="K13" s="520"/>
      <c r="L13" s="520"/>
      <c r="M13" s="510"/>
      <c r="N13" s="510"/>
      <c r="O13" s="511" t="str">
        <f t="shared" si="0"/>
        <v>02</v>
      </c>
      <c r="P13" s="511">
        <f t="shared" si="0"/>
        <v>2</v>
      </c>
      <c r="Q13" s="511" t="str">
        <f t="shared" si="0"/>
        <v>02</v>
      </c>
      <c r="R13" s="512" t="str">
        <f t="shared" si="2"/>
        <v>202</v>
      </c>
      <c r="S13" s="513" t="str">
        <f t="shared" si="3"/>
        <v>02202</v>
      </c>
      <c r="T13" s="514"/>
      <c r="U13" s="506">
        <f t="shared" si="4"/>
        <v>2202</v>
      </c>
      <c r="W13" s="531" t="s">
        <v>184</v>
      </c>
      <c r="X13" s="532" t="s">
        <v>192</v>
      </c>
      <c r="Z13" s="1144"/>
      <c r="AA13" s="487">
        <v>270</v>
      </c>
      <c r="AB13" s="533">
        <f>1.8/100*AA13*10000</f>
        <v>48600</v>
      </c>
      <c r="AC13" s="534">
        <f>2.2/100*AA13*10000</f>
        <v>59400.000000000007</v>
      </c>
      <c r="AD13" s="535" t="e">
        <f>+AB13/10000*#REF!</f>
        <v>#REF!</v>
      </c>
      <c r="AE13" s="535" t="e">
        <f>+AC13/10000*#REF!</f>
        <v>#REF!</v>
      </c>
      <c r="AF13" s="536" t="e">
        <f>SUM(AD13:AE13)*(1+$AF$3)</f>
        <v>#REF!</v>
      </c>
      <c r="AG13" s="536" t="e">
        <f>+AF13*1.5</f>
        <v>#REF!</v>
      </c>
    </row>
    <row r="14" spans="1:34" ht="13" customHeight="1" thickTop="1" thickBot="1" x14ac:dyDescent="0.4">
      <c r="A14" s="506" t="str">
        <f t="shared" si="1"/>
        <v>020301</v>
      </c>
      <c r="B14" s="1140"/>
      <c r="C14" s="537" t="s">
        <v>187</v>
      </c>
      <c r="D14" s="538" t="s">
        <v>182</v>
      </c>
      <c r="E14" s="539" t="s">
        <v>194</v>
      </c>
      <c r="F14" s="1005"/>
      <c r="G14" s="1006"/>
      <c r="H14" s="1004">
        <v>197603</v>
      </c>
      <c r="I14" s="1007"/>
      <c r="J14" s="1004">
        <v>454117</v>
      </c>
      <c r="K14" s="540"/>
      <c r="L14" s="540"/>
      <c r="M14" s="510"/>
      <c r="N14" s="510"/>
      <c r="O14" s="511" t="str">
        <f t="shared" si="0"/>
        <v>02</v>
      </c>
      <c r="P14" s="511" t="str">
        <f t="shared" si="0"/>
        <v>03</v>
      </c>
      <c r="Q14" s="511" t="str">
        <f t="shared" si="0"/>
        <v>01</v>
      </c>
      <c r="R14" s="512" t="str">
        <f t="shared" si="2"/>
        <v>0301</v>
      </c>
      <c r="S14" s="513" t="str">
        <f t="shared" si="3"/>
        <v>020301</v>
      </c>
      <c r="T14" s="514"/>
      <c r="U14" s="506">
        <f t="shared" si="4"/>
        <v>20301</v>
      </c>
      <c r="Z14" s="1034">
        <f>7160777.21330999/10000</f>
        <v>716.077721330999</v>
      </c>
      <c r="AA14" s="1034">
        <f>+Z14</f>
        <v>716.077721330999</v>
      </c>
      <c r="AB14" s="533">
        <f>1.8/100*AA14*10000</f>
        <v>128893.98983957984</v>
      </c>
      <c r="AC14" s="534">
        <f>2.2/100*AA14*10000</f>
        <v>157537.0986928198</v>
      </c>
      <c r="AD14" s="535" t="e">
        <f>+AB14/10000*#REF!</f>
        <v>#REF!</v>
      </c>
      <c r="AE14" s="535" t="e">
        <f>+AC14/10000*#REF!</f>
        <v>#REF!</v>
      </c>
      <c r="AF14" s="536" t="e">
        <f>SUM(AD14:AE14)*(1+$AF$3)</f>
        <v>#REF!</v>
      </c>
      <c r="AG14" s="536" t="e">
        <f>+AF14*1.5</f>
        <v>#REF!</v>
      </c>
    </row>
    <row r="15" spans="1:34" ht="13" customHeight="1" thickTop="1" x14ac:dyDescent="0.35">
      <c r="A15" s="506" t="str">
        <f t="shared" si="1"/>
        <v>020401</v>
      </c>
      <c r="B15" s="1140"/>
      <c r="C15" s="1142" t="s">
        <v>195</v>
      </c>
      <c r="D15" s="515" t="s">
        <v>182</v>
      </c>
      <c r="E15" s="516" t="s">
        <v>196</v>
      </c>
      <c r="F15" s="987"/>
      <c r="G15" s="991"/>
      <c r="H15" s="1146">
        <v>6288</v>
      </c>
      <c r="I15" s="992"/>
      <c r="J15" s="1148">
        <v>123129</v>
      </c>
      <c r="K15" s="517"/>
      <c r="L15" s="517"/>
      <c r="M15" s="510"/>
      <c r="N15" s="510"/>
      <c r="O15" s="511" t="str">
        <f t="shared" si="0"/>
        <v>02</v>
      </c>
      <c r="P15" s="511" t="str">
        <f t="shared" si="0"/>
        <v>04</v>
      </c>
      <c r="Q15" s="511" t="str">
        <f t="shared" si="0"/>
        <v>01</v>
      </c>
      <c r="R15" s="512" t="str">
        <f t="shared" si="2"/>
        <v>0401</v>
      </c>
      <c r="S15" s="513" t="str">
        <f t="shared" si="3"/>
        <v>020401</v>
      </c>
      <c r="T15" s="514"/>
      <c r="U15" s="506">
        <f t="shared" si="4"/>
        <v>20401</v>
      </c>
    </row>
    <row r="16" spans="1:34" ht="13" customHeight="1" x14ac:dyDescent="0.35">
      <c r="A16" s="506" t="str">
        <f t="shared" si="1"/>
        <v>020402</v>
      </c>
      <c r="B16" s="1150"/>
      <c r="C16" s="1145"/>
      <c r="D16" s="527" t="s">
        <v>184</v>
      </c>
      <c r="E16" s="528" t="s">
        <v>197</v>
      </c>
      <c r="F16" s="1001"/>
      <c r="G16" s="1002"/>
      <c r="H16" s="1147"/>
      <c r="I16" s="1003"/>
      <c r="J16" s="1149"/>
      <c r="K16" s="529"/>
      <c r="L16" s="529"/>
      <c r="M16" s="510"/>
      <c r="N16" s="510"/>
      <c r="O16" s="511" t="str">
        <f t="shared" si="0"/>
        <v>02</v>
      </c>
      <c r="P16" s="511" t="str">
        <f t="shared" si="0"/>
        <v>04</v>
      </c>
      <c r="Q16" s="511" t="str">
        <f t="shared" si="0"/>
        <v>02</v>
      </c>
      <c r="R16" s="512" t="str">
        <f t="shared" si="2"/>
        <v>0402</v>
      </c>
      <c r="S16" s="513" t="str">
        <f t="shared" si="3"/>
        <v>020402</v>
      </c>
      <c r="T16" s="514"/>
      <c r="U16" s="506">
        <f t="shared" si="4"/>
        <v>20402</v>
      </c>
    </row>
    <row r="17" spans="1:24" ht="13" customHeight="1" x14ac:dyDescent="0.35">
      <c r="A17" s="506" t="str">
        <f t="shared" si="1"/>
        <v>030101</v>
      </c>
      <c r="B17" s="1139" t="s">
        <v>187</v>
      </c>
      <c r="C17" s="1027" t="s">
        <v>182</v>
      </c>
      <c r="D17" s="507" t="s">
        <v>182</v>
      </c>
      <c r="E17" s="633" t="s">
        <v>198</v>
      </c>
      <c r="F17" s="999">
        <v>106996</v>
      </c>
      <c r="G17" s="1032">
        <v>0</v>
      </c>
      <c r="H17" s="1022">
        <v>54363</v>
      </c>
      <c r="I17" s="1000">
        <v>0</v>
      </c>
      <c r="J17" s="1022">
        <v>83755</v>
      </c>
      <c r="K17" s="525"/>
      <c r="L17" s="525"/>
      <c r="M17" s="510"/>
      <c r="N17" s="510"/>
      <c r="O17" s="511" t="str">
        <f t="shared" si="0"/>
        <v>03</v>
      </c>
      <c r="P17" s="511" t="str">
        <f t="shared" si="0"/>
        <v>01</v>
      </c>
      <c r="Q17" s="511" t="str">
        <f t="shared" si="0"/>
        <v>01</v>
      </c>
      <c r="R17" s="512" t="str">
        <f t="shared" si="2"/>
        <v>0101</v>
      </c>
      <c r="S17" s="513" t="str">
        <f t="shared" si="3"/>
        <v>030101</v>
      </c>
      <c r="T17" s="514"/>
      <c r="U17" s="506">
        <f t="shared" si="4"/>
        <v>30101</v>
      </c>
      <c r="X17" s="541" t="s">
        <v>199</v>
      </c>
    </row>
    <row r="18" spans="1:24" ht="13" customHeight="1" x14ac:dyDescent="0.35">
      <c r="A18" s="506" t="str">
        <f t="shared" si="1"/>
        <v>030201</v>
      </c>
      <c r="B18" s="1140"/>
      <c r="C18" s="1028" t="s">
        <v>184</v>
      </c>
      <c r="D18" s="518" t="s">
        <v>182</v>
      </c>
      <c r="E18" s="519" t="s">
        <v>200</v>
      </c>
      <c r="F18" s="993">
        <v>186106</v>
      </c>
      <c r="G18" s="1008">
        <v>4429229.1859283596</v>
      </c>
      <c r="H18" s="1023">
        <v>342952</v>
      </c>
      <c r="I18" s="994">
        <v>0</v>
      </c>
      <c r="J18" s="1023">
        <v>489416</v>
      </c>
      <c r="K18" s="520"/>
      <c r="L18" s="520"/>
      <c r="M18" s="510"/>
      <c r="N18" s="510"/>
      <c r="O18" s="511" t="str">
        <f t="shared" si="0"/>
        <v>03</v>
      </c>
      <c r="P18" s="511" t="str">
        <f t="shared" si="0"/>
        <v>02</v>
      </c>
      <c r="Q18" s="511" t="str">
        <f t="shared" si="0"/>
        <v>01</v>
      </c>
      <c r="R18" s="512" t="str">
        <f t="shared" si="2"/>
        <v>0201</v>
      </c>
      <c r="S18" s="513" t="str">
        <f t="shared" si="3"/>
        <v>030201</v>
      </c>
      <c r="T18" s="514"/>
      <c r="U18" s="506">
        <f t="shared" si="4"/>
        <v>30201</v>
      </c>
    </row>
    <row r="19" spans="1:24" ht="13" customHeight="1" x14ac:dyDescent="0.35">
      <c r="A19" s="506" t="str">
        <f t="shared" si="1"/>
        <v>030301</v>
      </c>
      <c r="B19" s="1140"/>
      <c r="C19" s="1142" t="s">
        <v>187</v>
      </c>
      <c r="D19" s="515" t="s">
        <v>182</v>
      </c>
      <c r="E19" s="516" t="s">
        <v>201</v>
      </c>
      <c r="F19" s="987">
        <v>269617</v>
      </c>
      <c r="G19" s="1008">
        <v>7367096.3034543293</v>
      </c>
      <c r="H19" s="1020">
        <v>1081436</v>
      </c>
      <c r="I19" s="992">
        <v>0</v>
      </c>
      <c r="J19" s="1020">
        <v>1371712</v>
      </c>
      <c r="K19" s="517"/>
      <c r="L19" s="517"/>
      <c r="M19" s="510"/>
      <c r="N19" s="510"/>
      <c r="O19" s="511" t="str">
        <f t="shared" si="0"/>
        <v>03</v>
      </c>
      <c r="P19" s="511" t="str">
        <f t="shared" si="0"/>
        <v>03</v>
      </c>
      <c r="Q19" s="511" t="str">
        <f t="shared" si="0"/>
        <v>01</v>
      </c>
      <c r="R19" s="512" t="str">
        <f t="shared" si="2"/>
        <v>0301</v>
      </c>
      <c r="S19" s="513" t="str">
        <f t="shared" si="3"/>
        <v>030301</v>
      </c>
      <c r="T19" s="514"/>
      <c r="U19" s="506">
        <f t="shared" si="4"/>
        <v>30301</v>
      </c>
    </row>
    <row r="20" spans="1:24" ht="13" customHeight="1" x14ac:dyDescent="0.35">
      <c r="A20" s="506" t="str">
        <f t="shared" si="1"/>
        <v>030302</v>
      </c>
      <c r="B20" s="1140"/>
      <c r="C20" s="1143"/>
      <c r="D20" s="518" t="s">
        <v>184</v>
      </c>
      <c r="E20" s="519" t="s">
        <v>202</v>
      </c>
      <c r="F20" s="993">
        <v>429266</v>
      </c>
      <c r="G20" s="1033">
        <v>0</v>
      </c>
      <c r="H20" s="1023">
        <v>0</v>
      </c>
      <c r="I20" s="994">
        <v>0</v>
      </c>
      <c r="J20" s="1023">
        <v>783669</v>
      </c>
      <c r="K20" s="520"/>
      <c r="L20" s="520"/>
      <c r="M20" s="510"/>
      <c r="N20" s="510"/>
      <c r="O20" s="511" t="str">
        <f t="shared" ref="O20:Q35" si="5">IF(B20="",O19,B20)</f>
        <v>03</v>
      </c>
      <c r="P20" s="511" t="str">
        <f t="shared" si="5"/>
        <v>03</v>
      </c>
      <c r="Q20" s="511" t="str">
        <f t="shared" si="5"/>
        <v>02</v>
      </c>
      <c r="R20" s="512" t="str">
        <f t="shared" si="2"/>
        <v>0302</v>
      </c>
      <c r="S20" s="513" t="str">
        <f t="shared" si="3"/>
        <v>030302</v>
      </c>
      <c r="T20" s="514"/>
      <c r="U20" s="506">
        <f t="shared" si="4"/>
        <v>30302</v>
      </c>
    </row>
    <row r="21" spans="1:24" ht="13" customHeight="1" x14ac:dyDescent="0.35">
      <c r="A21" s="506" t="str">
        <f t="shared" si="1"/>
        <v>030401</v>
      </c>
      <c r="B21" s="1141"/>
      <c r="C21" s="521" t="s">
        <v>195</v>
      </c>
      <c r="D21" s="522" t="s">
        <v>182</v>
      </c>
      <c r="E21" s="523" t="s">
        <v>203</v>
      </c>
      <c r="F21" s="995">
        <v>44674</v>
      </c>
      <c r="G21" s="996">
        <v>0</v>
      </c>
      <c r="H21" s="997">
        <v>0</v>
      </c>
      <c r="I21" s="998">
        <v>0</v>
      </c>
      <c r="J21" s="997">
        <v>0</v>
      </c>
      <c r="K21" s="524"/>
      <c r="L21" s="524"/>
      <c r="M21" s="510"/>
      <c r="N21" s="510"/>
      <c r="O21" s="511" t="str">
        <f t="shared" si="5"/>
        <v>03</v>
      </c>
      <c r="P21" s="511" t="str">
        <f t="shared" si="5"/>
        <v>04</v>
      </c>
      <c r="Q21" s="511" t="str">
        <f t="shared" si="5"/>
        <v>01</v>
      </c>
      <c r="R21" s="512" t="str">
        <f t="shared" si="2"/>
        <v>0401</v>
      </c>
      <c r="S21" s="513" t="str">
        <f t="shared" si="3"/>
        <v>030401</v>
      </c>
      <c r="T21" s="514"/>
      <c r="U21" s="506">
        <f t="shared" si="4"/>
        <v>30401</v>
      </c>
    </row>
    <row r="22" spans="1:24" ht="13" customHeight="1" x14ac:dyDescent="0.35">
      <c r="A22" s="506" t="str">
        <f t="shared" si="1"/>
        <v>040101</v>
      </c>
      <c r="B22" s="1139" t="s">
        <v>195</v>
      </c>
      <c r="C22" s="1027" t="s">
        <v>182</v>
      </c>
      <c r="D22" s="507" t="s">
        <v>182</v>
      </c>
      <c r="E22" s="508" t="s">
        <v>204</v>
      </c>
      <c r="F22" s="999">
        <v>131294</v>
      </c>
      <c r="G22" s="1032">
        <v>0</v>
      </c>
      <c r="H22" s="1022">
        <v>122966</v>
      </c>
      <c r="I22" s="1000">
        <v>0</v>
      </c>
      <c r="J22" s="1022">
        <v>288603</v>
      </c>
      <c r="K22" s="525"/>
      <c r="L22" s="525"/>
      <c r="M22" s="510"/>
      <c r="N22" s="510"/>
      <c r="O22" s="511" t="str">
        <f t="shared" si="5"/>
        <v>04</v>
      </c>
      <c r="P22" s="511" t="str">
        <f t="shared" si="5"/>
        <v>01</v>
      </c>
      <c r="Q22" s="511" t="str">
        <f t="shared" si="5"/>
        <v>01</v>
      </c>
      <c r="R22" s="512" t="str">
        <f t="shared" si="2"/>
        <v>0101</v>
      </c>
      <c r="S22" s="513" t="str">
        <f t="shared" si="3"/>
        <v>040101</v>
      </c>
      <c r="T22" s="514"/>
      <c r="U22" s="506">
        <f t="shared" si="4"/>
        <v>40101</v>
      </c>
    </row>
    <row r="23" spans="1:24" ht="13" customHeight="1" x14ac:dyDescent="0.35">
      <c r="A23" s="506" t="str">
        <f t="shared" si="1"/>
        <v>040201</v>
      </c>
      <c r="B23" s="1140"/>
      <c r="C23" s="1030" t="s">
        <v>184</v>
      </c>
      <c r="D23" s="527" t="s">
        <v>182</v>
      </c>
      <c r="E23" s="634" t="s">
        <v>205</v>
      </c>
      <c r="F23" s="1002">
        <v>192067</v>
      </c>
      <c r="G23" s="1002">
        <v>0</v>
      </c>
      <c r="H23" s="1021">
        <v>23205</v>
      </c>
      <c r="I23" s="1003">
        <v>0</v>
      </c>
      <c r="J23" s="1021">
        <v>153118</v>
      </c>
      <c r="K23" s="529"/>
      <c r="L23" s="529"/>
      <c r="M23" s="510"/>
      <c r="N23" s="510"/>
      <c r="O23" s="511" t="str">
        <f t="shared" si="5"/>
        <v>04</v>
      </c>
      <c r="P23" s="511" t="str">
        <f t="shared" si="5"/>
        <v>02</v>
      </c>
      <c r="Q23" s="511" t="str">
        <f t="shared" si="5"/>
        <v>01</v>
      </c>
      <c r="R23" s="512" t="str">
        <f t="shared" si="2"/>
        <v>0201</v>
      </c>
      <c r="S23" s="513" t="str">
        <f t="shared" si="3"/>
        <v>040201</v>
      </c>
      <c r="T23" s="514"/>
      <c r="U23" s="506">
        <f t="shared" si="4"/>
        <v>40201</v>
      </c>
      <c r="X23" s="542" t="s">
        <v>206</v>
      </c>
    </row>
    <row r="24" spans="1:24" ht="13" customHeight="1" x14ac:dyDescent="0.35">
      <c r="A24" s="506" t="str">
        <f t="shared" si="1"/>
        <v>040301</v>
      </c>
      <c r="B24" s="1150"/>
      <c r="C24" s="1031" t="s">
        <v>187</v>
      </c>
      <c r="D24" s="543" t="s">
        <v>182</v>
      </c>
      <c r="E24" s="544" t="s">
        <v>207</v>
      </c>
      <c r="F24" s="1009">
        <v>193349</v>
      </c>
      <c r="G24" s="1008">
        <v>133752</v>
      </c>
      <c r="H24" s="1024">
        <v>542349</v>
      </c>
      <c r="I24" s="1010">
        <v>0</v>
      </c>
      <c r="J24" s="1024">
        <v>733675</v>
      </c>
      <c r="K24" s="545"/>
      <c r="L24" s="545"/>
      <c r="M24" s="510"/>
      <c r="N24" s="510"/>
      <c r="O24" s="511" t="str">
        <f t="shared" si="5"/>
        <v>04</v>
      </c>
      <c r="P24" s="511" t="str">
        <f t="shared" si="5"/>
        <v>03</v>
      </c>
      <c r="Q24" s="511" t="str">
        <f t="shared" si="5"/>
        <v>01</v>
      </c>
      <c r="R24" s="512" t="str">
        <f t="shared" si="2"/>
        <v>0301</v>
      </c>
      <c r="S24" s="513" t="str">
        <f t="shared" si="3"/>
        <v>040301</v>
      </c>
      <c r="T24" s="514"/>
      <c r="U24" s="506">
        <f t="shared" si="4"/>
        <v>40301</v>
      </c>
    </row>
    <row r="25" spans="1:24" ht="13" customHeight="1" x14ac:dyDescent="0.35">
      <c r="A25" s="506" t="str">
        <f t="shared" si="1"/>
        <v>050101</v>
      </c>
      <c r="B25" s="1139" t="s">
        <v>208</v>
      </c>
      <c r="C25" s="1151" t="s">
        <v>182</v>
      </c>
      <c r="D25" s="507" t="s">
        <v>182</v>
      </c>
      <c r="E25" s="547" t="s">
        <v>209</v>
      </c>
      <c r="F25" s="999">
        <v>78472</v>
      </c>
      <c r="G25" s="1032">
        <v>0</v>
      </c>
      <c r="H25" s="1022">
        <v>0</v>
      </c>
      <c r="I25" s="1000">
        <v>0</v>
      </c>
      <c r="J25" s="1022">
        <v>142790</v>
      </c>
      <c r="K25" s="525"/>
      <c r="L25" s="525"/>
      <c r="M25" s="510"/>
      <c r="N25" s="510"/>
      <c r="O25" s="511" t="str">
        <f t="shared" si="5"/>
        <v>05</v>
      </c>
      <c r="P25" s="511" t="str">
        <f t="shared" si="5"/>
        <v>01</v>
      </c>
      <c r="Q25" s="511" t="str">
        <f t="shared" si="5"/>
        <v>01</v>
      </c>
      <c r="R25" s="512" t="str">
        <f t="shared" si="2"/>
        <v>0101</v>
      </c>
      <c r="S25" s="513" t="str">
        <f t="shared" si="3"/>
        <v>050101</v>
      </c>
      <c r="T25" s="514"/>
      <c r="U25" s="506">
        <f t="shared" si="4"/>
        <v>50101</v>
      </c>
      <c r="W25" s="548" t="s">
        <v>182</v>
      </c>
      <c r="X25" s="541" t="s">
        <v>210</v>
      </c>
    </row>
    <row r="26" spans="1:24" ht="13" customHeight="1" x14ac:dyDescent="0.35">
      <c r="A26" s="506" t="str">
        <f t="shared" si="1"/>
        <v>050102</v>
      </c>
      <c r="B26" s="1140"/>
      <c r="C26" s="1143"/>
      <c r="D26" s="518" t="s">
        <v>184</v>
      </c>
      <c r="E26" s="519" t="s">
        <v>210</v>
      </c>
      <c r="F26" s="993">
        <v>194978</v>
      </c>
      <c r="G26" s="1033">
        <v>446820</v>
      </c>
      <c r="H26" s="1023">
        <v>205363</v>
      </c>
      <c r="I26" s="994">
        <v>143954</v>
      </c>
      <c r="J26" s="1023">
        <v>405760</v>
      </c>
      <c r="K26" s="520"/>
      <c r="L26" s="520"/>
      <c r="M26" s="510"/>
      <c r="N26" s="510"/>
      <c r="O26" s="511" t="str">
        <f t="shared" si="5"/>
        <v>05</v>
      </c>
      <c r="P26" s="511" t="str">
        <f t="shared" si="5"/>
        <v>01</v>
      </c>
      <c r="Q26" s="511" t="str">
        <f t="shared" si="5"/>
        <v>02</v>
      </c>
      <c r="R26" s="512" t="str">
        <f t="shared" si="2"/>
        <v>0102</v>
      </c>
      <c r="S26" s="513" t="str">
        <f t="shared" si="3"/>
        <v>050102</v>
      </c>
      <c r="T26" s="514"/>
      <c r="U26" s="506">
        <f t="shared" si="4"/>
        <v>50102</v>
      </c>
      <c r="W26" s="531" t="s">
        <v>184</v>
      </c>
      <c r="X26" s="549" t="s">
        <v>209</v>
      </c>
    </row>
    <row r="27" spans="1:24" ht="13" customHeight="1" x14ac:dyDescent="0.35">
      <c r="A27" s="506" t="str">
        <f t="shared" si="1"/>
        <v>050201</v>
      </c>
      <c r="B27" s="1141"/>
      <c r="C27" s="1031" t="s">
        <v>184</v>
      </c>
      <c r="D27" s="543" t="s">
        <v>182</v>
      </c>
      <c r="E27" s="635" t="s">
        <v>211</v>
      </c>
      <c r="F27" s="1009">
        <v>179042</v>
      </c>
      <c r="G27" s="1008">
        <v>205705</v>
      </c>
      <c r="H27" s="1024">
        <v>266373</v>
      </c>
      <c r="I27" s="1010">
        <v>3083985</v>
      </c>
      <c r="J27" s="1024">
        <v>409550</v>
      </c>
      <c r="K27" s="545"/>
      <c r="L27" s="545"/>
      <c r="M27" s="510"/>
      <c r="N27" s="510"/>
      <c r="O27" s="511" t="str">
        <f t="shared" si="5"/>
        <v>05</v>
      </c>
      <c r="P27" s="511" t="str">
        <f t="shared" si="5"/>
        <v>02</v>
      </c>
      <c r="Q27" s="511" t="str">
        <f t="shared" si="5"/>
        <v>01</v>
      </c>
      <c r="R27" s="512" t="str">
        <f t="shared" si="2"/>
        <v>0201</v>
      </c>
      <c r="S27" s="513" t="str">
        <f t="shared" si="3"/>
        <v>050201</v>
      </c>
      <c r="T27" s="514"/>
      <c r="U27" s="506">
        <f t="shared" si="4"/>
        <v>50201</v>
      </c>
      <c r="X27" s="550" t="s">
        <v>212</v>
      </c>
    </row>
    <row r="28" spans="1:24" ht="13" customHeight="1" x14ac:dyDescent="0.35">
      <c r="A28" s="506" t="str">
        <f t="shared" si="1"/>
        <v>060101</v>
      </c>
      <c r="B28" s="1139" t="s">
        <v>213</v>
      </c>
      <c r="C28" s="1027" t="s">
        <v>182</v>
      </c>
      <c r="D28" s="507" t="s">
        <v>182</v>
      </c>
      <c r="E28" s="636" t="s">
        <v>214</v>
      </c>
      <c r="F28" s="999">
        <v>99484</v>
      </c>
      <c r="G28" s="1158">
        <v>6000</v>
      </c>
      <c r="H28" s="1152">
        <v>200422</v>
      </c>
      <c r="I28" s="1000">
        <v>0</v>
      </c>
      <c r="J28" s="1155">
        <v>297040</v>
      </c>
      <c r="K28" s="525"/>
      <c r="L28" s="525"/>
      <c r="M28" s="510"/>
      <c r="N28" s="510"/>
      <c r="O28" s="511" t="str">
        <f t="shared" si="5"/>
        <v>06</v>
      </c>
      <c r="P28" s="511" t="str">
        <f t="shared" si="5"/>
        <v>01</v>
      </c>
      <c r="Q28" s="511" t="str">
        <f t="shared" si="5"/>
        <v>01</v>
      </c>
      <c r="R28" s="512" t="str">
        <f t="shared" si="2"/>
        <v>0101</v>
      </c>
      <c r="S28" s="513" t="str">
        <f t="shared" si="3"/>
        <v>060101</v>
      </c>
      <c r="T28" s="514"/>
      <c r="U28" s="506">
        <f t="shared" si="4"/>
        <v>60101</v>
      </c>
      <c r="X28" s="541" t="s">
        <v>215</v>
      </c>
    </row>
    <row r="29" spans="1:24" ht="13" customHeight="1" x14ac:dyDescent="0.35">
      <c r="A29" s="506" t="str">
        <f t="shared" si="1"/>
        <v>060102</v>
      </c>
      <c r="B29" s="1140"/>
      <c r="C29" s="1028" t="s">
        <v>182</v>
      </c>
      <c r="D29" s="518" t="s">
        <v>184</v>
      </c>
      <c r="E29" s="637" t="s">
        <v>216</v>
      </c>
      <c r="F29" s="993">
        <v>188349</v>
      </c>
      <c r="G29" s="1159"/>
      <c r="H29" s="1154"/>
      <c r="I29" s="994">
        <v>0</v>
      </c>
      <c r="J29" s="1157"/>
      <c r="K29" s="520"/>
      <c r="L29" s="520"/>
      <c r="M29" s="510"/>
      <c r="N29" s="510"/>
      <c r="O29" s="511" t="str">
        <f t="shared" si="5"/>
        <v>06</v>
      </c>
      <c r="P29" s="511" t="str">
        <f t="shared" si="5"/>
        <v>01</v>
      </c>
      <c r="Q29" s="511" t="str">
        <f t="shared" si="5"/>
        <v>02</v>
      </c>
      <c r="R29" s="512" t="str">
        <f t="shared" si="2"/>
        <v>0102</v>
      </c>
      <c r="S29" s="513" t="str">
        <f t="shared" si="3"/>
        <v>060102</v>
      </c>
      <c r="T29" s="514"/>
      <c r="U29" s="506">
        <f t="shared" si="4"/>
        <v>60102</v>
      </c>
      <c r="X29" s="542" t="s">
        <v>217</v>
      </c>
    </row>
    <row r="30" spans="1:24" ht="13" customHeight="1" x14ac:dyDescent="0.35">
      <c r="A30" s="506" t="str">
        <f t="shared" si="1"/>
        <v>060201</v>
      </c>
      <c r="B30" s="1140"/>
      <c r="C30" s="1029" t="s">
        <v>184</v>
      </c>
      <c r="D30" s="515" t="s">
        <v>182</v>
      </c>
      <c r="E30" s="638" t="s">
        <v>218</v>
      </c>
      <c r="F30" s="987">
        <v>257661</v>
      </c>
      <c r="G30" s="991">
        <v>0</v>
      </c>
      <c r="H30" s="1146">
        <v>913612</v>
      </c>
      <c r="I30" s="992">
        <v>0</v>
      </c>
      <c r="J30" s="1148">
        <v>1049347</v>
      </c>
      <c r="K30" s="517"/>
      <c r="L30" s="517"/>
      <c r="M30" s="510"/>
      <c r="N30" s="510"/>
      <c r="O30" s="511" t="str">
        <f t="shared" si="5"/>
        <v>06</v>
      </c>
      <c r="P30" s="511" t="str">
        <f t="shared" si="5"/>
        <v>02</v>
      </c>
      <c r="Q30" s="511" t="str">
        <f t="shared" si="5"/>
        <v>01</v>
      </c>
      <c r="R30" s="512" t="str">
        <f t="shared" si="2"/>
        <v>0201</v>
      </c>
      <c r="S30" s="513" t="str">
        <f t="shared" si="3"/>
        <v>060201</v>
      </c>
      <c r="T30" s="514"/>
      <c r="U30" s="506">
        <f t="shared" si="4"/>
        <v>60201</v>
      </c>
      <c r="X30" s="542" t="s">
        <v>219</v>
      </c>
    </row>
    <row r="31" spans="1:24" ht="13" customHeight="1" x14ac:dyDescent="0.35">
      <c r="A31" s="506" t="str">
        <f t="shared" si="1"/>
        <v>060202</v>
      </c>
      <c r="B31" s="1140"/>
      <c r="C31" s="1028" t="s">
        <v>184</v>
      </c>
      <c r="D31" s="518" t="s">
        <v>184</v>
      </c>
      <c r="E31" s="639" t="s">
        <v>220</v>
      </c>
      <c r="F31" s="993">
        <v>106788</v>
      </c>
      <c r="G31" s="1033">
        <v>0</v>
      </c>
      <c r="H31" s="1154"/>
      <c r="I31" s="994">
        <v>0</v>
      </c>
      <c r="J31" s="1157"/>
      <c r="K31" s="520"/>
      <c r="L31" s="520"/>
      <c r="M31" s="510"/>
      <c r="N31" s="510"/>
      <c r="O31" s="511" t="str">
        <f t="shared" si="5"/>
        <v>06</v>
      </c>
      <c r="P31" s="511" t="str">
        <f t="shared" si="5"/>
        <v>02</v>
      </c>
      <c r="Q31" s="511" t="str">
        <f t="shared" si="5"/>
        <v>02</v>
      </c>
      <c r="R31" s="512" t="str">
        <f t="shared" si="2"/>
        <v>0202</v>
      </c>
      <c r="S31" s="513" t="str">
        <f t="shared" si="3"/>
        <v>060202</v>
      </c>
      <c r="T31" s="514"/>
      <c r="U31" s="506">
        <f t="shared" si="4"/>
        <v>60202</v>
      </c>
      <c r="X31" s="542" t="s">
        <v>221</v>
      </c>
    </row>
    <row r="32" spans="1:24" ht="13" customHeight="1" x14ac:dyDescent="0.35">
      <c r="A32" s="506" t="str">
        <f t="shared" si="1"/>
        <v>060301</v>
      </c>
      <c r="B32" s="1150"/>
      <c r="C32" s="1030" t="s">
        <v>187</v>
      </c>
      <c r="D32" s="527" t="s">
        <v>182</v>
      </c>
      <c r="E32" s="640" t="s">
        <v>221</v>
      </c>
      <c r="F32" s="1001">
        <v>132714</v>
      </c>
      <c r="G32" s="1002">
        <v>50000</v>
      </c>
      <c r="H32" s="1021">
        <v>388246</v>
      </c>
      <c r="I32" s="1003">
        <v>0</v>
      </c>
      <c r="J32" s="1011">
        <v>529900</v>
      </c>
      <c r="K32" s="529"/>
      <c r="L32" s="529"/>
      <c r="M32" s="510"/>
      <c r="N32" s="510"/>
      <c r="O32" s="511" t="str">
        <f t="shared" si="5"/>
        <v>06</v>
      </c>
      <c r="P32" s="511" t="str">
        <f t="shared" si="5"/>
        <v>03</v>
      </c>
      <c r="Q32" s="511" t="str">
        <f t="shared" si="5"/>
        <v>01</v>
      </c>
      <c r="R32" s="512" t="str">
        <f t="shared" si="2"/>
        <v>0301</v>
      </c>
      <c r="S32" s="513" t="str">
        <f t="shared" si="3"/>
        <v>060301</v>
      </c>
      <c r="T32" s="514"/>
      <c r="U32" s="506">
        <f t="shared" si="4"/>
        <v>60301</v>
      </c>
      <c r="X32" s="551" t="s">
        <v>222</v>
      </c>
    </row>
    <row r="33" spans="1:30" ht="13" customHeight="1" x14ac:dyDescent="0.35">
      <c r="A33" s="506" t="str">
        <f t="shared" si="1"/>
        <v>070101</v>
      </c>
      <c r="B33" s="1139" t="s">
        <v>223</v>
      </c>
      <c r="C33" s="1027" t="s">
        <v>182</v>
      </c>
      <c r="D33" s="507" t="s">
        <v>182</v>
      </c>
      <c r="E33" s="641" t="s">
        <v>224</v>
      </c>
      <c r="F33" s="999">
        <v>397833</v>
      </c>
      <c r="G33" s="1032">
        <v>0</v>
      </c>
      <c r="H33" s="1022">
        <v>126830</v>
      </c>
      <c r="I33" s="1012">
        <v>0</v>
      </c>
      <c r="J33" s="1013">
        <v>948569</v>
      </c>
      <c r="K33" s="552"/>
      <c r="L33" s="552"/>
      <c r="M33" s="510"/>
      <c r="N33" s="510"/>
      <c r="O33" s="511" t="str">
        <f t="shared" si="5"/>
        <v>07</v>
      </c>
      <c r="P33" s="511" t="str">
        <f t="shared" si="5"/>
        <v>01</v>
      </c>
      <c r="Q33" s="511" t="str">
        <f t="shared" si="5"/>
        <v>01</v>
      </c>
      <c r="R33" s="512" t="str">
        <f t="shared" si="2"/>
        <v>0101</v>
      </c>
      <c r="S33" s="513" t="str">
        <f t="shared" si="3"/>
        <v>070101</v>
      </c>
      <c r="T33" s="514"/>
      <c r="U33" s="506">
        <f t="shared" si="4"/>
        <v>70101</v>
      </c>
      <c r="X33" s="541" t="s">
        <v>225</v>
      </c>
    </row>
    <row r="34" spans="1:30" ht="13" customHeight="1" x14ac:dyDescent="0.35">
      <c r="A34" s="506" t="str">
        <f t="shared" si="1"/>
        <v>070201</v>
      </c>
      <c r="B34" s="1140"/>
      <c r="C34" s="1142" t="s">
        <v>184</v>
      </c>
      <c r="D34" s="515" t="s">
        <v>182</v>
      </c>
      <c r="E34" s="516" t="s">
        <v>226</v>
      </c>
      <c r="F34" s="987">
        <v>372136</v>
      </c>
      <c r="G34" s="991">
        <v>0</v>
      </c>
      <c r="H34" s="1146">
        <v>750728</v>
      </c>
      <c r="I34" s="992">
        <v>0</v>
      </c>
      <c r="J34" s="1148">
        <v>1089401</v>
      </c>
      <c r="K34" s="517"/>
      <c r="L34" s="517"/>
      <c r="M34" s="510"/>
      <c r="N34" s="510"/>
      <c r="O34" s="511" t="str">
        <f t="shared" si="5"/>
        <v>07</v>
      </c>
      <c r="P34" s="511" t="str">
        <f t="shared" si="5"/>
        <v>02</v>
      </c>
      <c r="Q34" s="511" t="str">
        <f t="shared" si="5"/>
        <v>01</v>
      </c>
      <c r="R34" s="512" t="str">
        <f t="shared" si="2"/>
        <v>0201</v>
      </c>
      <c r="S34" s="513" t="str">
        <f t="shared" si="3"/>
        <v>070201</v>
      </c>
      <c r="T34" s="514"/>
      <c r="U34" s="506">
        <f t="shared" si="4"/>
        <v>70201</v>
      </c>
    </row>
    <row r="35" spans="1:30" ht="13" customHeight="1" x14ac:dyDescent="0.35">
      <c r="A35" s="506" t="str">
        <f t="shared" si="1"/>
        <v>070202</v>
      </c>
      <c r="B35" s="1140"/>
      <c r="C35" s="1145"/>
      <c r="D35" s="527" t="s">
        <v>184</v>
      </c>
      <c r="E35" s="528" t="s">
        <v>227</v>
      </c>
      <c r="F35" s="1001">
        <v>172521</v>
      </c>
      <c r="G35" s="1002">
        <v>0</v>
      </c>
      <c r="H35" s="1153"/>
      <c r="I35" s="1003">
        <v>0</v>
      </c>
      <c r="J35" s="1156"/>
      <c r="K35" s="529"/>
      <c r="L35" s="529"/>
      <c r="M35" s="510"/>
      <c r="N35" s="510"/>
      <c r="O35" s="511" t="str">
        <f t="shared" si="5"/>
        <v>07</v>
      </c>
      <c r="P35" s="511" t="str">
        <f t="shared" si="5"/>
        <v>02</v>
      </c>
      <c r="Q35" s="511" t="str">
        <f t="shared" si="5"/>
        <v>02</v>
      </c>
      <c r="R35" s="512" t="str">
        <f t="shared" si="2"/>
        <v>0202</v>
      </c>
      <c r="S35" s="513" t="str">
        <f t="shared" si="3"/>
        <v>070202</v>
      </c>
      <c r="T35" s="514"/>
      <c r="U35" s="506">
        <f t="shared" si="4"/>
        <v>70202</v>
      </c>
    </row>
    <row r="36" spans="1:30" ht="13" customHeight="1" x14ac:dyDescent="0.35">
      <c r="A36" s="506" t="str">
        <f t="shared" si="1"/>
        <v>070203</v>
      </c>
      <c r="B36" s="1140"/>
      <c r="C36" s="1145"/>
      <c r="D36" s="527" t="s">
        <v>187</v>
      </c>
      <c r="E36" s="528" t="s">
        <v>228</v>
      </c>
      <c r="F36" s="1001">
        <v>465922</v>
      </c>
      <c r="G36" s="1002">
        <v>0</v>
      </c>
      <c r="H36" s="1153"/>
      <c r="I36" s="1003">
        <v>0</v>
      </c>
      <c r="J36" s="1156"/>
      <c r="K36" s="529"/>
      <c r="L36" s="529"/>
      <c r="M36" s="510"/>
      <c r="N36" s="510"/>
      <c r="O36" s="511" t="str">
        <f t="shared" ref="O36:Q51" si="6">IF(B36="",O35,B36)</f>
        <v>07</v>
      </c>
      <c r="P36" s="511" t="str">
        <f t="shared" si="6"/>
        <v>02</v>
      </c>
      <c r="Q36" s="511" t="str">
        <f t="shared" si="6"/>
        <v>03</v>
      </c>
      <c r="R36" s="512" t="str">
        <f t="shared" si="2"/>
        <v>0203</v>
      </c>
      <c r="S36" s="513" t="str">
        <f t="shared" si="3"/>
        <v>070203</v>
      </c>
      <c r="T36" s="514"/>
      <c r="U36" s="506">
        <f t="shared" si="4"/>
        <v>70203</v>
      </c>
      <c r="W36" s="531" t="s">
        <v>187</v>
      </c>
      <c r="X36" s="549" t="s">
        <v>229</v>
      </c>
    </row>
    <row r="37" spans="1:30" ht="13" customHeight="1" x14ac:dyDescent="0.35">
      <c r="A37" s="506" t="str">
        <f t="shared" si="1"/>
        <v>070204</v>
      </c>
      <c r="B37" s="1140"/>
      <c r="C37" s="1145"/>
      <c r="D37" s="527" t="s">
        <v>195</v>
      </c>
      <c r="E37" s="642" t="s">
        <v>230</v>
      </c>
      <c r="F37" s="1001">
        <v>795483</v>
      </c>
      <c r="G37" s="1002">
        <v>0</v>
      </c>
      <c r="H37" s="1025">
        <v>0</v>
      </c>
      <c r="I37" s="1003">
        <v>0</v>
      </c>
      <c r="J37" s="1021">
        <v>876415</v>
      </c>
      <c r="K37" s="529"/>
      <c r="L37" s="529"/>
      <c r="M37" s="510"/>
      <c r="N37" s="510"/>
      <c r="O37" s="511" t="str">
        <f t="shared" si="6"/>
        <v>07</v>
      </c>
      <c r="P37" s="511" t="str">
        <f t="shared" si="6"/>
        <v>02</v>
      </c>
      <c r="Q37" s="511" t="str">
        <f t="shared" si="6"/>
        <v>04</v>
      </c>
      <c r="R37" s="512" t="str">
        <f t="shared" si="2"/>
        <v>0204</v>
      </c>
      <c r="S37" s="513" t="str">
        <f t="shared" si="3"/>
        <v>070204</v>
      </c>
      <c r="T37" s="514"/>
      <c r="U37" s="506">
        <f t="shared" si="4"/>
        <v>70204</v>
      </c>
      <c r="W37" s="531" t="s">
        <v>195</v>
      </c>
      <c r="X37" s="542" t="s">
        <v>228</v>
      </c>
    </row>
    <row r="38" spans="1:30" ht="13" customHeight="1" x14ac:dyDescent="0.35">
      <c r="A38" s="506" t="str">
        <f t="shared" si="1"/>
        <v>070205</v>
      </c>
      <c r="B38" s="1140"/>
      <c r="C38" s="1143"/>
      <c r="D38" s="518" t="s">
        <v>208</v>
      </c>
      <c r="E38" s="519" t="s">
        <v>231</v>
      </c>
      <c r="F38" s="993">
        <v>790837</v>
      </c>
      <c r="G38" s="1033">
        <v>0</v>
      </c>
      <c r="H38" s="1026">
        <v>0</v>
      </c>
      <c r="I38" s="994">
        <v>0</v>
      </c>
      <c r="J38" s="1023">
        <v>923703</v>
      </c>
      <c r="K38" s="520"/>
      <c r="L38" s="520"/>
      <c r="M38" s="510"/>
      <c r="N38" s="510"/>
      <c r="O38" s="511" t="str">
        <f t="shared" si="6"/>
        <v>07</v>
      </c>
      <c r="P38" s="511" t="str">
        <f t="shared" si="6"/>
        <v>02</v>
      </c>
      <c r="Q38" s="511" t="str">
        <f t="shared" si="6"/>
        <v>05</v>
      </c>
      <c r="R38" s="512" t="str">
        <f t="shared" si="2"/>
        <v>0205</v>
      </c>
      <c r="S38" s="513" t="str">
        <f t="shared" si="3"/>
        <v>070205</v>
      </c>
      <c r="T38" s="514"/>
      <c r="U38" s="506">
        <f t="shared" si="4"/>
        <v>70205</v>
      </c>
    </row>
    <row r="39" spans="1:30" ht="13" customHeight="1" x14ac:dyDescent="0.35">
      <c r="A39" s="506" t="str">
        <f t="shared" si="1"/>
        <v>070301</v>
      </c>
      <c r="B39" s="1140"/>
      <c r="C39" s="1142" t="s">
        <v>187</v>
      </c>
      <c r="D39" s="515" t="s">
        <v>182</v>
      </c>
      <c r="E39" s="516" t="s">
        <v>232</v>
      </c>
      <c r="F39" s="987">
        <v>98877</v>
      </c>
      <c r="G39" s="991">
        <v>0</v>
      </c>
      <c r="H39" s="1146">
        <v>1976836</v>
      </c>
      <c r="I39" s="992">
        <v>0</v>
      </c>
      <c r="J39" s="1148">
        <v>2178329</v>
      </c>
      <c r="K39" s="517"/>
      <c r="L39" s="517"/>
      <c r="M39" s="510"/>
      <c r="N39" s="510"/>
      <c r="O39" s="511" t="str">
        <f t="shared" si="6"/>
        <v>07</v>
      </c>
      <c r="P39" s="511" t="str">
        <f t="shared" si="6"/>
        <v>03</v>
      </c>
      <c r="Q39" s="511" t="str">
        <f t="shared" si="6"/>
        <v>01</v>
      </c>
      <c r="R39" s="512" t="str">
        <f t="shared" si="2"/>
        <v>0301</v>
      </c>
      <c r="S39" s="513" t="str">
        <f t="shared" si="3"/>
        <v>070301</v>
      </c>
      <c r="T39" s="514"/>
      <c r="U39" s="506">
        <f t="shared" si="4"/>
        <v>70301</v>
      </c>
    </row>
    <row r="40" spans="1:30" ht="13" customHeight="1" x14ac:dyDescent="0.35">
      <c r="A40" s="506" t="str">
        <f t="shared" si="1"/>
        <v>070302</v>
      </c>
      <c r="B40" s="1141"/>
      <c r="C40" s="1160"/>
      <c r="D40" s="543" t="s">
        <v>184</v>
      </c>
      <c r="E40" s="643" t="s">
        <v>233</v>
      </c>
      <c r="F40" s="1009">
        <v>1429641</v>
      </c>
      <c r="G40" s="1008">
        <v>0</v>
      </c>
      <c r="H40" s="1147"/>
      <c r="I40" s="1010">
        <v>0</v>
      </c>
      <c r="J40" s="1149"/>
      <c r="K40" s="545"/>
      <c r="L40" s="545"/>
      <c r="M40" s="510"/>
      <c r="N40" s="510"/>
      <c r="O40" s="511" t="str">
        <f t="shared" si="6"/>
        <v>07</v>
      </c>
      <c r="P40" s="511" t="str">
        <f t="shared" si="6"/>
        <v>03</v>
      </c>
      <c r="Q40" s="511" t="str">
        <f t="shared" si="6"/>
        <v>02</v>
      </c>
      <c r="R40" s="512" t="str">
        <f t="shared" si="2"/>
        <v>0302</v>
      </c>
      <c r="S40" s="513" t="str">
        <f t="shared" si="3"/>
        <v>070302</v>
      </c>
      <c r="T40" s="514"/>
      <c r="U40" s="506">
        <f t="shared" si="4"/>
        <v>70302</v>
      </c>
      <c r="X40" s="550" t="s">
        <v>234</v>
      </c>
    </row>
    <row r="41" spans="1:30" ht="13" customHeight="1" x14ac:dyDescent="0.35">
      <c r="A41" s="506" t="str">
        <f t="shared" si="1"/>
        <v>080101</v>
      </c>
      <c r="B41" s="1161" t="s">
        <v>235</v>
      </c>
      <c r="C41" s="1028" t="s">
        <v>182</v>
      </c>
      <c r="D41" s="518" t="s">
        <v>182</v>
      </c>
      <c r="E41" s="519" t="s">
        <v>236</v>
      </c>
      <c r="F41" s="993">
        <v>53613</v>
      </c>
      <c r="G41" s="1033">
        <v>0</v>
      </c>
      <c r="H41" s="1023">
        <v>32509</v>
      </c>
      <c r="I41" s="994">
        <v>0</v>
      </c>
      <c r="J41" s="1023">
        <v>82580</v>
      </c>
      <c r="K41" s="520"/>
      <c r="L41" s="520"/>
      <c r="M41" s="510"/>
      <c r="N41" s="510"/>
      <c r="O41" s="511" t="str">
        <f t="shared" si="6"/>
        <v>08</v>
      </c>
      <c r="P41" s="511" t="str">
        <f t="shared" si="6"/>
        <v>01</v>
      </c>
      <c r="Q41" s="511" t="str">
        <f t="shared" si="6"/>
        <v>01</v>
      </c>
      <c r="R41" s="512" t="str">
        <f t="shared" si="2"/>
        <v>0101</v>
      </c>
      <c r="S41" s="513" t="str">
        <f t="shared" si="3"/>
        <v>080101</v>
      </c>
      <c r="T41" s="514"/>
      <c r="U41" s="506">
        <f t="shared" si="4"/>
        <v>80101</v>
      </c>
    </row>
    <row r="42" spans="1:30" ht="13" customHeight="1" x14ac:dyDescent="0.35">
      <c r="A42" s="506" t="str">
        <f t="shared" si="1"/>
        <v>080201</v>
      </c>
      <c r="B42" s="1140"/>
      <c r="C42" s="1142" t="s">
        <v>184</v>
      </c>
      <c r="D42" s="515" t="s">
        <v>182</v>
      </c>
      <c r="E42" s="516" t="s">
        <v>237</v>
      </c>
      <c r="F42" s="987">
        <v>144511</v>
      </c>
      <c r="G42" s="991">
        <v>0</v>
      </c>
      <c r="H42" s="1020">
        <v>723745</v>
      </c>
      <c r="I42" s="992">
        <v>0</v>
      </c>
      <c r="J42" s="1020">
        <v>740306</v>
      </c>
      <c r="K42" s="517"/>
      <c r="L42" s="517"/>
      <c r="M42" s="510"/>
      <c r="N42" s="510"/>
      <c r="O42" s="511" t="str">
        <f t="shared" si="6"/>
        <v>08</v>
      </c>
      <c r="P42" s="511" t="str">
        <f t="shared" si="6"/>
        <v>02</v>
      </c>
      <c r="Q42" s="511" t="str">
        <f t="shared" si="6"/>
        <v>01</v>
      </c>
      <c r="R42" s="512" t="str">
        <f t="shared" si="2"/>
        <v>0201</v>
      </c>
      <c r="S42" s="513" t="str">
        <f t="shared" si="3"/>
        <v>080201</v>
      </c>
      <c r="T42" s="514"/>
      <c r="U42" s="506">
        <f t="shared" si="4"/>
        <v>80201</v>
      </c>
      <c r="W42" s="531" t="s">
        <v>182</v>
      </c>
      <c r="X42" s="549" t="s">
        <v>238</v>
      </c>
      <c r="AD42" s="718"/>
    </row>
    <row r="43" spans="1:30" ht="13" customHeight="1" x14ac:dyDescent="0.35">
      <c r="A43" s="506" t="str">
        <f t="shared" si="1"/>
        <v>080202</v>
      </c>
      <c r="B43" s="1140"/>
      <c r="C43" s="1143"/>
      <c r="D43" s="518" t="s">
        <v>184</v>
      </c>
      <c r="E43" s="644" t="s">
        <v>239</v>
      </c>
      <c r="F43" s="993">
        <v>289687</v>
      </c>
      <c r="G43" s="1033">
        <v>0</v>
      </c>
      <c r="H43" s="1023">
        <v>106727</v>
      </c>
      <c r="I43" s="994">
        <v>0</v>
      </c>
      <c r="J43" s="1023">
        <v>874642</v>
      </c>
      <c r="K43" s="520"/>
      <c r="L43" s="520"/>
      <c r="M43" s="510"/>
      <c r="N43" s="510"/>
      <c r="O43" s="511" t="str">
        <f t="shared" si="6"/>
        <v>08</v>
      </c>
      <c r="P43" s="511" t="str">
        <f t="shared" si="6"/>
        <v>02</v>
      </c>
      <c r="Q43" s="511" t="str">
        <f t="shared" si="6"/>
        <v>02</v>
      </c>
      <c r="R43" s="512" t="str">
        <f t="shared" si="2"/>
        <v>0202</v>
      </c>
      <c r="S43" s="513" t="str">
        <f t="shared" si="3"/>
        <v>080202</v>
      </c>
      <c r="T43" s="514"/>
      <c r="U43" s="506">
        <f t="shared" si="4"/>
        <v>80202</v>
      </c>
      <c r="W43" s="531" t="s">
        <v>184</v>
      </c>
      <c r="X43" s="542" t="s">
        <v>237</v>
      </c>
    </row>
    <row r="44" spans="1:30" ht="13" customHeight="1" x14ac:dyDescent="0.35">
      <c r="A44" s="506" t="str">
        <f t="shared" si="1"/>
        <v>080301</v>
      </c>
      <c r="B44" s="1141"/>
      <c r="C44" s="1031" t="s">
        <v>187</v>
      </c>
      <c r="D44" s="543" t="s">
        <v>182</v>
      </c>
      <c r="E44" s="544" t="s">
        <v>240</v>
      </c>
      <c r="F44" s="1009">
        <v>631916</v>
      </c>
      <c r="G44" s="1008">
        <v>0</v>
      </c>
      <c r="H44" s="1024">
        <v>761378</v>
      </c>
      <c r="I44" s="1010">
        <v>0</v>
      </c>
      <c r="J44" s="1024">
        <v>1137472</v>
      </c>
      <c r="K44" s="545"/>
      <c r="L44" s="545"/>
      <c r="M44" s="510"/>
      <c r="N44" s="510"/>
      <c r="O44" s="511" t="str">
        <f t="shared" si="6"/>
        <v>08</v>
      </c>
      <c r="P44" s="511" t="str">
        <f t="shared" si="6"/>
        <v>03</v>
      </c>
      <c r="Q44" s="511" t="str">
        <f t="shared" si="6"/>
        <v>01</v>
      </c>
      <c r="R44" s="512" t="str">
        <f t="shared" si="2"/>
        <v>0301</v>
      </c>
      <c r="S44" s="513" t="str">
        <f t="shared" si="3"/>
        <v>080301</v>
      </c>
      <c r="T44" s="514"/>
      <c r="U44" s="506">
        <f t="shared" si="4"/>
        <v>80301</v>
      </c>
    </row>
    <row r="45" spans="1:30" ht="13" customHeight="1" x14ac:dyDescent="0.35">
      <c r="A45" s="506" t="str">
        <f t="shared" si="1"/>
        <v>090101</v>
      </c>
      <c r="B45" s="1139" t="s">
        <v>241</v>
      </c>
      <c r="C45" s="1151" t="s">
        <v>182</v>
      </c>
      <c r="D45" s="507" t="s">
        <v>182</v>
      </c>
      <c r="E45" s="508" t="s">
        <v>242</v>
      </c>
      <c r="F45" s="999">
        <v>226658</v>
      </c>
      <c r="G45" s="1032"/>
      <c r="H45" s="1152">
        <v>1937838.31611737</v>
      </c>
      <c r="I45" s="1000"/>
      <c r="J45" s="1155">
        <v>3228237</v>
      </c>
      <c r="K45" s="525"/>
      <c r="L45" s="525"/>
      <c r="M45" s="510"/>
      <c r="N45" s="510"/>
      <c r="O45" s="511" t="str">
        <f t="shared" si="6"/>
        <v>09</v>
      </c>
      <c r="P45" s="511" t="str">
        <f t="shared" si="6"/>
        <v>01</v>
      </c>
      <c r="Q45" s="511" t="str">
        <f t="shared" si="6"/>
        <v>01</v>
      </c>
      <c r="R45" s="512" t="str">
        <f t="shared" si="2"/>
        <v>0101</v>
      </c>
      <c r="S45" s="513" t="str">
        <f t="shared" si="3"/>
        <v>090101</v>
      </c>
      <c r="T45" s="514"/>
      <c r="U45" s="506">
        <f t="shared" si="4"/>
        <v>90101</v>
      </c>
    </row>
    <row r="46" spans="1:30" ht="13" customHeight="1" x14ac:dyDescent="0.35">
      <c r="A46" s="506" t="str">
        <f t="shared" si="1"/>
        <v>090102</v>
      </c>
      <c r="B46" s="1140"/>
      <c r="C46" s="1145"/>
      <c r="D46" s="527" t="s">
        <v>184</v>
      </c>
      <c r="E46" s="528" t="s">
        <v>243</v>
      </c>
      <c r="F46" s="1001">
        <v>281119</v>
      </c>
      <c r="G46" s="1002"/>
      <c r="H46" s="1153"/>
      <c r="I46" s="1003"/>
      <c r="J46" s="1156"/>
      <c r="K46" s="529"/>
      <c r="L46" s="529"/>
      <c r="M46" s="510"/>
      <c r="N46" s="510"/>
      <c r="O46" s="511" t="str">
        <f t="shared" si="6"/>
        <v>09</v>
      </c>
      <c r="P46" s="511" t="str">
        <f t="shared" si="6"/>
        <v>01</v>
      </c>
      <c r="Q46" s="511" t="str">
        <f t="shared" si="6"/>
        <v>02</v>
      </c>
      <c r="R46" s="512" t="str">
        <f t="shared" si="2"/>
        <v>0102</v>
      </c>
      <c r="S46" s="513" t="str">
        <f t="shared" si="3"/>
        <v>090102</v>
      </c>
      <c r="T46" s="514"/>
      <c r="U46" s="506">
        <f t="shared" si="4"/>
        <v>90102</v>
      </c>
    </row>
    <row r="47" spans="1:30" ht="13" customHeight="1" x14ac:dyDescent="0.35">
      <c r="A47" s="506" t="str">
        <f t="shared" si="1"/>
        <v>090103</v>
      </c>
      <c r="B47" s="1140"/>
      <c r="C47" s="1145"/>
      <c r="D47" s="527" t="s">
        <v>187</v>
      </c>
      <c r="E47" s="528" t="s">
        <v>244</v>
      </c>
      <c r="F47" s="1001">
        <v>223291</v>
      </c>
      <c r="G47" s="1002"/>
      <c r="H47" s="1153"/>
      <c r="I47" s="1003"/>
      <c r="J47" s="1156"/>
      <c r="K47" s="529"/>
      <c r="L47" s="529"/>
      <c r="M47" s="510"/>
      <c r="N47" s="510"/>
      <c r="O47" s="511" t="str">
        <f t="shared" si="6"/>
        <v>09</v>
      </c>
      <c r="P47" s="511" t="str">
        <f t="shared" si="6"/>
        <v>01</v>
      </c>
      <c r="Q47" s="511" t="str">
        <f t="shared" si="6"/>
        <v>03</v>
      </c>
      <c r="R47" s="512" t="str">
        <f t="shared" si="2"/>
        <v>0103</v>
      </c>
      <c r="S47" s="513" t="str">
        <f t="shared" si="3"/>
        <v>090103</v>
      </c>
      <c r="T47" s="514"/>
      <c r="U47" s="506">
        <f t="shared" si="4"/>
        <v>90103</v>
      </c>
      <c r="W47" s="531" t="s">
        <v>187</v>
      </c>
      <c r="X47" s="542" t="s">
        <v>245</v>
      </c>
    </row>
    <row r="48" spans="1:30" ht="13" customHeight="1" x14ac:dyDescent="0.35">
      <c r="A48" s="506" t="str">
        <f t="shared" si="1"/>
        <v>090104</v>
      </c>
      <c r="B48" s="1140"/>
      <c r="C48" s="1143"/>
      <c r="D48" s="518" t="s">
        <v>195</v>
      </c>
      <c r="E48" s="644" t="s">
        <v>246</v>
      </c>
      <c r="F48" s="993">
        <v>382744</v>
      </c>
      <c r="G48" s="1033"/>
      <c r="H48" s="1154"/>
      <c r="I48" s="994"/>
      <c r="J48" s="1157"/>
      <c r="K48" s="520"/>
      <c r="L48" s="520"/>
      <c r="M48" s="510"/>
      <c r="N48" s="510"/>
      <c r="O48" s="511" t="str">
        <f t="shared" si="6"/>
        <v>09</v>
      </c>
      <c r="P48" s="511" t="str">
        <f t="shared" si="6"/>
        <v>01</v>
      </c>
      <c r="Q48" s="511" t="str">
        <f t="shared" si="6"/>
        <v>04</v>
      </c>
      <c r="R48" s="512" t="str">
        <f t="shared" si="2"/>
        <v>0104</v>
      </c>
      <c r="S48" s="513" t="str">
        <f t="shared" si="3"/>
        <v>090104</v>
      </c>
      <c r="T48" s="514"/>
      <c r="U48" s="506">
        <f t="shared" si="4"/>
        <v>90104</v>
      </c>
      <c r="W48" s="531" t="s">
        <v>195</v>
      </c>
      <c r="X48" s="549" t="s">
        <v>244</v>
      </c>
    </row>
    <row r="49" spans="1:24" ht="13" customHeight="1" x14ac:dyDescent="0.35">
      <c r="A49" s="506" t="str">
        <f t="shared" si="1"/>
        <v>090201</v>
      </c>
      <c r="B49" s="1140"/>
      <c r="C49" s="1142" t="s">
        <v>184</v>
      </c>
      <c r="D49" s="515" t="s">
        <v>182</v>
      </c>
      <c r="E49" s="516" t="s">
        <v>247</v>
      </c>
      <c r="F49" s="987">
        <v>148324</v>
      </c>
      <c r="G49" s="991"/>
      <c r="H49" s="1148">
        <v>628231.26206827001</v>
      </c>
      <c r="I49" s="992"/>
      <c r="J49" s="1148">
        <v>889242</v>
      </c>
      <c r="K49" s="517"/>
      <c r="L49" s="517"/>
      <c r="M49" s="510"/>
      <c r="N49" s="510"/>
      <c r="O49" s="511" t="str">
        <f t="shared" si="6"/>
        <v>09</v>
      </c>
      <c r="P49" s="511" t="str">
        <f t="shared" si="6"/>
        <v>02</v>
      </c>
      <c r="Q49" s="511" t="str">
        <f t="shared" si="6"/>
        <v>01</v>
      </c>
      <c r="R49" s="512" t="str">
        <f t="shared" si="2"/>
        <v>0201</v>
      </c>
      <c r="S49" s="513" t="str">
        <f t="shared" si="3"/>
        <v>090201</v>
      </c>
      <c r="T49" s="514"/>
      <c r="U49" s="506">
        <f t="shared" si="4"/>
        <v>90201</v>
      </c>
    </row>
    <row r="50" spans="1:24" ht="13" customHeight="1" x14ac:dyDescent="0.35">
      <c r="A50" s="506" t="str">
        <f t="shared" si="1"/>
        <v>090202</v>
      </c>
      <c r="B50" s="1140"/>
      <c r="C50" s="1145"/>
      <c r="D50" s="527" t="s">
        <v>184</v>
      </c>
      <c r="E50" s="528" t="s">
        <v>248</v>
      </c>
      <c r="F50" s="1001">
        <v>272779</v>
      </c>
      <c r="G50" s="1002"/>
      <c r="H50" s="1156"/>
      <c r="I50" s="1003"/>
      <c r="J50" s="1156"/>
      <c r="K50" s="529"/>
      <c r="L50" s="529"/>
      <c r="M50" s="510"/>
      <c r="N50" s="510"/>
      <c r="O50" s="511" t="str">
        <f t="shared" si="6"/>
        <v>09</v>
      </c>
      <c r="P50" s="511" t="str">
        <f t="shared" si="6"/>
        <v>02</v>
      </c>
      <c r="Q50" s="511" t="str">
        <f t="shared" si="6"/>
        <v>02</v>
      </c>
      <c r="R50" s="512" t="str">
        <f t="shared" si="2"/>
        <v>0202</v>
      </c>
      <c r="S50" s="513" t="str">
        <f t="shared" si="3"/>
        <v>090202</v>
      </c>
      <c r="T50" s="514"/>
      <c r="U50" s="506">
        <f t="shared" si="4"/>
        <v>90202</v>
      </c>
    </row>
    <row r="51" spans="1:24" ht="13" customHeight="1" x14ac:dyDescent="0.35">
      <c r="A51" s="506" t="str">
        <f t="shared" si="1"/>
        <v>090203</v>
      </c>
      <c r="B51" s="1140"/>
      <c r="C51" s="1143"/>
      <c r="D51" s="518" t="s">
        <v>187</v>
      </c>
      <c r="E51" s="519" t="s">
        <v>249</v>
      </c>
      <c r="F51" s="993">
        <v>1762824</v>
      </c>
      <c r="G51" s="1033"/>
      <c r="H51" s="1023"/>
      <c r="I51" s="994"/>
      <c r="J51" s="1023">
        <v>3898106</v>
      </c>
      <c r="K51" s="520"/>
      <c r="L51" s="520"/>
      <c r="M51" s="510"/>
      <c r="N51" s="510"/>
      <c r="O51" s="511" t="str">
        <f t="shared" si="6"/>
        <v>09</v>
      </c>
      <c r="P51" s="511" t="str">
        <f t="shared" si="6"/>
        <v>02</v>
      </c>
      <c r="Q51" s="511" t="str">
        <f t="shared" si="6"/>
        <v>03</v>
      </c>
      <c r="R51" s="512" t="str">
        <f t="shared" si="2"/>
        <v>0203</v>
      </c>
      <c r="S51" s="513" t="str">
        <f t="shared" si="3"/>
        <v>090203</v>
      </c>
      <c r="T51" s="514"/>
      <c r="U51" s="506">
        <f t="shared" si="4"/>
        <v>90203</v>
      </c>
    </row>
    <row r="52" spans="1:24" ht="13" customHeight="1" x14ac:dyDescent="0.35">
      <c r="A52" s="506" t="str">
        <f t="shared" si="1"/>
        <v>090301</v>
      </c>
      <c r="B52" s="1140"/>
      <c r="C52" s="1142" t="s">
        <v>187</v>
      </c>
      <c r="D52" s="515" t="s">
        <v>182</v>
      </c>
      <c r="E52" s="516" t="s">
        <v>250</v>
      </c>
      <c r="F52" s="987">
        <v>275912</v>
      </c>
      <c r="G52" s="991"/>
      <c r="H52" s="1148">
        <v>1020501.52870865</v>
      </c>
      <c r="I52" s="992"/>
      <c r="J52" s="1148">
        <v>2153736</v>
      </c>
      <c r="K52" s="517"/>
      <c r="L52" s="517"/>
      <c r="M52" s="510"/>
      <c r="N52" s="510"/>
      <c r="O52" s="511" t="str">
        <f t="shared" ref="O52:Q67" si="7">IF(B52="",O51,B52)</f>
        <v>09</v>
      </c>
      <c r="P52" s="511" t="str">
        <f t="shared" si="7"/>
        <v>03</v>
      </c>
      <c r="Q52" s="511" t="str">
        <f t="shared" si="7"/>
        <v>01</v>
      </c>
      <c r="R52" s="512" t="str">
        <f t="shared" si="2"/>
        <v>0301</v>
      </c>
      <c r="S52" s="513" t="str">
        <f t="shared" si="3"/>
        <v>090301</v>
      </c>
      <c r="T52" s="514"/>
      <c r="U52" s="506">
        <f t="shared" si="4"/>
        <v>90301</v>
      </c>
    </row>
    <row r="53" spans="1:24" ht="13" customHeight="1" x14ac:dyDescent="0.35">
      <c r="A53" s="506" t="str">
        <f t="shared" si="1"/>
        <v>090302</v>
      </c>
      <c r="B53" s="1140"/>
      <c r="C53" s="1145"/>
      <c r="D53" s="527" t="s">
        <v>184</v>
      </c>
      <c r="E53" s="645" t="s">
        <v>251</v>
      </c>
      <c r="F53" s="1001">
        <v>172264</v>
      </c>
      <c r="G53" s="1002"/>
      <c r="H53" s="1156"/>
      <c r="I53" s="1003"/>
      <c r="J53" s="1156"/>
      <c r="K53" s="529"/>
      <c r="L53" s="529"/>
      <c r="M53" s="510"/>
      <c r="N53" s="510"/>
      <c r="O53" s="511" t="str">
        <f t="shared" si="7"/>
        <v>09</v>
      </c>
      <c r="P53" s="511" t="str">
        <f t="shared" si="7"/>
        <v>03</v>
      </c>
      <c r="Q53" s="511" t="str">
        <f t="shared" si="7"/>
        <v>02</v>
      </c>
      <c r="R53" s="512" t="str">
        <f t="shared" si="2"/>
        <v>0302</v>
      </c>
      <c r="S53" s="513" t="str">
        <f t="shared" si="3"/>
        <v>090302</v>
      </c>
      <c r="T53" s="514"/>
      <c r="U53" s="506">
        <f t="shared" si="4"/>
        <v>90302</v>
      </c>
      <c r="W53" s="531" t="s">
        <v>184</v>
      </c>
      <c r="X53" s="542" t="s">
        <v>252</v>
      </c>
    </row>
    <row r="54" spans="1:24" ht="13" customHeight="1" x14ac:dyDescent="0.35">
      <c r="A54" s="506" t="str">
        <f t="shared" si="1"/>
        <v>090303</v>
      </c>
      <c r="B54" s="1141"/>
      <c r="C54" s="1160"/>
      <c r="D54" s="543" t="s">
        <v>187</v>
      </c>
      <c r="E54" s="646" t="s">
        <v>253</v>
      </c>
      <c r="F54" s="1009">
        <v>439965</v>
      </c>
      <c r="G54" s="1008"/>
      <c r="H54" s="1149"/>
      <c r="I54" s="1010"/>
      <c r="J54" s="1149"/>
      <c r="K54" s="545"/>
      <c r="L54" s="545"/>
      <c r="M54" s="510"/>
      <c r="N54" s="510"/>
      <c r="O54" s="511" t="str">
        <f t="shared" si="7"/>
        <v>09</v>
      </c>
      <c r="P54" s="511" t="str">
        <f t="shared" si="7"/>
        <v>03</v>
      </c>
      <c r="Q54" s="511" t="str">
        <f t="shared" si="7"/>
        <v>03</v>
      </c>
      <c r="R54" s="512" t="str">
        <f t="shared" si="2"/>
        <v>0303</v>
      </c>
      <c r="S54" s="513" t="str">
        <f t="shared" si="3"/>
        <v>090303</v>
      </c>
      <c r="T54" s="514"/>
      <c r="U54" s="506">
        <f t="shared" si="4"/>
        <v>90303</v>
      </c>
      <c r="W54" s="553" t="s">
        <v>187</v>
      </c>
      <c r="X54" s="550" t="s">
        <v>254</v>
      </c>
    </row>
    <row r="55" spans="1:24" ht="13" customHeight="1" x14ac:dyDescent="0.35">
      <c r="A55" s="506" t="str">
        <f t="shared" si="1"/>
        <v>100101</v>
      </c>
      <c r="B55" s="1161" t="s">
        <v>255</v>
      </c>
      <c r="C55" s="1145" t="s">
        <v>182</v>
      </c>
      <c r="D55" s="527" t="s">
        <v>182</v>
      </c>
      <c r="E55" s="528" t="s">
        <v>256</v>
      </c>
      <c r="F55" s="1001">
        <v>117517</v>
      </c>
      <c r="G55" s="1002">
        <v>0</v>
      </c>
      <c r="H55" s="1152">
        <v>177676</v>
      </c>
      <c r="I55" s="1003">
        <v>0</v>
      </c>
      <c r="J55" s="1155">
        <v>354108</v>
      </c>
      <c r="K55" s="529"/>
      <c r="L55" s="529"/>
      <c r="M55" s="510"/>
      <c r="N55" s="510"/>
      <c r="O55" s="511" t="str">
        <f t="shared" si="7"/>
        <v>10</v>
      </c>
      <c r="P55" s="511" t="str">
        <f t="shared" si="7"/>
        <v>01</v>
      </c>
      <c r="Q55" s="511" t="str">
        <f t="shared" si="7"/>
        <v>01</v>
      </c>
      <c r="R55" s="512" t="str">
        <f t="shared" si="2"/>
        <v>0101</v>
      </c>
      <c r="S55" s="513" t="str">
        <f t="shared" si="3"/>
        <v>100101</v>
      </c>
      <c r="T55" s="514"/>
      <c r="U55" s="506">
        <f t="shared" si="4"/>
        <v>100101</v>
      </c>
    </row>
    <row r="56" spans="1:24" ht="13" customHeight="1" x14ac:dyDescent="0.35">
      <c r="A56" s="506" t="str">
        <f t="shared" si="1"/>
        <v>100102</v>
      </c>
      <c r="B56" s="1140"/>
      <c r="C56" s="1145"/>
      <c r="D56" s="527" t="s">
        <v>184</v>
      </c>
      <c r="E56" s="635" t="s">
        <v>257</v>
      </c>
      <c r="F56" s="1001">
        <v>196474</v>
      </c>
      <c r="G56" s="1002">
        <v>0</v>
      </c>
      <c r="H56" s="1153"/>
      <c r="I56" s="1003">
        <v>0</v>
      </c>
      <c r="J56" s="1156"/>
      <c r="K56" s="529"/>
      <c r="L56" s="529"/>
      <c r="M56" s="510"/>
      <c r="N56" s="510"/>
      <c r="O56" s="511" t="str">
        <f t="shared" si="7"/>
        <v>10</v>
      </c>
      <c r="P56" s="511" t="str">
        <f t="shared" si="7"/>
        <v>01</v>
      </c>
      <c r="Q56" s="511" t="str">
        <f t="shared" si="7"/>
        <v>02</v>
      </c>
      <c r="R56" s="512" t="str">
        <f t="shared" si="2"/>
        <v>0102</v>
      </c>
      <c r="S56" s="513" t="str">
        <f t="shared" si="3"/>
        <v>100102</v>
      </c>
      <c r="T56" s="514"/>
      <c r="U56" s="506">
        <f t="shared" si="4"/>
        <v>100102</v>
      </c>
      <c r="X56" s="542" t="s">
        <v>258</v>
      </c>
    </row>
    <row r="57" spans="1:24" ht="13" customHeight="1" x14ac:dyDescent="0.35">
      <c r="A57" s="506" t="str">
        <f>S57</f>
        <v>100103</v>
      </c>
      <c r="B57" s="1140"/>
      <c r="C57" s="1145"/>
      <c r="D57" s="527" t="s">
        <v>187</v>
      </c>
      <c r="E57" s="642" t="s">
        <v>259</v>
      </c>
      <c r="F57" s="1001">
        <v>125571</v>
      </c>
      <c r="G57" s="1002">
        <v>0</v>
      </c>
      <c r="H57" s="1153"/>
      <c r="I57" s="1003">
        <v>0</v>
      </c>
      <c r="J57" s="1156"/>
      <c r="K57" s="529"/>
      <c r="L57" s="529"/>
      <c r="M57" s="510"/>
      <c r="N57" s="510"/>
      <c r="O57" s="511" t="str">
        <f t="shared" si="7"/>
        <v>10</v>
      </c>
      <c r="P57" s="511" t="str">
        <f t="shared" si="7"/>
        <v>01</v>
      </c>
      <c r="Q57" s="511" t="str">
        <f t="shared" si="7"/>
        <v>03</v>
      </c>
      <c r="R57" s="512" t="str">
        <f t="shared" si="2"/>
        <v>0103</v>
      </c>
      <c r="S57" s="513" t="str">
        <f t="shared" si="3"/>
        <v>100103</v>
      </c>
      <c r="T57" s="514"/>
      <c r="U57" s="506">
        <f t="shared" si="4"/>
        <v>100103</v>
      </c>
      <c r="X57" s="542" t="s">
        <v>260</v>
      </c>
    </row>
    <row r="58" spans="1:24" ht="13" customHeight="1" x14ac:dyDescent="0.35">
      <c r="A58" s="506" t="str">
        <f t="shared" ref="A58:A77" si="8">S58</f>
        <v>100104</v>
      </c>
      <c r="B58" s="1140"/>
      <c r="C58" s="1143"/>
      <c r="D58" s="518" t="s">
        <v>195</v>
      </c>
      <c r="E58" s="644" t="s">
        <v>261</v>
      </c>
      <c r="F58" s="993">
        <v>198350</v>
      </c>
      <c r="G58" s="1033">
        <v>0</v>
      </c>
      <c r="H58" s="1154"/>
      <c r="I58" s="994">
        <v>0</v>
      </c>
      <c r="J58" s="1157"/>
      <c r="K58" s="520"/>
      <c r="L58" s="520"/>
      <c r="M58" s="510"/>
      <c r="N58" s="510"/>
      <c r="O58" s="511" t="str">
        <f t="shared" si="7"/>
        <v>10</v>
      </c>
      <c r="P58" s="511" t="str">
        <f t="shared" si="7"/>
        <v>01</v>
      </c>
      <c r="Q58" s="511" t="str">
        <f t="shared" si="7"/>
        <v>04</v>
      </c>
      <c r="R58" s="512" t="str">
        <f t="shared" si="2"/>
        <v>0104</v>
      </c>
      <c r="S58" s="513" t="str">
        <f t="shared" si="3"/>
        <v>100104</v>
      </c>
      <c r="T58" s="514"/>
      <c r="U58" s="506">
        <f t="shared" si="4"/>
        <v>100104</v>
      </c>
      <c r="X58" s="542" t="s">
        <v>262</v>
      </c>
    </row>
    <row r="59" spans="1:24" ht="13" customHeight="1" x14ac:dyDescent="0.35">
      <c r="A59" s="506" t="str">
        <f t="shared" si="8"/>
        <v>100201</v>
      </c>
      <c r="B59" s="1140"/>
      <c r="C59" s="1142" t="s">
        <v>184</v>
      </c>
      <c r="D59" s="515" t="s">
        <v>182</v>
      </c>
      <c r="E59" s="516" t="s">
        <v>263</v>
      </c>
      <c r="F59" s="987">
        <v>184370</v>
      </c>
      <c r="G59" s="991">
        <v>0</v>
      </c>
      <c r="H59" s="1146">
        <v>54988</v>
      </c>
      <c r="I59" s="992">
        <v>0</v>
      </c>
      <c r="J59" s="1148">
        <v>411607</v>
      </c>
      <c r="K59" s="517"/>
      <c r="L59" s="517"/>
      <c r="M59" s="510"/>
      <c r="N59" s="510"/>
      <c r="O59" s="511" t="str">
        <f t="shared" si="7"/>
        <v>10</v>
      </c>
      <c r="P59" s="511" t="str">
        <f t="shared" si="7"/>
        <v>02</v>
      </c>
      <c r="Q59" s="511" t="str">
        <f t="shared" si="7"/>
        <v>01</v>
      </c>
      <c r="R59" s="512" t="str">
        <f t="shared" si="2"/>
        <v>0201</v>
      </c>
      <c r="S59" s="513" t="str">
        <f t="shared" si="3"/>
        <v>100201</v>
      </c>
      <c r="T59" s="514"/>
      <c r="U59" s="506">
        <f t="shared" si="4"/>
        <v>100201</v>
      </c>
      <c r="X59" s="542"/>
    </row>
    <row r="60" spans="1:24" ht="13" customHeight="1" x14ac:dyDescent="0.35">
      <c r="A60" s="506" t="str">
        <f t="shared" si="8"/>
        <v>100202</v>
      </c>
      <c r="B60" s="1140"/>
      <c r="C60" s="1143"/>
      <c r="D60" s="518" t="s">
        <v>184</v>
      </c>
      <c r="E60" s="519" t="s">
        <v>264</v>
      </c>
      <c r="F60" s="993">
        <v>245886</v>
      </c>
      <c r="G60" s="1033">
        <v>0</v>
      </c>
      <c r="H60" s="1154"/>
      <c r="I60" s="994">
        <v>0</v>
      </c>
      <c r="J60" s="1157"/>
      <c r="K60" s="520"/>
      <c r="L60" s="554"/>
      <c r="M60" s="510"/>
      <c r="N60" s="510"/>
      <c r="O60" s="511" t="str">
        <f t="shared" si="7"/>
        <v>10</v>
      </c>
      <c r="P60" s="511" t="str">
        <f t="shared" si="7"/>
        <v>02</v>
      </c>
      <c r="Q60" s="511" t="str">
        <f t="shared" si="7"/>
        <v>02</v>
      </c>
      <c r="R60" s="512" t="str">
        <f t="shared" si="2"/>
        <v>0202</v>
      </c>
      <c r="S60" s="513" t="str">
        <f t="shared" si="3"/>
        <v>100202</v>
      </c>
      <c r="T60" s="514"/>
      <c r="U60" s="506">
        <f t="shared" si="4"/>
        <v>100202</v>
      </c>
      <c r="X60" s="542"/>
    </row>
    <row r="61" spans="1:24" ht="13" customHeight="1" x14ac:dyDescent="0.35">
      <c r="A61" s="506" t="str">
        <f t="shared" si="8"/>
        <v>100301</v>
      </c>
      <c r="B61" s="1140"/>
      <c r="C61" s="1142" t="s">
        <v>187</v>
      </c>
      <c r="D61" s="515" t="s">
        <v>182</v>
      </c>
      <c r="E61" s="647" t="s">
        <v>265</v>
      </c>
      <c r="F61" s="987">
        <v>133310</v>
      </c>
      <c r="G61" s="991">
        <v>0</v>
      </c>
      <c r="H61" s="1146">
        <v>157572</v>
      </c>
      <c r="I61" s="992">
        <v>0</v>
      </c>
      <c r="J61" s="1148">
        <v>479520</v>
      </c>
      <c r="K61" s="517"/>
      <c r="L61" s="517"/>
      <c r="M61" s="510"/>
      <c r="N61" s="510"/>
      <c r="O61" s="511" t="str">
        <f t="shared" si="7"/>
        <v>10</v>
      </c>
      <c r="P61" s="511" t="str">
        <f t="shared" si="7"/>
        <v>03</v>
      </c>
      <c r="Q61" s="511" t="str">
        <f t="shared" si="7"/>
        <v>01</v>
      </c>
      <c r="R61" s="512" t="str">
        <f t="shared" si="2"/>
        <v>0301</v>
      </c>
      <c r="S61" s="513" t="str">
        <f t="shared" si="3"/>
        <v>100301</v>
      </c>
      <c r="T61" s="514"/>
      <c r="U61" s="506">
        <f t="shared" si="4"/>
        <v>100301</v>
      </c>
      <c r="X61" s="542" t="s">
        <v>266</v>
      </c>
    </row>
    <row r="62" spans="1:24" ht="13" customHeight="1" x14ac:dyDescent="0.35">
      <c r="A62" s="506" t="str">
        <f t="shared" si="8"/>
        <v>100302</v>
      </c>
      <c r="B62" s="1140"/>
      <c r="C62" s="1145"/>
      <c r="D62" s="527" t="s">
        <v>184</v>
      </c>
      <c r="E62" s="528" t="s">
        <v>267</v>
      </c>
      <c r="F62" s="1001">
        <v>224904</v>
      </c>
      <c r="G62" s="1002">
        <v>0</v>
      </c>
      <c r="H62" s="1153"/>
      <c r="I62" s="1003">
        <v>0</v>
      </c>
      <c r="J62" s="1156"/>
      <c r="K62" s="529"/>
      <c r="L62" s="529"/>
      <c r="M62" s="510"/>
      <c r="N62" s="510"/>
      <c r="O62" s="511" t="str">
        <f t="shared" si="7"/>
        <v>10</v>
      </c>
      <c r="P62" s="511" t="str">
        <f t="shared" si="7"/>
        <v>03</v>
      </c>
      <c r="Q62" s="511" t="str">
        <f t="shared" si="7"/>
        <v>02</v>
      </c>
      <c r="R62" s="512" t="str">
        <f t="shared" si="2"/>
        <v>0302</v>
      </c>
      <c r="S62" s="513" t="str">
        <f t="shared" si="3"/>
        <v>100302</v>
      </c>
      <c r="T62" s="514"/>
      <c r="U62" s="506">
        <f t="shared" si="4"/>
        <v>100302</v>
      </c>
      <c r="X62" s="542"/>
    </row>
    <row r="63" spans="1:24" ht="13" customHeight="1" x14ac:dyDescent="0.35">
      <c r="A63" s="506" t="str">
        <f t="shared" si="8"/>
        <v>100303</v>
      </c>
      <c r="B63" s="1150"/>
      <c r="C63" s="1145"/>
      <c r="D63" s="527" t="s">
        <v>187</v>
      </c>
      <c r="E63" s="528" t="s">
        <v>268</v>
      </c>
      <c r="F63" s="1001">
        <v>145917</v>
      </c>
      <c r="G63" s="1002">
        <v>0</v>
      </c>
      <c r="H63" s="1147"/>
      <c r="I63" s="1003">
        <v>0</v>
      </c>
      <c r="J63" s="1149"/>
      <c r="K63" s="529"/>
      <c r="L63" s="529"/>
      <c r="M63" s="510"/>
      <c r="N63" s="510"/>
      <c r="O63" s="511" t="str">
        <f t="shared" si="7"/>
        <v>10</v>
      </c>
      <c r="P63" s="511" t="str">
        <f t="shared" si="7"/>
        <v>03</v>
      </c>
      <c r="Q63" s="511" t="str">
        <f t="shared" si="7"/>
        <v>03</v>
      </c>
      <c r="R63" s="512" t="str">
        <f t="shared" si="2"/>
        <v>0303</v>
      </c>
      <c r="S63" s="513" t="str">
        <f t="shared" si="3"/>
        <v>100303</v>
      </c>
      <c r="T63" s="514"/>
      <c r="U63" s="506">
        <f t="shared" si="4"/>
        <v>100303</v>
      </c>
      <c r="X63" s="550"/>
    </row>
    <row r="64" spans="1:24" ht="13" customHeight="1" x14ac:dyDescent="0.35">
      <c r="A64" s="506" t="str">
        <f t="shared" si="8"/>
        <v>110101</v>
      </c>
      <c r="B64" s="1139" t="s">
        <v>269</v>
      </c>
      <c r="C64" s="1151" t="s">
        <v>182</v>
      </c>
      <c r="D64" s="507" t="s">
        <v>182</v>
      </c>
      <c r="E64" s="508" t="s">
        <v>270</v>
      </c>
      <c r="F64" s="999">
        <v>311159</v>
      </c>
      <c r="G64" s="1032">
        <v>0</v>
      </c>
      <c r="H64" s="1022">
        <v>620351</v>
      </c>
      <c r="I64" s="1000">
        <v>0</v>
      </c>
      <c r="J64" s="1022">
        <v>779062</v>
      </c>
      <c r="K64" s="525"/>
      <c r="L64" s="525"/>
      <c r="M64" s="510"/>
      <c r="N64" s="510"/>
      <c r="O64" s="511" t="str">
        <f t="shared" si="7"/>
        <v>11</v>
      </c>
      <c r="P64" s="511" t="str">
        <f t="shared" si="7"/>
        <v>01</v>
      </c>
      <c r="Q64" s="511" t="str">
        <f t="shared" si="7"/>
        <v>01</v>
      </c>
      <c r="R64" s="512" t="str">
        <f t="shared" si="2"/>
        <v>0101</v>
      </c>
      <c r="S64" s="513" t="str">
        <f t="shared" si="3"/>
        <v>110101</v>
      </c>
      <c r="T64" s="514"/>
      <c r="U64" s="506">
        <f t="shared" si="4"/>
        <v>110101</v>
      </c>
    </row>
    <row r="65" spans="1:24" ht="13" customHeight="1" x14ac:dyDescent="0.35">
      <c r="A65" s="506" t="str">
        <f t="shared" si="8"/>
        <v>110102</v>
      </c>
      <c r="B65" s="1140"/>
      <c r="C65" s="1143"/>
      <c r="D65" s="518" t="s">
        <v>184</v>
      </c>
      <c r="E65" s="519" t="s">
        <v>271</v>
      </c>
      <c r="F65" s="993">
        <v>397500</v>
      </c>
      <c r="G65" s="1033">
        <v>0</v>
      </c>
      <c r="H65" s="1023">
        <v>0</v>
      </c>
      <c r="I65" s="994">
        <v>0</v>
      </c>
      <c r="J65" s="1023">
        <v>642969</v>
      </c>
      <c r="K65" s="520"/>
      <c r="L65" s="520"/>
      <c r="M65" s="510"/>
      <c r="N65" s="510"/>
      <c r="O65" s="511" t="str">
        <f t="shared" si="7"/>
        <v>11</v>
      </c>
      <c r="P65" s="511" t="str">
        <f t="shared" si="7"/>
        <v>01</v>
      </c>
      <c r="Q65" s="511" t="str">
        <f t="shared" si="7"/>
        <v>02</v>
      </c>
      <c r="R65" s="512" t="str">
        <f t="shared" si="2"/>
        <v>0102</v>
      </c>
      <c r="S65" s="513" t="str">
        <f t="shared" si="3"/>
        <v>110102</v>
      </c>
      <c r="T65" s="514"/>
      <c r="U65" s="506">
        <f t="shared" si="4"/>
        <v>110102</v>
      </c>
    </row>
    <row r="66" spans="1:24" ht="13" customHeight="1" x14ac:dyDescent="0.35">
      <c r="A66" s="506" t="str">
        <f t="shared" si="8"/>
        <v>110201</v>
      </c>
      <c r="B66" s="1140"/>
      <c r="C66" s="1142" t="s">
        <v>184</v>
      </c>
      <c r="D66" s="515" t="s">
        <v>182</v>
      </c>
      <c r="E66" s="516" t="s">
        <v>272</v>
      </c>
      <c r="F66" s="987">
        <v>211794</v>
      </c>
      <c r="G66" s="991">
        <v>0</v>
      </c>
      <c r="H66" s="1146">
        <v>288042</v>
      </c>
      <c r="I66" s="1162">
        <v>0</v>
      </c>
      <c r="J66" s="1148">
        <v>458338</v>
      </c>
      <c r="K66" s="517"/>
      <c r="L66" s="517"/>
      <c r="M66" s="510"/>
      <c r="N66" s="510"/>
      <c r="O66" s="511" t="str">
        <f t="shared" si="7"/>
        <v>11</v>
      </c>
      <c r="P66" s="511" t="str">
        <f t="shared" si="7"/>
        <v>02</v>
      </c>
      <c r="Q66" s="511" t="str">
        <f t="shared" si="7"/>
        <v>01</v>
      </c>
      <c r="R66" s="512" t="str">
        <f t="shared" si="2"/>
        <v>0201</v>
      </c>
      <c r="S66" s="513" t="str">
        <f t="shared" si="3"/>
        <v>110201</v>
      </c>
      <c r="T66" s="514"/>
      <c r="U66" s="506">
        <f t="shared" si="4"/>
        <v>110201</v>
      </c>
    </row>
    <row r="67" spans="1:24" ht="13" customHeight="1" x14ac:dyDescent="0.35">
      <c r="A67" s="506" t="str">
        <f t="shared" si="8"/>
        <v>110202</v>
      </c>
      <c r="B67" s="1140"/>
      <c r="C67" s="1145"/>
      <c r="D67" s="527" t="s">
        <v>184</v>
      </c>
      <c r="E67" s="528" t="s">
        <v>273</v>
      </c>
      <c r="F67" s="1001">
        <v>114661</v>
      </c>
      <c r="G67" s="1002">
        <v>0</v>
      </c>
      <c r="H67" s="1153"/>
      <c r="I67" s="1163"/>
      <c r="J67" s="1156"/>
      <c r="K67" s="529"/>
      <c r="L67" s="529"/>
      <c r="M67" s="510"/>
      <c r="N67" s="510"/>
      <c r="O67" s="511" t="str">
        <f t="shared" si="7"/>
        <v>11</v>
      </c>
      <c r="P67" s="511" t="str">
        <f t="shared" si="7"/>
        <v>02</v>
      </c>
      <c r="Q67" s="511" t="str">
        <f t="shared" si="7"/>
        <v>02</v>
      </c>
      <c r="R67" s="512" t="str">
        <f t="shared" si="2"/>
        <v>0202</v>
      </c>
      <c r="S67" s="513" t="str">
        <f t="shared" si="3"/>
        <v>110202</v>
      </c>
      <c r="T67" s="514"/>
      <c r="U67" s="506">
        <f t="shared" si="4"/>
        <v>110202</v>
      </c>
      <c r="X67" s="542" t="s">
        <v>274</v>
      </c>
    </row>
    <row r="68" spans="1:24" ht="13" customHeight="1" x14ac:dyDescent="0.35">
      <c r="A68" s="506" t="str">
        <f t="shared" si="8"/>
        <v>110203</v>
      </c>
      <c r="B68" s="1141"/>
      <c r="C68" s="1160"/>
      <c r="D68" s="543" t="s">
        <v>187</v>
      </c>
      <c r="E68" s="544" t="s">
        <v>275</v>
      </c>
      <c r="F68" s="1009">
        <v>61255</v>
      </c>
      <c r="G68" s="1008">
        <v>0</v>
      </c>
      <c r="H68" s="1010">
        <v>613730</v>
      </c>
      <c r="I68" s="487">
        <v>0</v>
      </c>
      <c r="J68" s="1024">
        <v>1047725</v>
      </c>
      <c r="K68" s="545"/>
      <c r="L68" s="545"/>
      <c r="M68" s="510"/>
      <c r="N68" s="510"/>
      <c r="O68" s="511" t="str">
        <f t="shared" ref="O68:Q73" si="9">IF(B68="",O67,B68)</f>
        <v>11</v>
      </c>
      <c r="P68" s="511" t="str">
        <f t="shared" si="9"/>
        <v>02</v>
      </c>
      <c r="Q68" s="511" t="str">
        <f t="shared" si="9"/>
        <v>03</v>
      </c>
      <c r="R68" s="512" t="str">
        <f t="shared" si="2"/>
        <v>0203</v>
      </c>
      <c r="S68" s="513" t="str">
        <f t="shared" si="3"/>
        <v>110203</v>
      </c>
      <c r="T68" s="514"/>
      <c r="U68" s="506">
        <f t="shared" si="4"/>
        <v>110203</v>
      </c>
    </row>
    <row r="69" spans="1:24" ht="13" customHeight="1" x14ac:dyDescent="0.35">
      <c r="A69" s="506" t="str">
        <f t="shared" si="8"/>
        <v>120101</v>
      </c>
      <c r="B69" s="1161" t="s">
        <v>276</v>
      </c>
      <c r="C69" s="1027" t="s">
        <v>182</v>
      </c>
      <c r="D69" s="507" t="s">
        <v>182</v>
      </c>
      <c r="E69" s="633" t="s">
        <v>277</v>
      </c>
      <c r="F69" s="999">
        <v>258867</v>
      </c>
      <c r="G69" s="1032">
        <v>300000</v>
      </c>
      <c r="H69" s="1022">
        <v>2803739</v>
      </c>
      <c r="I69" s="1000"/>
      <c r="J69" s="1022">
        <v>3272051</v>
      </c>
      <c r="K69" s="525"/>
      <c r="L69" s="525"/>
      <c r="M69" s="510"/>
      <c r="N69" s="510"/>
      <c r="O69" s="511" t="str">
        <f t="shared" si="9"/>
        <v>12</v>
      </c>
      <c r="P69" s="511" t="str">
        <f t="shared" si="9"/>
        <v>01</v>
      </c>
      <c r="Q69" s="511" t="str">
        <f t="shared" si="9"/>
        <v>01</v>
      </c>
      <c r="R69" s="512" t="str">
        <f t="shared" si="2"/>
        <v>0101</v>
      </c>
      <c r="S69" s="513" t="str">
        <f t="shared" si="3"/>
        <v>120101</v>
      </c>
      <c r="T69" s="514"/>
      <c r="U69" s="506">
        <f t="shared" si="4"/>
        <v>120101</v>
      </c>
      <c r="X69" s="541" t="s">
        <v>278</v>
      </c>
    </row>
    <row r="70" spans="1:24" ht="13" customHeight="1" x14ac:dyDescent="0.35">
      <c r="A70" s="506" t="str">
        <f t="shared" si="8"/>
        <v>120201</v>
      </c>
      <c r="B70" s="1140"/>
      <c r="C70" s="1030" t="s">
        <v>184</v>
      </c>
      <c r="D70" s="527" t="s">
        <v>182</v>
      </c>
      <c r="E70" s="528" t="s">
        <v>279</v>
      </c>
      <c r="F70" s="1001">
        <v>424736</v>
      </c>
      <c r="G70" s="1002">
        <v>50000</v>
      </c>
      <c r="H70" s="1021">
        <v>639594</v>
      </c>
      <c r="I70" s="1003"/>
      <c r="J70" s="1021">
        <v>676394</v>
      </c>
      <c r="K70" s="529"/>
      <c r="L70" s="529"/>
      <c r="M70" s="510"/>
      <c r="N70" s="510"/>
      <c r="O70" s="511" t="str">
        <f t="shared" si="9"/>
        <v>12</v>
      </c>
      <c r="P70" s="511" t="str">
        <f t="shared" si="9"/>
        <v>02</v>
      </c>
      <c r="Q70" s="511" t="str">
        <f t="shared" si="9"/>
        <v>01</v>
      </c>
      <c r="R70" s="512" t="str">
        <f t="shared" ref="R70:R77" si="10">CONCATENATE(P70,Q70)</f>
        <v>0201</v>
      </c>
      <c r="S70" s="513" t="str">
        <f t="shared" ref="S70:S77" si="11">CONCATENATE(O70,P70,Q70)</f>
        <v>120201</v>
      </c>
      <c r="T70" s="514"/>
      <c r="U70" s="506">
        <f t="shared" ref="U70:U77" si="12">VALUE(S70)</f>
        <v>120201</v>
      </c>
      <c r="X70" s="542" t="s">
        <v>279</v>
      </c>
    </row>
    <row r="71" spans="1:24" ht="13" customHeight="1" x14ac:dyDescent="0.35">
      <c r="A71" s="506" t="str">
        <f t="shared" si="8"/>
        <v>120301</v>
      </c>
      <c r="B71" s="1141"/>
      <c r="C71" s="1031" t="s">
        <v>187</v>
      </c>
      <c r="D71" s="543" t="s">
        <v>182</v>
      </c>
      <c r="E71" s="544" t="s">
        <v>280</v>
      </c>
      <c r="F71" s="1009">
        <v>171610</v>
      </c>
      <c r="G71" s="1008">
        <v>250000</v>
      </c>
      <c r="H71" s="1024">
        <v>0</v>
      </c>
      <c r="I71" s="1010">
        <v>0</v>
      </c>
      <c r="J71" s="1024">
        <v>0</v>
      </c>
      <c r="K71" s="545"/>
      <c r="L71" s="545"/>
      <c r="M71" s="510"/>
      <c r="N71" s="510"/>
      <c r="O71" s="511" t="str">
        <f t="shared" si="9"/>
        <v>12</v>
      </c>
      <c r="P71" s="511" t="str">
        <f t="shared" si="9"/>
        <v>03</v>
      </c>
      <c r="Q71" s="511" t="str">
        <f t="shared" si="9"/>
        <v>01</v>
      </c>
      <c r="R71" s="512" t="str">
        <f t="shared" si="10"/>
        <v>0301</v>
      </c>
      <c r="S71" s="513" t="str">
        <f t="shared" si="11"/>
        <v>120301</v>
      </c>
      <c r="T71" s="514"/>
      <c r="U71" s="506">
        <f t="shared" si="12"/>
        <v>120301</v>
      </c>
      <c r="X71" s="550" t="s">
        <v>280</v>
      </c>
    </row>
    <row r="72" spans="1:24" ht="13" customHeight="1" x14ac:dyDescent="0.35">
      <c r="A72" s="506" t="str">
        <f t="shared" si="8"/>
        <v>130101</v>
      </c>
      <c r="B72" s="1164" t="s">
        <v>281</v>
      </c>
      <c r="C72" s="1027" t="s">
        <v>182</v>
      </c>
      <c r="D72" s="507" t="s">
        <v>182</v>
      </c>
      <c r="E72" s="633" t="s">
        <v>282</v>
      </c>
      <c r="F72" s="999">
        <v>29902</v>
      </c>
      <c r="G72" s="1002">
        <v>458</v>
      </c>
      <c r="I72" s="1000">
        <v>0</v>
      </c>
      <c r="J72" s="1022">
        <v>0</v>
      </c>
      <c r="K72" s="525"/>
      <c r="L72" s="525"/>
      <c r="M72" s="510"/>
      <c r="N72" s="510"/>
      <c r="O72" s="511" t="str">
        <f t="shared" si="9"/>
        <v>13</v>
      </c>
      <c r="P72" s="511" t="str">
        <f t="shared" si="9"/>
        <v>01</v>
      </c>
      <c r="Q72" s="511" t="str">
        <f t="shared" si="9"/>
        <v>01</v>
      </c>
      <c r="R72" s="512" t="str">
        <f t="shared" si="10"/>
        <v>0101</v>
      </c>
      <c r="S72" s="513" t="str">
        <f t="shared" si="11"/>
        <v>130101</v>
      </c>
      <c r="T72" s="514"/>
      <c r="U72" s="506">
        <f t="shared" si="12"/>
        <v>130101</v>
      </c>
      <c r="X72" s="541" t="s">
        <v>283</v>
      </c>
    </row>
    <row r="73" spans="1:24" ht="13" customHeight="1" x14ac:dyDescent="0.35">
      <c r="A73" s="506" t="str">
        <f t="shared" si="8"/>
        <v>130201</v>
      </c>
      <c r="B73" s="1165"/>
      <c r="C73" s="1031" t="s">
        <v>184</v>
      </c>
      <c r="D73" s="543" t="s">
        <v>182</v>
      </c>
      <c r="E73" s="544" t="s">
        <v>284</v>
      </c>
      <c r="F73" s="719">
        <v>42335</v>
      </c>
      <c r="G73" s="1002">
        <v>11858</v>
      </c>
      <c r="I73" s="1010">
        <v>0</v>
      </c>
      <c r="J73" s="1024">
        <v>0</v>
      </c>
      <c r="K73" s="545"/>
      <c r="L73" s="545"/>
      <c r="M73" s="510"/>
      <c r="N73" s="510"/>
      <c r="O73" s="511" t="str">
        <f t="shared" si="9"/>
        <v>13</v>
      </c>
      <c r="P73" s="511" t="str">
        <f t="shared" si="9"/>
        <v>02</v>
      </c>
      <c r="Q73" s="511" t="str">
        <f t="shared" si="9"/>
        <v>01</v>
      </c>
      <c r="R73" s="512" t="str">
        <f t="shared" si="10"/>
        <v>0201</v>
      </c>
      <c r="S73" s="513" t="str">
        <f t="shared" si="11"/>
        <v>130201</v>
      </c>
      <c r="T73" s="514"/>
      <c r="U73" s="506">
        <f t="shared" si="12"/>
        <v>130201</v>
      </c>
      <c r="X73" s="550" t="s">
        <v>284</v>
      </c>
    </row>
    <row r="74" spans="1:24" ht="13" customHeight="1" x14ac:dyDescent="0.35">
      <c r="A74" s="506" t="str">
        <f t="shared" si="8"/>
        <v>161002</v>
      </c>
      <c r="B74" s="1164" t="s">
        <v>285</v>
      </c>
      <c r="C74" s="1027">
        <v>10</v>
      </c>
      <c r="D74" s="507" t="s">
        <v>184</v>
      </c>
      <c r="E74" s="508" t="s">
        <v>286</v>
      </c>
      <c r="F74" s="555"/>
      <c r="G74" s="556"/>
      <c r="H74" s="525"/>
      <c r="I74" s="526"/>
      <c r="J74" s="525"/>
      <c r="K74" s="525"/>
      <c r="L74" s="525"/>
      <c r="M74" s="557"/>
      <c r="N74" s="557"/>
      <c r="O74" s="511" t="str">
        <f>IF(B74="",O96,B74)</f>
        <v>16</v>
      </c>
      <c r="P74" s="511">
        <f>IF(C74="",P96,C74)</f>
        <v>10</v>
      </c>
      <c r="Q74" s="511" t="str">
        <f>IF(D74="",Q96,D74)</f>
        <v>02</v>
      </c>
      <c r="R74" s="512" t="str">
        <f t="shared" si="10"/>
        <v>1002</v>
      </c>
      <c r="S74" s="513" t="str">
        <f>CONCATENATE(O74,P74,Q74)</f>
        <v>161002</v>
      </c>
      <c r="T74" s="514"/>
      <c r="U74" s="506">
        <f t="shared" si="12"/>
        <v>161002</v>
      </c>
    </row>
    <row r="75" spans="1:24" ht="13" customHeight="1" x14ac:dyDescent="0.35">
      <c r="A75" s="506" t="str">
        <f t="shared" si="8"/>
        <v>161102</v>
      </c>
      <c r="B75" s="1166"/>
      <c r="C75" s="1030">
        <v>11</v>
      </c>
      <c r="D75" s="527" t="s">
        <v>184</v>
      </c>
      <c r="E75" s="528" t="s">
        <v>287</v>
      </c>
      <c r="F75" s="558"/>
      <c r="G75" s="559"/>
      <c r="H75" s="529"/>
      <c r="I75" s="530"/>
      <c r="J75" s="529"/>
      <c r="K75" s="529"/>
      <c r="L75" s="529"/>
      <c r="M75" s="557"/>
      <c r="N75" s="557"/>
      <c r="O75" s="511" t="str">
        <f t="shared" ref="O75:Q77" si="13">IF(B75="",O74,B75)</f>
        <v>16</v>
      </c>
      <c r="P75" s="511">
        <f t="shared" si="13"/>
        <v>11</v>
      </c>
      <c r="Q75" s="511" t="str">
        <f t="shared" si="13"/>
        <v>02</v>
      </c>
      <c r="R75" s="512" t="str">
        <f t="shared" si="10"/>
        <v>1102</v>
      </c>
      <c r="S75" s="513" t="str">
        <f t="shared" si="11"/>
        <v>161102</v>
      </c>
      <c r="T75" s="514"/>
      <c r="U75" s="506">
        <f t="shared" si="12"/>
        <v>161102</v>
      </c>
    </row>
    <row r="76" spans="1:24" ht="13" customHeight="1" x14ac:dyDescent="0.35">
      <c r="A76" s="506" t="str">
        <f t="shared" si="8"/>
        <v>161202</v>
      </c>
      <c r="B76" s="1166"/>
      <c r="C76" s="1030">
        <v>12</v>
      </c>
      <c r="D76" s="527" t="s">
        <v>184</v>
      </c>
      <c r="E76" s="528" t="s">
        <v>288</v>
      </c>
      <c r="F76" s="558"/>
      <c r="G76" s="559"/>
      <c r="H76" s="529"/>
      <c r="I76" s="530"/>
      <c r="J76" s="529"/>
      <c r="K76" s="529"/>
      <c r="L76" s="529"/>
      <c r="M76" s="557"/>
      <c r="N76" s="557"/>
      <c r="O76" s="511" t="str">
        <f t="shared" si="13"/>
        <v>16</v>
      </c>
      <c r="P76" s="511">
        <f t="shared" si="13"/>
        <v>12</v>
      </c>
      <c r="Q76" s="511" t="str">
        <f t="shared" si="13"/>
        <v>02</v>
      </c>
      <c r="R76" s="512" t="str">
        <f t="shared" si="10"/>
        <v>1202</v>
      </c>
      <c r="S76" s="513" t="str">
        <f t="shared" si="11"/>
        <v>161202</v>
      </c>
      <c r="T76" s="514"/>
      <c r="U76" s="506">
        <f t="shared" si="12"/>
        <v>161202</v>
      </c>
    </row>
    <row r="77" spans="1:24" ht="13" customHeight="1" x14ac:dyDescent="0.35">
      <c r="A77" s="506" t="str">
        <f t="shared" si="8"/>
        <v>160701</v>
      </c>
      <c r="B77" s="1165"/>
      <c r="C77" s="1031" t="s">
        <v>223</v>
      </c>
      <c r="D77" s="543" t="s">
        <v>182</v>
      </c>
      <c r="E77" s="544" t="s">
        <v>289</v>
      </c>
      <c r="F77" s="560"/>
      <c r="G77" s="561"/>
      <c r="H77" s="545"/>
      <c r="I77" s="546"/>
      <c r="J77" s="545"/>
      <c r="K77" s="545"/>
      <c r="L77" s="545"/>
      <c r="M77" s="557"/>
      <c r="N77" s="557"/>
      <c r="O77" s="511" t="str">
        <f t="shared" si="13"/>
        <v>16</v>
      </c>
      <c r="P77" s="511" t="str">
        <f t="shared" si="13"/>
        <v>07</v>
      </c>
      <c r="Q77" s="511" t="str">
        <f t="shared" si="13"/>
        <v>01</v>
      </c>
      <c r="R77" s="512" t="str">
        <f t="shared" si="10"/>
        <v>0701</v>
      </c>
      <c r="S77" s="513" t="str">
        <f t="shared" si="11"/>
        <v>160701</v>
      </c>
      <c r="T77" s="514"/>
      <c r="U77" s="506">
        <f t="shared" si="12"/>
        <v>160701</v>
      </c>
    </row>
    <row r="78" spans="1:24" ht="7.5" customHeight="1" x14ac:dyDescent="0.35">
      <c r="B78" s="562"/>
      <c r="C78" s="563"/>
      <c r="D78" s="563"/>
      <c r="E78" s="564"/>
      <c r="F78" s="565"/>
      <c r="G78" s="566"/>
      <c r="H78" s="566"/>
      <c r="I78" s="565"/>
      <c r="J78" s="566"/>
      <c r="K78" s="566"/>
      <c r="L78" s="566"/>
      <c r="M78" s="566"/>
      <c r="N78" s="566"/>
      <c r="O78" s="511"/>
      <c r="P78" s="511"/>
      <c r="Q78" s="511"/>
      <c r="R78" s="511"/>
      <c r="S78" s="514"/>
      <c r="T78" s="514"/>
    </row>
    <row r="79" spans="1:24" ht="19.5" customHeight="1" x14ac:dyDescent="0.35">
      <c r="B79" s="567">
        <f>COUNTA(B5:B77)</f>
        <v>14</v>
      </c>
      <c r="C79" s="568">
        <f>COUNTA(C5:C77)</f>
        <v>44</v>
      </c>
      <c r="D79" s="568">
        <f>COUNTA(D5:D77)</f>
        <v>73</v>
      </c>
      <c r="E79" s="569" t="s">
        <v>290</v>
      </c>
      <c r="F79" s="570"/>
      <c r="G79" s="571"/>
      <c r="H79" s="571"/>
      <c r="I79" s="570"/>
      <c r="J79" s="571"/>
      <c r="K79" s="571"/>
      <c r="L79" s="571"/>
      <c r="M79" s="571"/>
      <c r="N79" s="571" t="e">
        <f>SUM(#REF!)</f>
        <v>#REF!</v>
      </c>
      <c r="O79" s="572"/>
      <c r="P79" s="572"/>
      <c r="Q79" s="572"/>
      <c r="R79" s="572"/>
      <c r="S79" s="573"/>
      <c r="T79" s="573">
        <f>SUM(T5:T77)</f>
        <v>0</v>
      </c>
    </row>
    <row r="80" spans="1:24" ht="19.5" customHeight="1" x14ac:dyDescent="0.35">
      <c r="B80" s="574"/>
      <c r="C80" s="575"/>
      <c r="D80" s="575"/>
      <c r="E80" s="576" t="s">
        <v>291</v>
      </c>
      <c r="F80" s="577"/>
      <c r="G80" s="578"/>
      <c r="H80" s="578"/>
      <c r="I80" s="577"/>
      <c r="J80" s="578"/>
      <c r="K80" s="578"/>
      <c r="L80" s="578"/>
      <c r="M80" s="578"/>
      <c r="N80" s="578"/>
      <c r="O80" s="579"/>
      <c r="P80" s="579"/>
      <c r="Q80" s="579"/>
      <c r="R80" s="579"/>
      <c r="S80" s="580"/>
      <c r="T80" s="580"/>
    </row>
    <row r="81" spans="1:21" ht="19.5" customHeight="1" x14ac:dyDescent="0.35">
      <c r="B81" s="581"/>
      <c r="C81" s="582"/>
      <c r="D81" s="582"/>
      <c r="E81" s="583" t="s">
        <v>292</v>
      </c>
      <c r="F81" s="584"/>
      <c r="G81" s="585"/>
      <c r="H81" s="585"/>
      <c r="I81" s="584"/>
      <c r="J81" s="585"/>
      <c r="K81" s="585"/>
      <c r="L81" s="585"/>
      <c r="M81" s="585"/>
      <c r="N81" s="585"/>
      <c r="O81" s="579"/>
      <c r="P81" s="579"/>
      <c r="Q81" s="579"/>
      <c r="R81" s="579"/>
      <c r="S81" s="580"/>
      <c r="T81" s="580"/>
    </row>
    <row r="82" spans="1:21" ht="19.5" customHeight="1" x14ac:dyDescent="0.35">
      <c r="B82" s="586">
        <f>MAX(B5:B77)</f>
        <v>0</v>
      </c>
      <c r="C82" s="587">
        <f>MAX(C5:C77)</f>
        <v>12</v>
      </c>
      <c r="D82" s="587">
        <f>MAX(D5:D77)</f>
        <v>0</v>
      </c>
      <c r="E82" s="588" t="s">
        <v>293</v>
      </c>
      <c r="F82" s="589"/>
      <c r="G82" s="590"/>
      <c r="H82" s="590"/>
      <c r="I82" s="589"/>
      <c r="J82" s="590"/>
      <c r="K82" s="590"/>
      <c r="L82" s="590"/>
      <c r="M82" s="590"/>
      <c r="N82" s="590"/>
      <c r="O82" s="591"/>
      <c r="P82" s="591"/>
      <c r="Q82" s="591"/>
      <c r="R82" s="591"/>
      <c r="S82" s="592"/>
      <c r="T82" s="592">
        <f>MAX(T5:T77)</f>
        <v>0</v>
      </c>
    </row>
    <row r="84" spans="1:21" ht="13" customHeight="1" x14ac:dyDescent="0.55000000000000004">
      <c r="E84" s="593" t="s">
        <v>290</v>
      </c>
    </row>
    <row r="85" spans="1:21" ht="13" customHeight="1" x14ac:dyDescent="0.55000000000000004">
      <c r="E85" s="595" t="s">
        <v>291</v>
      </c>
    </row>
    <row r="86" spans="1:21" ht="13" customHeight="1" x14ac:dyDescent="0.55000000000000004">
      <c r="E86" s="596" t="s">
        <v>292</v>
      </c>
    </row>
    <row r="88" spans="1:21" ht="13" customHeight="1" x14ac:dyDescent="0.35">
      <c r="J88" s="598"/>
      <c r="K88" s="599"/>
      <c r="L88" s="599"/>
      <c r="M88" s="599"/>
      <c r="N88" s="599"/>
    </row>
    <row r="89" spans="1:21" ht="13" customHeight="1" x14ac:dyDescent="0.35">
      <c r="J89" s="598"/>
      <c r="K89" s="599"/>
      <c r="L89" s="599"/>
      <c r="M89" s="599"/>
      <c r="N89" s="599"/>
    </row>
    <row r="90" spans="1:21" ht="13" customHeight="1" x14ac:dyDescent="0.35">
      <c r="J90" s="598"/>
      <c r="K90" s="599"/>
      <c r="L90" s="599"/>
      <c r="M90" s="599"/>
      <c r="N90" s="599"/>
    </row>
    <row r="91" spans="1:21" ht="13" customHeight="1" x14ac:dyDescent="0.35">
      <c r="J91" s="598"/>
      <c r="K91" s="599"/>
      <c r="L91" s="599"/>
      <c r="M91" s="599"/>
      <c r="N91" s="599"/>
    </row>
    <row r="92" spans="1:21" ht="13" customHeight="1" x14ac:dyDescent="0.35">
      <c r="J92" s="598"/>
      <c r="K92" s="599"/>
      <c r="L92" s="599"/>
      <c r="M92" s="599"/>
      <c r="N92" s="599"/>
    </row>
    <row r="93" spans="1:21" ht="13" customHeight="1" x14ac:dyDescent="0.35">
      <c r="A93" s="506" t="str">
        <f>S93</f>
        <v>140101</v>
      </c>
      <c r="B93" s="1167" t="s">
        <v>294</v>
      </c>
      <c r="C93" s="548" t="s">
        <v>182</v>
      </c>
      <c r="D93" s="548" t="s">
        <v>182</v>
      </c>
      <c r="E93" s="541" t="s">
        <v>295</v>
      </c>
      <c r="F93" s="600"/>
      <c r="G93" s="601"/>
      <c r="H93" s="602"/>
      <c r="I93" s="603"/>
      <c r="J93" s="602"/>
      <c r="K93" s="602"/>
      <c r="L93" s="602"/>
      <c r="M93" s="557"/>
      <c r="N93" s="557"/>
      <c r="O93" s="511" t="str">
        <f>IF(B93="",O73,B93)</f>
        <v>14</v>
      </c>
      <c r="P93" s="511" t="str">
        <f>IF(C93="",P73,C93)</f>
        <v>01</v>
      </c>
      <c r="Q93" s="511" t="str">
        <f>IF(D93="",Q73,D93)</f>
        <v>01</v>
      </c>
      <c r="R93" s="512" t="str">
        <f>CONCATENATE(P93,Q93)</f>
        <v>0101</v>
      </c>
      <c r="S93" s="513" t="str">
        <f>CONCATENATE(O93,P93,Q93)</f>
        <v>140101</v>
      </c>
      <c r="T93" s="514"/>
      <c r="U93" s="506">
        <f>VALUE(S93)</f>
        <v>140101</v>
      </c>
    </row>
    <row r="94" spans="1:21" ht="13" customHeight="1" x14ac:dyDescent="0.35">
      <c r="A94" s="506" t="str">
        <f>S94</f>
        <v>140201</v>
      </c>
      <c r="B94" s="1168"/>
      <c r="C94" s="531" t="s">
        <v>184</v>
      </c>
      <c r="D94" s="531" t="s">
        <v>182</v>
      </c>
      <c r="E94" s="542" t="s">
        <v>296</v>
      </c>
      <c r="F94" s="604"/>
      <c r="G94" s="605"/>
      <c r="H94" s="606"/>
      <c r="I94" s="607"/>
      <c r="J94" s="606"/>
      <c r="K94" s="606"/>
      <c r="L94" s="606"/>
      <c r="M94" s="557"/>
      <c r="N94" s="557"/>
      <c r="O94" s="511" t="str">
        <f t="shared" ref="O94:Q96" si="14">IF(B94="",O93,B94)</f>
        <v>14</v>
      </c>
      <c r="P94" s="511" t="str">
        <f t="shared" si="14"/>
        <v>02</v>
      </c>
      <c r="Q94" s="511" t="str">
        <f t="shared" si="14"/>
        <v>01</v>
      </c>
      <c r="R94" s="512" t="str">
        <f>CONCATENATE(P94,Q94)</f>
        <v>0201</v>
      </c>
      <c r="S94" s="513" t="str">
        <f>CONCATENATE(O94,P94,Q94)</f>
        <v>140201</v>
      </c>
      <c r="T94" s="514"/>
      <c r="U94" s="506">
        <f>VALUE(S94)</f>
        <v>140201</v>
      </c>
    </row>
    <row r="95" spans="1:21" ht="13" customHeight="1" x14ac:dyDescent="0.35">
      <c r="A95" s="506" t="str">
        <f>S95</f>
        <v>140301</v>
      </c>
      <c r="B95" s="1168"/>
      <c r="C95" s="531" t="s">
        <v>187</v>
      </c>
      <c r="D95" s="531" t="s">
        <v>182</v>
      </c>
      <c r="E95" s="542" t="s">
        <v>297</v>
      </c>
      <c r="F95" s="604"/>
      <c r="G95" s="605"/>
      <c r="H95" s="606"/>
      <c r="I95" s="607"/>
      <c r="J95" s="606"/>
      <c r="K95" s="606"/>
      <c r="L95" s="606"/>
      <c r="M95" s="557"/>
      <c r="N95" s="557"/>
      <c r="O95" s="511" t="str">
        <f t="shared" si="14"/>
        <v>14</v>
      </c>
      <c r="P95" s="511" t="str">
        <f t="shared" si="14"/>
        <v>03</v>
      </c>
      <c r="Q95" s="511" t="str">
        <f t="shared" si="14"/>
        <v>01</v>
      </c>
      <c r="R95" s="512" t="str">
        <f>CONCATENATE(P95,Q95)</f>
        <v>0301</v>
      </c>
      <c r="S95" s="513" t="str">
        <f>CONCATENATE(O95,P95,Q95)</f>
        <v>140301</v>
      </c>
      <c r="T95" s="514"/>
      <c r="U95" s="506">
        <f>VALUE(S95)</f>
        <v>140301</v>
      </c>
    </row>
    <row r="96" spans="1:21" ht="13" customHeight="1" x14ac:dyDescent="0.35">
      <c r="A96" s="506" t="str">
        <f>S96</f>
        <v>150101</v>
      </c>
      <c r="B96" s="608" t="s">
        <v>298</v>
      </c>
      <c r="C96" s="609" t="s">
        <v>182</v>
      </c>
      <c r="D96" s="609" t="s">
        <v>182</v>
      </c>
      <c r="E96" s="610" t="s">
        <v>299</v>
      </c>
      <c r="F96" s="611"/>
      <c r="G96" s="612"/>
      <c r="H96" s="613"/>
      <c r="I96" s="614"/>
      <c r="J96" s="613"/>
      <c r="K96" s="613"/>
      <c r="L96" s="613"/>
      <c r="M96" s="557"/>
      <c r="N96" s="557"/>
      <c r="O96" s="511" t="str">
        <f t="shared" si="14"/>
        <v>15</v>
      </c>
      <c r="P96" s="511" t="str">
        <f t="shared" si="14"/>
        <v>01</v>
      </c>
      <c r="Q96" s="511" t="str">
        <f t="shared" si="14"/>
        <v>01</v>
      </c>
      <c r="R96" s="512" t="str">
        <f>CONCATENATE(P96,Q96)</f>
        <v>0101</v>
      </c>
      <c r="S96" s="513" t="str">
        <f>CONCATENATE(O96,P96,Q96)</f>
        <v>150101</v>
      </c>
      <c r="T96" s="514"/>
      <c r="U96" s="506">
        <f>VALUE(S96)</f>
        <v>150101</v>
      </c>
    </row>
    <row r="97" spans="4:9" ht="15" customHeight="1" x14ac:dyDescent="0.35"/>
    <row r="100" spans="4:9" ht="13" customHeight="1" x14ac:dyDescent="0.35">
      <c r="D100" s="615" t="s">
        <v>300</v>
      </c>
      <c r="E100" s="616"/>
      <c r="F100" s="616"/>
      <c r="G100" s="616"/>
    </row>
    <row r="101" spans="4:9" ht="16.5" customHeight="1" x14ac:dyDescent="0.35">
      <c r="D101" s="1123" t="s">
        <v>92</v>
      </c>
      <c r="E101" s="203" t="s">
        <v>93</v>
      </c>
      <c r="F101" s="617"/>
      <c r="G101" s="618"/>
    </row>
    <row r="102" spans="4:9" ht="16.5" customHeight="1" x14ac:dyDescent="0.35">
      <c r="D102" s="1124"/>
      <c r="E102" s="205" t="s">
        <v>101</v>
      </c>
      <c r="F102" s="619"/>
      <c r="G102" s="620"/>
    </row>
    <row r="103" spans="4:9" ht="16.5" customHeight="1" x14ac:dyDescent="0.35">
      <c r="D103" s="208">
        <v>1</v>
      </c>
      <c r="E103" s="209">
        <v>1478.9601123</v>
      </c>
      <c r="F103" s="210"/>
      <c r="G103" s="621"/>
      <c r="H103" s="210"/>
      <c r="I103" s="622"/>
    </row>
    <row r="104" spans="4:9" ht="16.5" customHeight="1" x14ac:dyDescent="0.35">
      <c r="D104" s="211">
        <v>2</v>
      </c>
      <c r="E104" s="212">
        <v>3848.8488720399996</v>
      </c>
      <c r="F104" s="210"/>
      <c r="G104" s="621"/>
      <c r="H104" s="210"/>
      <c r="I104" s="622"/>
    </row>
    <row r="105" spans="4:9" ht="16.5" customHeight="1" x14ac:dyDescent="0.35">
      <c r="D105" s="211">
        <v>3</v>
      </c>
      <c r="E105" s="212">
        <v>3311.0004518109999</v>
      </c>
      <c r="F105" s="210"/>
      <c r="G105" s="621"/>
      <c r="H105" s="210"/>
      <c r="I105" s="622"/>
    </row>
    <row r="106" spans="4:9" ht="16.5" customHeight="1" x14ac:dyDescent="0.35">
      <c r="D106" s="211">
        <v>4</v>
      </c>
      <c r="E106" s="212">
        <v>1344.8621932199999</v>
      </c>
      <c r="F106" s="210"/>
      <c r="G106" s="621"/>
      <c r="H106" s="210"/>
      <c r="I106" s="622"/>
    </row>
    <row r="107" spans="4:9" ht="16.5" customHeight="1" x14ac:dyDescent="0.35">
      <c r="D107" s="211">
        <v>5</v>
      </c>
      <c r="E107" s="212">
        <v>1438.7992606</v>
      </c>
      <c r="F107" s="210"/>
      <c r="G107" s="621"/>
      <c r="H107" s="210"/>
      <c r="I107" s="622"/>
    </row>
    <row r="108" spans="4:9" ht="16.5" customHeight="1" x14ac:dyDescent="0.35">
      <c r="D108" s="213">
        <v>6</v>
      </c>
      <c r="E108" s="214">
        <v>1874.0366138893</v>
      </c>
      <c r="F108" s="215"/>
      <c r="G108" s="623"/>
      <c r="H108" s="215"/>
      <c r="I108" s="622"/>
    </row>
    <row r="109" spans="4:9" ht="16.5" customHeight="1" x14ac:dyDescent="0.35">
      <c r="D109" s="211">
        <v>7</v>
      </c>
      <c r="E109" s="212">
        <v>4747.0846203999999</v>
      </c>
      <c r="F109" s="210"/>
      <c r="G109" s="621"/>
      <c r="H109" s="210"/>
      <c r="I109" s="622"/>
    </row>
    <row r="110" spans="4:9" ht="16.5" customHeight="1" x14ac:dyDescent="0.35">
      <c r="D110" s="211">
        <v>8</v>
      </c>
      <c r="E110" s="212">
        <v>1932.14249877</v>
      </c>
      <c r="F110" s="210"/>
      <c r="G110" s="621"/>
      <c r="H110" s="210"/>
      <c r="I110" s="622"/>
    </row>
    <row r="111" spans="4:9" ht="16.5" customHeight="1" x14ac:dyDescent="0.35">
      <c r="D111" s="211">
        <v>9</v>
      </c>
      <c r="E111" s="212">
        <v>4476.4872878700007</v>
      </c>
      <c r="F111" s="210"/>
      <c r="G111" s="621"/>
      <c r="H111" s="210"/>
      <c r="I111" s="622"/>
    </row>
    <row r="112" spans="4:9" ht="16.5" customHeight="1" x14ac:dyDescent="0.35">
      <c r="D112" s="217">
        <v>10</v>
      </c>
      <c r="E112" s="218">
        <v>2335.6470562199997</v>
      </c>
      <c r="F112" s="219"/>
      <c r="G112" s="624"/>
      <c r="H112" s="219"/>
      <c r="I112" s="622"/>
    </row>
    <row r="113" spans="4:9" ht="16.5" customHeight="1" x14ac:dyDescent="0.35">
      <c r="D113" s="211">
        <v>11</v>
      </c>
      <c r="E113" s="212">
        <v>1536.0067049500001</v>
      </c>
      <c r="F113" s="210"/>
      <c r="G113" s="621"/>
      <c r="H113" s="210"/>
      <c r="I113" s="622"/>
    </row>
    <row r="114" spans="4:9" ht="16.5" customHeight="1" x14ac:dyDescent="0.35">
      <c r="D114" s="211">
        <v>12</v>
      </c>
      <c r="E114" s="212">
        <v>6506.3394571199997</v>
      </c>
      <c r="F114" s="210"/>
      <c r="G114" s="621"/>
      <c r="H114" s="210"/>
      <c r="I114" s="622"/>
    </row>
    <row r="115" spans="4:9" ht="16.5" customHeight="1" x14ac:dyDescent="0.35">
      <c r="D115" s="625">
        <v>13</v>
      </c>
      <c r="E115" s="626">
        <v>356.46676357000001</v>
      </c>
      <c r="F115" s="210"/>
      <c r="G115" s="621"/>
      <c r="H115" s="210"/>
      <c r="I115" s="622"/>
    </row>
    <row r="116" spans="4:9" ht="16.5" customHeight="1" x14ac:dyDescent="0.35">
      <c r="D116" s="627"/>
      <c r="E116" s="628">
        <f>SUM(E103:E115)</f>
        <v>35186.681892760302</v>
      </c>
      <c r="F116" s="629"/>
      <c r="G116" s="628"/>
      <c r="H116" s="628"/>
      <c r="I116" s="622"/>
    </row>
  </sheetData>
  <mergeCells count="65">
    <mergeCell ref="D101:D102"/>
    <mergeCell ref="J66:J67"/>
    <mergeCell ref="B69:B71"/>
    <mergeCell ref="B72:B73"/>
    <mergeCell ref="B74:B77"/>
    <mergeCell ref="B93:B95"/>
    <mergeCell ref="B64:B68"/>
    <mergeCell ref="C64:C65"/>
    <mergeCell ref="C66:C68"/>
    <mergeCell ref="H66:H67"/>
    <mergeCell ref="I66:I67"/>
    <mergeCell ref="B55:B63"/>
    <mergeCell ref="C55:C58"/>
    <mergeCell ref="H55:H58"/>
    <mergeCell ref="J55:J58"/>
    <mergeCell ref="C59:C60"/>
    <mergeCell ref="H59:H60"/>
    <mergeCell ref="J59:J60"/>
    <mergeCell ref="C61:C63"/>
    <mergeCell ref="H61:H63"/>
    <mergeCell ref="J61:J63"/>
    <mergeCell ref="B41:B44"/>
    <mergeCell ref="C42:C43"/>
    <mergeCell ref="B45:B54"/>
    <mergeCell ref="C45:C48"/>
    <mergeCell ref="H45:H48"/>
    <mergeCell ref="H52:H54"/>
    <mergeCell ref="J45:J48"/>
    <mergeCell ref="C49:C51"/>
    <mergeCell ref="H49:H50"/>
    <mergeCell ref="J49:J50"/>
    <mergeCell ref="C52:C54"/>
    <mergeCell ref="J52:J54"/>
    <mergeCell ref="J28:J29"/>
    <mergeCell ref="H30:H31"/>
    <mergeCell ref="J30:J31"/>
    <mergeCell ref="B33:B40"/>
    <mergeCell ref="C34:C38"/>
    <mergeCell ref="H34:H36"/>
    <mergeCell ref="J34:J36"/>
    <mergeCell ref="C39:C40"/>
    <mergeCell ref="H39:H40"/>
    <mergeCell ref="J39:J40"/>
    <mergeCell ref="H28:H29"/>
    <mergeCell ref="B22:B24"/>
    <mergeCell ref="B25:B27"/>
    <mergeCell ref="C25:C26"/>
    <mergeCell ref="B28:B32"/>
    <mergeCell ref="G28:G29"/>
    <mergeCell ref="Z12:Z13"/>
    <mergeCell ref="C15:C16"/>
    <mergeCell ref="H15:H16"/>
    <mergeCell ref="J15:J16"/>
    <mergeCell ref="B17:B21"/>
    <mergeCell ref="C19:C20"/>
    <mergeCell ref="B9:B16"/>
    <mergeCell ref="C9:C11"/>
    <mergeCell ref="H9:H11"/>
    <mergeCell ref="J9:J11"/>
    <mergeCell ref="C12:C13"/>
    <mergeCell ref="AD2:AH2"/>
    <mergeCell ref="F3:I3"/>
    <mergeCell ref="AA3:AE3"/>
    <mergeCell ref="B5:B8"/>
    <mergeCell ref="C6:C7"/>
  </mergeCells>
  <conditionalFormatting sqref="P5:Q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3:E1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93:Q96 P5:Q7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93:Q95 P5:Q7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I4">
    <cfRule type="expression" dxfId="4" priority="4">
      <formula>IF(#REF!&lt;&gt;#REF!,1,0)</formula>
    </cfRule>
  </conditionalFormatting>
  <conditionalFormatting sqref="F4:I4">
    <cfRule type="expression" dxfId="3" priority="5">
      <formula>IF(#REF!&lt;&gt;$AM3,1,0)</formula>
    </cfRule>
  </conditionalFormatting>
  <conditionalFormatting sqref="F4">
    <cfRule type="expression" dxfId="2" priority="3">
      <formula>IF(#REF!&lt;&gt;#REF!,1,0)</formula>
    </cfRule>
  </conditionalFormatting>
  <conditionalFormatting sqref="J4">
    <cfRule type="expression" dxfId="1" priority="1">
      <formula>IF(#REF!&lt;&gt;#REF!,1,0)</formula>
    </cfRule>
  </conditionalFormatting>
  <conditionalFormatting sqref="J4">
    <cfRule type="expression" dxfId="0" priority="2">
      <formula>IF(#REF!&lt;&gt;$AM3,1,0)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5A112-9DEF-4FBD-9347-B1D4DD7B93FB}">
  <sheetPr>
    <tabColor rgb="FFB5EEA6"/>
  </sheetPr>
  <dimension ref="A1:AC63"/>
  <sheetViews>
    <sheetView rightToLeft="1" topLeftCell="A19" zoomScale="70" zoomScaleNormal="70" zoomScaleSheetLayoutView="80" workbookViewId="0">
      <selection activeCell="D47" sqref="D47"/>
    </sheetView>
  </sheetViews>
  <sheetFormatPr defaultRowHeight="14.5" x14ac:dyDescent="0.35"/>
  <cols>
    <col min="1" max="1" width="15.1796875" style="969" customWidth="1"/>
    <col min="3" max="4" width="8" customWidth="1"/>
    <col min="5" max="5" width="10.54296875" customWidth="1"/>
    <col min="6" max="6" width="7.81640625" customWidth="1"/>
    <col min="7" max="7" width="10.7265625" customWidth="1"/>
    <col min="9" max="9" width="9.54296875" customWidth="1"/>
    <col min="10" max="10" width="10.54296875" customWidth="1"/>
    <col min="11" max="13" width="8.7265625" customWidth="1"/>
    <col min="14" max="16" width="8.1796875" customWidth="1"/>
    <col min="17" max="17" width="10.26953125" customWidth="1"/>
    <col min="20" max="20" width="9.81640625" bestFit="1" customWidth="1"/>
    <col min="22" max="22" width="12.54296875" customWidth="1"/>
  </cols>
  <sheetData>
    <row r="1" spans="1:24" ht="8.25" customHeight="1" x14ac:dyDescent="0.35">
      <c r="B1" s="753"/>
      <c r="C1" s="753"/>
      <c r="D1" s="753"/>
      <c r="E1" s="753"/>
      <c r="F1" s="753"/>
      <c r="G1" s="753"/>
      <c r="H1" s="753"/>
      <c r="I1" s="753"/>
      <c r="J1" s="753"/>
      <c r="K1" s="753"/>
      <c r="L1" s="753"/>
      <c r="M1" s="753"/>
      <c r="N1" s="753"/>
      <c r="O1" s="753"/>
      <c r="P1" s="753"/>
      <c r="S1" s="753"/>
      <c r="T1" s="753"/>
      <c r="U1" s="753"/>
      <c r="V1" s="753"/>
      <c r="W1" s="753"/>
      <c r="X1" s="753"/>
    </row>
    <row r="2" spans="1:24" ht="26.25" customHeight="1" x14ac:dyDescent="0.35">
      <c r="B2" s="971" t="s">
        <v>356</v>
      </c>
      <c r="C2" s="754"/>
      <c r="D2" s="753"/>
      <c r="E2" s="753"/>
      <c r="F2" s="753"/>
      <c r="G2" s="753"/>
      <c r="H2" s="753"/>
      <c r="I2" s="753"/>
      <c r="J2" s="753"/>
      <c r="K2" s="753"/>
      <c r="L2" s="753"/>
      <c r="M2" s="753"/>
      <c r="N2" s="753"/>
      <c r="O2" s="753"/>
      <c r="P2" s="753"/>
      <c r="R2" s="756"/>
      <c r="S2" s="756"/>
      <c r="T2" s="756"/>
      <c r="U2" s="756"/>
      <c r="V2" s="756"/>
      <c r="W2" s="756"/>
      <c r="X2" s="756"/>
    </row>
    <row r="3" spans="1:24" ht="18.75" customHeight="1" x14ac:dyDescent="0.35">
      <c r="B3" s="757"/>
      <c r="C3" s="1181" t="s">
        <v>357</v>
      </c>
      <c r="D3" s="1182"/>
      <c r="E3" s="1181" t="s">
        <v>358</v>
      </c>
      <c r="F3" s="1185"/>
      <c r="G3" s="1181" t="s">
        <v>359</v>
      </c>
      <c r="H3" s="1182"/>
      <c r="I3" s="1182"/>
      <c r="J3" s="758" t="s">
        <v>360</v>
      </c>
      <c r="K3" s="753"/>
      <c r="L3" s="759" t="s">
        <v>361</v>
      </c>
      <c r="M3" s="760" t="s">
        <v>362</v>
      </c>
      <c r="N3" s="760"/>
      <c r="O3" s="759"/>
      <c r="P3" s="761"/>
      <c r="R3" s="967" t="s">
        <v>363</v>
      </c>
      <c r="S3" s="753"/>
      <c r="T3" s="753"/>
      <c r="U3" s="756"/>
      <c r="V3" s="756"/>
      <c r="W3" s="756"/>
      <c r="X3" s="753"/>
    </row>
    <row r="4" spans="1:24" ht="33.75" customHeight="1" x14ac:dyDescent="0.35">
      <c r="B4" s="762"/>
      <c r="C4" s="763" t="s">
        <v>364</v>
      </c>
      <c r="D4" s="762" t="s">
        <v>365</v>
      </c>
      <c r="E4" s="763" t="s">
        <v>366</v>
      </c>
      <c r="F4" s="762" t="s">
        <v>367</v>
      </c>
      <c r="G4" s="763" t="s">
        <v>368</v>
      </c>
      <c r="H4" s="762" t="s">
        <v>369</v>
      </c>
      <c r="I4" s="764" t="s">
        <v>370</v>
      </c>
      <c r="J4" s="765" t="s">
        <v>371</v>
      </c>
      <c r="K4" s="753"/>
      <c r="L4" s="763" t="s">
        <v>101</v>
      </c>
      <c r="M4" s="764" t="s">
        <v>150</v>
      </c>
      <c r="N4" s="764" t="s">
        <v>372</v>
      </c>
      <c r="O4" s="763"/>
      <c r="P4" s="762"/>
      <c r="R4" s="967" t="s">
        <v>373</v>
      </c>
      <c r="S4" s="753"/>
      <c r="T4" s="753"/>
      <c r="U4" s="756"/>
      <c r="V4" s="756"/>
      <c r="W4" s="756"/>
      <c r="X4" s="753"/>
    </row>
    <row r="5" spans="1:24" ht="17.25" customHeight="1" x14ac:dyDescent="0.35">
      <c r="B5" s="766"/>
      <c r="C5" s="767" t="s">
        <v>374</v>
      </c>
      <c r="D5" s="768" t="s">
        <v>320</v>
      </c>
      <c r="E5" s="766"/>
      <c r="F5" s="766"/>
      <c r="G5" s="769" t="s">
        <v>375</v>
      </c>
      <c r="H5" s="770" t="s">
        <v>376</v>
      </c>
      <c r="I5" s="771" t="s">
        <v>377</v>
      </c>
      <c r="J5" s="772" t="s">
        <v>378</v>
      </c>
      <c r="K5" s="753"/>
      <c r="L5" s="769" t="s">
        <v>379</v>
      </c>
      <c r="M5" s="771" t="s">
        <v>380</v>
      </c>
      <c r="N5" s="768" t="s">
        <v>381</v>
      </c>
      <c r="O5" s="766" t="s">
        <v>321</v>
      </c>
      <c r="P5" s="766" t="s">
        <v>382</v>
      </c>
      <c r="R5" s="967" t="s">
        <v>383</v>
      </c>
      <c r="S5" s="753"/>
      <c r="T5" s="753"/>
      <c r="U5" s="756"/>
      <c r="V5" s="756"/>
      <c r="W5" s="756"/>
      <c r="X5" s="753"/>
    </row>
    <row r="6" spans="1:24" ht="17.25" customHeight="1" x14ac:dyDescent="0.35">
      <c r="B6" s="773"/>
      <c r="C6" s="774" t="s">
        <v>384</v>
      </c>
      <c r="D6" s="775" t="s">
        <v>384</v>
      </c>
      <c r="E6" s="773" t="s">
        <v>385</v>
      </c>
      <c r="F6" s="773" t="s">
        <v>328</v>
      </c>
      <c r="G6" s="776" t="s">
        <v>386</v>
      </c>
      <c r="H6" s="777" t="s">
        <v>387</v>
      </c>
      <c r="I6" s="778" t="s">
        <v>106</v>
      </c>
      <c r="J6" s="779" t="s">
        <v>385</v>
      </c>
      <c r="K6" s="753"/>
      <c r="L6" s="774" t="s">
        <v>388</v>
      </c>
      <c r="M6" s="775" t="s">
        <v>389</v>
      </c>
      <c r="N6" s="775" t="s">
        <v>390</v>
      </c>
      <c r="O6" s="773" t="s">
        <v>328</v>
      </c>
      <c r="P6" s="773" t="s">
        <v>4</v>
      </c>
      <c r="R6" s="967" t="s">
        <v>391</v>
      </c>
      <c r="S6" s="753"/>
      <c r="T6" s="753"/>
      <c r="U6" s="756"/>
      <c r="V6" s="756"/>
      <c r="W6" s="756"/>
      <c r="X6" s="753"/>
    </row>
    <row r="7" spans="1:24" ht="19.5" customHeight="1" x14ac:dyDescent="0.35">
      <c r="A7" s="970" t="s">
        <v>392</v>
      </c>
      <c r="B7" s="780" t="s">
        <v>179</v>
      </c>
      <c r="C7" s="781">
        <f>[6]Analysis!AJ1</f>
        <v>9</v>
      </c>
      <c r="D7" s="782">
        <v>9</v>
      </c>
      <c r="E7" s="783">
        <v>1031.3742857142856</v>
      </c>
      <c r="F7" s="784">
        <f>E7/J7</f>
        <v>0.22850741780607373</v>
      </c>
      <c r="G7" s="785">
        <f>J7/10*F7/31</f>
        <v>3.327013824884792</v>
      </c>
      <c r="H7" s="786">
        <f>D7*G7</f>
        <v>29.943124423963127</v>
      </c>
      <c r="I7" s="787">
        <f>G7/8.64</f>
        <v>0.38507104454685093</v>
      </c>
      <c r="J7" s="788">
        <v>4513.5264999999999</v>
      </c>
      <c r="K7" s="753"/>
      <c r="L7" s="789">
        <v>2610.8834000000002</v>
      </c>
      <c r="M7" s="790">
        <f>L7*J7/1000</f>
        <v>11784.291414310101</v>
      </c>
      <c r="N7" s="782">
        <f t="shared" ref="N7:N12" si="0">10000/D7</f>
        <v>1111.1111111111111</v>
      </c>
      <c r="O7" s="791">
        <f t="shared" ref="O7:O12" si="1">+C7/D7</f>
        <v>1</v>
      </c>
      <c r="P7" s="792">
        <f t="shared" ref="P7:P12" si="2">O7^0.5</f>
        <v>1</v>
      </c>
      <c r="R7" s="967" t="s">
        <v>393</v>
      </c>
      <c r="S7" s="756"/>
      <c r="T7" s="753"/>
      <c r="U7" s="756"/>
      <c r="V7" s="756"/>
      <c r="W7" s="756"/>
      <c r="X7" s="753"/>
    </row>
    <row r="8" spans="1:24" ht="19.5" customHeight="1" x14ac:dyDescent="0.35">
      <c r="A8" s="970" t="s">
        <v>392</v>
      </c>
      <c r="B8" s="780" t="s">
        <v>301</v>
      </c>
      <c r="C8" s="781">
        <f>C7</f>
        <v>9</v>
      </c>
      <c r="D8" s="782">
        <v>9</v>
      </c>
      <c r="E8" s="783">
        <v>859.4785714285714</v>
      </c>
      <c r="F8" s="793">
        <f>E8/J8</f>
        <v>0.23175175461282099</v>
      </c>
      <c r="G8" s="785">
        <f>J8/10*F8/31</f>
        <v>2.7725115207373272</v>
      </c>
      <c r="H8" s="786">
        <f>D8*G8</f>
        <v>24.952603686635946</v>
      </c>
      <c r="I8" s="787">
        <f t="shared" ref="I8:I12" si="3">G8/8.64</f>
        <v>0.32089253712237581</v>
      </c>
      <c r="J8" s="788">
        <v>3708.61732142857</v>
      </c>
      <c r="K8" s="753"/>
      <c r="L8" s="789">
        <f>+L7</f>
        <v>2610.8834000000002</v>
      </c>
      <c r="M8" s="790">
        <f>L8*J8/1000</f>
        <v>9682.7674014703189</v>
      </c>
      <c r="N8" s="782">
        <f t="shared" si="0"/>
        <v>1111.1111111111111</v>
      </c>
      <c r="O8" s="794">
        <f t="shared" si="1"/>
        <v>1</v>
      </c>
      <c r="P8" s="795">
        <f t="shared" si="2"/>
        <v>1</v>
      </c>
      <c r="R8" s="967" t="s">
        <v>394</v>
      </c>
      <c r="S8" s="753"/>
      <c r="T8" s="753"/>
      <c r="U8" s="756"/>
      <c r="V8" s="756"/>
      <c r="W8" s="756"/>
      <c r="X8" s="753"/>
    </row>
    <row r="9" spans="1:24" ht="19.5" customHeight="1" x14ac:dyDescent="0.35">
      <c r="A9" s="970"/>
      <c r="B9" s="796"/>
      <c r="C9" s="797">
        <f>C8</f>
        <v>9</v>
      </c>
      <c r="D9" s="798">
        <v>20</v>
      </c>
      <c r="E9" s="799">
        <f>I9*3600*24*31/1000</f>
        <v>620</v>
      </c>
      <c r="F9" s="800">
        <v>0.23</v>
      </c>
      <c r="G9" s="801">
        <f>H9/D9</f>
        <v>2</v>
      </c>
      <c r="H9" s="802">
        <v>40</v>
      </c>
      <c r="I9" s="803">
        <f t="shared" si="3"/>
        <v>0.23148148148148145</v>
      </c>
      <c r="J9" s="804">
        <f>E9/F9</f>
        <v>2695.6521739130435</v>
      </c>
      <c r="K9" s="753"/>
      <c r="L9" s="805"/>
      <c r="M9" s="806"/>
      <c r="N9" s="798">
        <f t="shared" si="0"/>
        <v>500</v>
      </c>
      <c r="O9" s="794">
        <f t="shared" si="1"/>
        <v>0.45</v>
      </c>
      <c r="P9" s="795">
        <f t="shared" si="2"/>
        <v>0.67082039324993692</v>
      </c>
      <c r="R9" s="967"/>
      <c r="S9" s="756"/>
      <c r="T9" s="756"/>
      <c r="U9" s="756"/>
      <c r="V9" s="756"/>
      <c r="W9" s="756"/>
      <c r="X9" s="753"/>
    </row>
    <row r="10" spans="1:24" ht="19.5" customHeight="1" x14ac:dyDescent="0.35">
      <c r="A10" s="970"/>
      <c r="B10" s="807"/>
      <c r="C10" s="781">
        <f>C9</f>
        <v>9</v>
      </c>
      <c r="D10" s="782">
        <f>D9</f>
        <v>20</v>
      </c>
      <c r="E10" s="808">
        <f>I10*3600*24*31/1000</f>
        <v>775</v>
      </c>
      <c r="F10" s="794">
        <v>0.23</v>
      </c>
      <c r="G10" s="785">
        <f>H10/D10</f>
        <v>2.5</v>
      </c>
      <c r="H10" s="809">
        <v>50</v>
      </c>
      <c r="I10" s="810">
        <f t="shared" si="3"/>
        <v>0.28935185185185186</v>
      </c>
      <c r="J10" s="811">
        <f>E10/F10</f>
        <v>3369.565217391304</v>
      </c>
      <c r="K10" s="753"/>
      <c r="L10" s="789"/>
      <c r="M10" s="790"/>
      <c r="N10" s="782">
        <f t="shared" si="0"/>
        <v>500</v>
      </c>
      <c r="O10" s="794">
        <f t="shared" si="1"/>
        <v>0.45</v>
      </c>
      <c r="P10" s="795">
        <f t="shared" si="2"/>
        <v>0.67082039324993692</v>
      </c>
      <c r="R10" s="967"/>
      <c r="S10" s="756"/>
      <c r="T10" s="756"/>
      <c r="U10" s="756"/>
      <c r="V10" s="756"/>
      <c r="W10" s="756"/>
      <c r="X10" s="756"/>
    </row>
    <row r="11" spans="1:24" ht="19.5" customHeight="1" x14ac:dyDescent="0.35">
      <c r="A11" s="970" t="s">
        <v>392</v>
      </c>
      <c r="B11" s="812" t="s">
        <v>84</v>
      </c>
      <c r="C11" s="813">
        <v>1.2</v>
      </c>
      <c r="D11" s="814">
        <v>30</v>
      </c>
      <c r="E11" s="815">
        <v>254.81011764705886</v>
      </c>
      <c r="F11" s="784">
        <f>E11/J11</f>
        <v>0.24258090095659876</v>
      </c>
      <c r="G11" s="816">
        <f>J11/10*F11/31</f>
        <v>0.82196812144212539</v>
      </c>
      <c r="H11" s="817">
        <f>D11*G11</f>
        <v>24.659043643263761</v>
      </c>
      <c r="I11" s="818">
        <f t="shared" si="3"/>
        <v>9.5135199240986734E-2</v>
      </c>
      <c r="J11" s="819">
        <f>1000*1.05041294117647</f>
        <v>1050.41294117647</v>
      </c>
      <c r="K11" s="753"/>
      <c r="L11" s="820"/>
      <c r="M11" s="821"/>
      <c r="N11" s="814">
        <f t="shared" si="0"/>
        <v>333.33333333333331</v>
      </c>
      <c r="O11" s="791">
        <f t="shared" si="1"/>
        <v>0.04</v>
      </c>
      <c r="P11" s="792">
        <f t="shared" si="2"/>
        <v>0.2</v>
      </c>
      <c r="R11" s="755"/>
      <c r="S11" s="755"/>
      <c r="T11" s="755"/>
      <c r="U11" s="755"/>
      <c r="V11" s="755"/>
      <c r="W11" s="755"/>
      <c r="X11" s="755"/>
    </row>
    <row r="12" spans="1:24" ht="19.5" customHeight="1" x14ac:dyDescent="0.35">
      <c r="A12" s="970"/>
      <c r="B12" s="822" t="s">
        <v>84</v>
      </c>
      <c r="C12" s="823">
        <v>5</v>
      </c>
      <c r="D12" s="824">
        <v>29.5</v>
      </c>
      <c r="E12" s="823">
        <f>J12*F12</f>
        <v>824.77506325243576</v>
      </c>
      <c r="F12" s="825">
        <f>F11</f>
        <v>0.24258090095659876</v>
      </c>
      <c r="G12" s="826">
        <f>J12/10*F12/31</f>
        <v>2.6605647201691478</v>
      </c>
      <c r="H12" s="827">
        <f>D12*G12</f>
        <v>78.486659244989866</v>
      </c>
      <c r="I12" s="810">
        <f t="shared" si="3"/>
        <v>0.30793573150105874</v>
      </c>
      <c r="J12" s="828">
        <v>3400</v>
      </c>
      <c r="K12" s="753"/>
      <c r="L12" s="829"/>
      <c r="M12" s="830"/>
      <c r="N12" s="831">
        <f t="shared" si="0"/>
        <v>338.9830508474576</v>
      </c>
      <c r="O12" s="832">
        <f t="shared" si="1"/>
        <v>0.16949152542372881</v>
      </c>
      <c r="P12" s="833">
        <f t="shared" si="2"/>
        <v>0.41169348479630913</v>
      </c>
      <c r="R12" s="755"/>
      <c r="S12" s="755"/>
      <c r="T12" s="755"/>
      <c r="U12" s="755"/>
      <c r="V12" s="755"/>
      <c r="W12" s="755"/>
      <c r="X12" s="755"/>
    </row>
    <row r="13" spans="1:24" ht="18.75" customHeight="1" x14ac:dyDescent="0.35">
      <c r="B13" s="753"/>
      <c r="C13" s="753"/>
      <c r="D13" s="753"/>
      <c r="E13" s="753"/>
      <c r="F13" s="753"/>
      <c r="G13" s="753"/>
      <c r="H13" s="753"/>
      <c r="I13" s="753"/>
      <c r="J13" s="753"/>
      <c r="K13" s="753"/>
      <c r="L13" s="753"/>
      <c r="M13" s="753"/>
      <c r="N13" s="753"/>
      <c r="O13" s="753"/>
      <c r="P13" s="753"/>
    </row>
    <row r="14" spans="1:24" ht="21.5" x14ac:dyDescent="0.35">
      <c r="B14" s="834"/>
      <c r="C14" s="1178" t="s">
        <v>395</v>
      </c>
      <c r="D14" s="1184"/>
      <c r="E14" s="1184"/>
      <c r="F14" s="1184"/>
      <c r="G14" s="1184"/>
      <c r="H14" s="1184"/>
      <c r="I14" s="1184"/>
      <c r="J14" s="834"/>
      <c r="K14" s="1178" t="s">
        <v>396</v>
      </c>
      <c r="L14" s="1179"/>
      <c r="M14" s="1178" t="s">
        <v>397</v>
      </c>
      <c r="N14" s="1179"/>
      <c r="O14" s="1178" t="s">
        <v>398</v>
      </c>
      <c r="P14" s="1179"/>
      <c r="Q14" s="1180" t="s">
        <v>13</v>
      </c>
      <c r="R14" s="1179" t="s">
        <v>399</v>
      </c>
      <c r="S14" s="1181" t="s">
        <v>359</v>
      </c>
      <c r="T14" s="1182"/>
      <c r="U14" s="1182"/>
      <c r="V14" s="758" t="s">
        <v>360</v>
      </c>
    </row>
    <row r="15" spans="1:24" ht="18" x14ac:dyDescent="0.35">
      <c r="B15" s="770" t="s">
        <v>400</v>
      </c>
      <c r="C15" s="835" t="s">
        <v>374</v>
      </c>
      <c r="D15" s="836" t="s">
        <v>320</v>
      </c>
      <c r="E15" s="769" t="s">
        <v>401</v>
      </c>
      <c r="F15" s="770" t="s">
        <v>402</v>
      </c>
      <c r="G15" s="835" t="s">
        <v>321</v>
      </c>
      <c r="H15" s="973" t="s">
        <v>382</v>
      </c>
      <c r="I15" s="974" t="s">
        <v>403</v>
      </c>
      <c r="J15" s="837" t="s">
        <v>404</v>
      </c>
      <c r="K15" s="766" t="s">
        <v>405</v>
      </c>
      <c r="L15" s="766" t="s">
        <v>406</v>
      </c>
      <c r="M15" s="767" t="s">
        <v>407</v>
      </c>
      <c r="N15" s="766" t="s">
        <v>408</v>
      </c>
      <c r="O15" s="767" t="s">
        <v>409</v>
      </c>
      <c r="P15" s="766" t="s">
        <v>410</v>
      </c>
      <c r="Q15" s="972" t="s">
        <v>436</v>
      </c>
      <c r="R15" s="838" t="s">
        <v>411</v>
      </c>
      <c r="S15" s="769" t="s">
        <v>375</v>
      </c>
      <c r="T15" s="770" t="s">
        <v>376</v>
      </c>
      <c r="U15" s="771" t="s">
        <v>377</v>
      </c>
      <c r="V15" s="772" t="s">
        <v>378</v>
      </c>
      <c r="X15" s="770" t="s">
        <v>412</v>
      </c>
    </row>
    <row r="16" spans="1:24" ht="15.5" x14ac:dyDescent="0.35">
      <c r="B16" s="839" t="s">
        <v>386</v>
      </c>
      <c r="C16" s="774" t="s">
        <v>384</v>
      </c>
      <c r="D16" s="775" t="s">
        <v>384</v>
      </c>
      <c r="E16" s="840" t="s">
        <v>4</v>
      </c>
      <c r="F16" s="839" t="s">
        <v>4</v>
      </c>
      <c r="G16" s="774" t="s">
        <v>328</v>
      </c>
      <c r="H16" s="773" t="s">
        <v>4</v>
      </c>
      <c r="I16" s="842" t="s">
        <v>4</v>
      </c>
      <c r="J16" s="841" t="s">
        <v>386</v>
      </c>
      <c r="K16" s="773" t="s">
        <v>4</v>
      </c>
      <c r="L16" s="773" t="s">
        <v>4</v>
      </c>
      <c r="M16" s="774" t="s">
        <v>328</v>
      </c>
      <c r="N16" s="773" t="s">
        <v>328</v>
      </c>
      <c r="O16" s="774" t="s">
        <v>328</v>
      </c>
      <c r="P16" s="773" t="s">
        <v>328</v>
      </c>
      <c r="Q16" s="774" t="s">
        <v>328</v>
      </c>
      <c r="R16" s="773" t="s">
        <v>413</v>
      </c>
      <c r="S16" s="840" t="s">
        <v>386</v>
      </c>
      <c r="T16" s="839" t="s">
        <v>387</v>
      </c>
      <c r="U16" s="842" t="s">
        <v>106</v>
      </c>
      <c r="V16" s="843" t="s">
        <v>385</v>
      </c>
      <c r="X16" s="839" t="s">
        <v>4</v>
      </c>
    </row>
    <row r="17" spans="1:29" ht="20.25" customHeight="1" x14ac:dyDescent="0.35">
      <c r="A17" s="970" t="s">
        <v>179</v>
      </c>
      <c r="B17" s="844">
        <v>7.7630322580645164</v>
      </c>
      <c r="C17" s="968">
        <f>G17*D17</f>
        <v>2.25</v>
      </c>
      <c r="D17" s="846">
        <v>9</v>
      </c>
      <c r="E17" s="847">
        <v>0.5</v>
      </c>
      <c r="F17" s="848">
        <v>1.2</v>
      </c>
      <c r="G17" s="975">
        <f>H17^2</f>
        <v>0.25</v>
      </c>
      <c r="H17" s="976">
        <f>I17</f>
        <v>0.5</v>
      </c>
      <c r="I17" s="986">
        <v>0.5</v>
      </c>
      <c r="J17" s="850">
        <f t="shared" ref="J17:J25" si="4">B17*E17*F17*I17</f>
        <v>2.3289096774193547</v>
      </c>
      <c r="K17" s="851">
        <v>1</v>
      </c>
      <c r="L17" s="852">
        <v>1</v>
      </c>
      <c r="M17" s="853">
        <v>0</v>
      </c>
      <c r="N17" s="854">
        <v>0</v>
      </c>
      <c r="O17" s="855">
        <v>0.7</v>
      </c>
      <c r="P17" s="856">
        <v>0</v>
      </c>
      <c r="Q17" s="857">
        <f>F7</f>
        <v>0.22850741780607373</v>
      </c>
      <c r="R17" s="858">
        <v>24</v>
      </c>
      <c r="S17" s="859">
        <f t="shared" ref="S17:S18" si="5">+J17*$K17*$L17*(1-M17)*(1-N17)/O17/(1-P17)</f>
        <v>3.3270138248847925</v>
      </c>
      <c r="T17" s="860">
        <f>D17*S17</f>
        <v>29.943124423963134</v>
      </c>
      <c r="U17" s="861">
        <f t="shared" ref="U17:U25" si="6">S17/8.64</f>
        <v>0.38507104454685098</v>
      </c>
      <c r="V17" s="862">
        <f>S17*10*31/Q17</f>
        <v>4513.5265000000009</v>
      </c>
      <c r="X17" s="849">
        <f t="shared" ref="X17:X25" si="7">+E17*F17*I17</f>
        <v>0.3</v>
      </c>
    </row>
    <row r="18" spans="1:29" ht="20.25" customHeight="1" x14ac:dyDescent="0.35">
      <c r="A18" s="970" t="s">
        <v>301</v>
      </c>
      <c r="B18" s="844">
        <v>7.7630322580645164</v>
      </c>
      <c r="C18" s="968">
        <f>G18*D18</f>
        <v>2.25</v>
      </c>
      <c r="D18" s="846">
        <v>9</v>
      </c>
      <c r="E18" s="847">
        <v>0.5</v>
      </c>
      <c r="F18" s="848">
        <v>1</v>
      </c>
      <c r="G18" s="975">
        <f>H18^2</f>
        <v>0.25</v>
      </c>
      <c r="H18" s="976">
        <f>I18</f>
        <v>0.5</v>
      </c>
      <c r="I18" s="986">
        <v>0.5</v>
      </c>
      <c r="J18" s="850">
        <f t="shared" si="4"/>
        <v>1.9407580645161291</v>
      </c>
      <c r="K18" s="851">
        <v>1</v>
      </c>
      <c r="L18" s="852">
        <v>1</v>
      </c>
      <c r="M18" s="853">
        <v>0</v>
      </c>
      <c r="N18" s="854">
        <v>0</v>
      </c>
      <c r="O18" s="855">
        <v>0.7</v>
      </c>
      <c r="P18" s="856">
        <v>0</v>
      </c>
      <c r="Q18" s="857">
        <f>F8</f>
        <v>0.23175175461282099</v>
      </c>
      <c r="R18" s="858">
        <v>24</v>
      </c>
      <c r="S18" s="859">
        <f t="shared" si="5"/>
        <v>2.7725115207373277</v>
      </c>
      <c r="T18" s="860">
        <f t="shared" ref="T18:T25" si="8">D18*S18</f>
        <v>24.95260368663595</v>
      </c>
      <c r="U18" s="861">
        <f t="shared" si="6"/>
        <v>0.32089253712237586</v>
      </c>
      <c r="V18" s="862">
        <f t="shared" ref="V18:V25" si="9">S18*10*31/Q18</f>
        <v>3708.6173214285709</v>
      </c>
      <c r="X18" s="849">
        <f t="shared" si="7"/>
        <v>0.25</v>
      </c>
    </row>
    <row r="19" spans="1:29" ht="20.25" customHeight="1" x14ac:dyDescent="0.35">
      <c r="A19" s="970" t="s">
        <v>414</v>
      </c>
      <c r="B19" s="863">
        <v>7.7630322580645164</v>
      </c>
      <c r="C19" s="864">
        <v>9</v>
      </c>
      <c r="D19" s="865">
        <v>18</v>
      </c>
      <c r="E19" s="866">
        <v>0.5</v>
      </c>
      <c r="F19" s="867">
        <v>1.2</v>
      </c>
      <c r="G19" s="977">
        <f t="shared" ref="G19:G25" si="10">C19/D19</f>
        <v>0.5</v>
      </c>
      <c r="H19" s="868">
        <f t="shared" ref="H19:H25" si="11">G19^0.5</f>
        <v>0.70710678118654757</v>
      </c>
      <c r="I19" s="978">
        <f t="shared" ref="I19:I25" si="12">H19</f>
        <v>0.70710678118654757</v>
      </c>
      <c r="J19" s="870">
        <f t="shared" si="4"/>
        <v>3.2935756513484016</v>
      </c>
      <c r="K19" s="871">
        <v>1</v>
      </c>
      <c r="L19" s="1082">
        <v>0.7</v>
      </c>
      <c r="M19" s="873">
        <v>0</v>
      </c>
      <c r="N19" s="874"/>
      <c r="O19" s="875">
        <v>0.7</v>
      </c>
      <c r="P19" s="876">
        <v>0</v>
      </c>
      <c r="Q19" s="877">
        <f>F9</f>
        <v>0.23</v>
      </c>
      <c r="R19" s="878">
        <v>24</v>
      </c>
      <c r="S19" s="879">
        <f>+J19*$K19*$L19*(1-M19)*(1-N19)/O19/(1-P19)</f>
        <v>3.2935756513484016</v>
      </c>
      <c r="T19" s="880">
        <f t="shared" si="8"/>
        <v>59.284361724271228</v>
      </c>
      <c r="U19" s="881">
        <f t="shared" si="6"/>
        <v>0.38120088557273163</v>
      </c>
      <c r="V19" s="882">
        <f t="shared" si="9"/>
        <v>4439.167182252193</v>
      </c>
      <c r="W19" s="883"/>
      <c r="X19" s="869">
        <f t="shared" si="7"/>
        <v>0.42426406871192851</v>
      </c>
    </row>
    <row r="20" spans="1:29" ht="20.25" customHeight="1" x14ac:dyDescent="0.35">
      <c r="A20" s="970" t="s">
        <v>415</v>
      </c>
      <c r="B20" s="884">
        <v>7.7630322580645164</v>
      </c>
      <c r="C20" s="885">
        <v>9</v>
      </c>
      <c r="D20" s="886">
        <v>18</v>
      </c>
      <c r="E20" s="887">
        <v>0.5</v>
      </c>
      <c r="F20" s="888">
        <v>1</v>
      </c>
      <c r="G20" s="979">
        <f t="shared" si="10"/>
        <v>0.5</v>
      </c>
      <c r="H20" s="889">
        <f t="shared" si="11"/>
        <v>0.70710678118654757</v>
      </c>
      <c r="I20" s="980">
        <f t="shared" si="12"/>
        <v>0.70710678118654757</v>
      </c>
      <c r="J20" s="891">
        <f t="shared" si="4"/>
        <v>2.7446463761236681</v>
      </c>
      <c r="K20" s="892">
        <v>1</v>
      </c>
      <c r="L20" s="1083">
        <v>0.7</v>
      </c>
      <c r="M20" s="894">
        <v>0</v>
      </c>
      <c r="N20" s="895"/>
      <c r="O20" s="896">
        <v>0.7</v>
      </c>
      <c r="P20" s="897">
        <v>0</v>
      </c>
      <c r="Q20" s="898">
        <f>F10</f>
        <v>0.23</v>
      </c>
      <c r="R20" s="899">
        <v>24</v>
      </c>
      <c r="S20" s="900">
        <f t="shared" ref="S20:S25" si="13">+J20*$K20*$L20*(1-M20)*(1-N20)/O20/(1-P20)</f>
        <v>2.7446463761236681</v>
      </c>
      <c r="T20" s="901">
        <f t="shared" si="8"/>
        <v>49.403634770226027</v>
      </c>
      <c r="U20" s="902">
        <f t="shared" si="6"/>
        <v>0.31766740464394305</v>
      </c>
      <c r="V20" s="903">
        <f t="shared" si="9"/>
        <v>3699.305985210161</v>
      </c>
      <c r="W20" s="904"/>
      <c r="X20" s="890">
        <f t="shared" si="7"/>
        <v>0.35355339059327379</v>
      </c>
    </row>
    <row r="21" spans="1:29" ht="20.25" customHeight="1" x14ac:dyDescent="0.35">
      <c r="A21" s="970" t="s">
        <v>414</v>
      </c>
      <c r="B21" s="863">
        <v>7.7630322580645164</v>
      </c>
      <c r="C21" s="864">
        <v>9</v>
      </c>
      <c r="D21" s="865">
        <v>36</v>
      </c>
      <c r="E21" s="866">
        <v>0.5</v>
      </c>
      <c r="F21" s="867">
        <v>1.2</v>
      </c>
      <c r="G21" s="977">
        <f t="shared" si="10"/>
        <v>0.25</v>
      </c>
      <c r="H21" s="868">
        <f t="shared" si="11"/>
        <v>0.5</v>
      </c>
      <c r="I21" s="978">
        <f t="shared" si="12"/>
        <v>0.5</v>
      </c>
      <c r="J21" s="870">
        <f t="shared" si="4"/>
        <v>2.3289096774193547</v>
      </c>
      <c r="K21" s="871">
        <v>1</v>
      </c>
      <c r="L21" s="872">
        <v>1</v>
      </c>
      <c r="M21" s="873">
        <v>0</v>
      </c>
      <c r="N21" s="874">
        <v>0</v>
      </c>
      <c r="O21" s="875">
        <v>0.7</v>
      </c>
      <c r="P21" s="876">
        <v>0</v>
      </c>
      <c r="Q21" s="877">
        <f>F9</f>
        <v>0.23</v>
      </c>
      <c r="R21" s="878">
        <v>24</v>
      </c>
      <c r="S21" s="879">
        <f t="shared" si="13"/>
        <v>3.3270138248847925</v>
      </c>
      <c r="T21" s="880">
        <f t="shared" si="8"/>
        <v>119.77249769585254</v>
      </c>
      <c r="U21" s="881">
        <f t="shared" si="6"/>
        <v>0.38507104454685098</v>
      </c>
      <c r="V21" s="882">
        <f t="shared" si="9"/>
        <v>4484.2360248447212</v>
      </c>
      <c r="W21" s="883"/>
      <c r="X21" s="869">
        <f t="shared" si="7"/>
        <v>0.3</v>
      </c>
    </row>
    <row r="22" spans="1:29" ht="20.25" customHeight="1" x14ac:dyDescent="0.35">
      <c r="A22" s="970" t="s">
        <v>415</v>
      </c>
      <c r="B22" s="884">
        <v>7.7630322580645164</v>
      </c>
      <c r="C22" s="885">
        <v>9</v>
      </c>
      <c r="D22" s="886">
        <v>36</v>
      </c>
      <c r="E22" s="887">
        <v>0.5</v>
      </c>
      <c r="F22" s="888">
        <v>1</v>
      </c>
      <c r="G22" s="979">
        <f t="shared" si="10"/>
        <v>0.25</v>
      </c>
      <c r="H22" s="889">
        <f t="shared" si="11"/>
        <v>0.5</v>
      </c>
      <c r="I22" s="980">
        <f t="shared" si="12"/>
        <v>0.5</v>
      </c>
      <c r="J22" s="891">
        <f t="shared" si="4"/>
        <v>1.9407580645161291</v>
      </c>
      <c r="K22" s="892">
        <v>1</v>
      </c>
      <c r="L22" s="893">
        <v>1</v>
      </c>
      <c r="M22" s="894">
        <v>0</v>
      </c>
      <c r="N22" s="895">
        <v>0</v>
      </c>
      <c r="O22" s="896">
        <v>0.7</v>
      </c>
      <c r="P22" s="897">
        <v>0</v>
      </c>
      <c r="Q22" s="898">
        <f>F10</f>
        <v>0.23</v>
      </c>
      <c r="R22" s="899">
        <v>24</v>
      </c>
      <c r="S22" s="900">
        <f t="shared" si="13"/>
        <v>2.7725115207373277</v>
      </c>
      <c r="T22" s="901">
        <f t="shared" si="8"/>
        <v>99.810414746543799</v>
      </c>
      <c r="U22" s="902">
        <f t="shared" si="6"/>
        <v>0.32089253712237586</v>
      </c>
      <c r="V22" s="903">
        <f t="shared" si="9"/>
        <v>3736.863354037268</v>
      </c>
      <c r="W22" s="904"/>
      <c r="X22" s="890">
        <f t="shared" si="7"/>
        <v>0.25</v>
      </c>
    </row>
    <row r="23" spans="1:29" ht="20.25" customHeight="1" x14ac:dyDescent="0.35">
      <c r="A23" s="970" t="s">
        <v>392</v>
      </c>
      <c r="B23" s="844">
        <v>7.7630322580645164</v>
      </c>
      <c r="C23" s="845">
        <v>7.5</v>
      </c>
      <c r="D23" s="846">
        <v>30</v>
      </c>
      <c r="E23" s="847">
        <v>0.2</v>
      </c>
      <c r="F23" s="848">
        <v>1</v>
      </c>
      <c r="G23" s="975">
        <f t="shared" si="10"/>
        <v>0.25</v>
      </c>
      <c r="H23" s="976">
        <f t="shared" si="11"/>
        <v>0.5</v>
      </c>
      <c r="I23" s="981">
        <f t="shared" si="12"/>
        <v>0.5</v>
      </c>
      <c r="J23" s="850">
        <f t="shared" si="4"/>
        <v>0.77630322580645172</v>
      </c>
      <c r="K23" s="851">
        <v>0.9</v>
      </c>
      <c r="L23" s="852">
        <v>1</v>
      </c>
      <c r="M23" s="853">
        <v>0</v>
      </c>
      <c r="N23" s="854">
        <v>0</v>
      </c>
      <c r="O23" s="855">
        <v>0.85</v>
      </c>
      <c r="P23" s="856">
        <v>0</v>
      </c>
      <c r="Q23" s="857">
        <f>F12</f>
        <v>0.24258090095659876</v>
      </c>
      <c r="R23" s="858">
        <v>24</v>
      </c>
      <c r="S23" s="859">
        <f t="shared" si="13"/>
        <v>0.82196812144212539</v>
      </c>
      <c r="T23" s="860">
        <f t="shared" si="8"/>
        <v>24.659043643263761</v>
      </c>
      <c r="U23" s="861">
        <f t="shared" si="6"/>
        <v>9.5135199240986734E-2</v>
      </c>
      <c r="V23" s="862">
        <f t="shared" si="9"/>
        <v>1050.41294117647</v>
      </c>
      <c r="X23" s="849">
        <f t="shared" si="7"/>
        <v>0.1</v>
      </c>
    </row>
    <row r="24" spans="1:29" ht="20.25" customHeight="1" x14ac:dyDescent="0.35">
      <c r="A24" s="970" t="s">
        <v>416</v>
      </c>
      <c r="B24" s="905">
        <v>7.1</v>
      </c>
      <c r="C24" s="906">
        <v>5</v>
      </c>
      <c r="D24" s="907">
        <v>30</v>
      </c>
      <c r="E24" s="908">
        <v>0.5</v>
      </c>
      <c r="F24" s="909">
        <v>1</v>
      </c>
      <c r="G24" s="982">
        <f t="shared" si="10"/>
        <v>0.16666666666666666</v>
      </c>
      <c r="H24" s="792">
        <f t="shared" si="11"/>
        <v>0.40824829046386302</v>
      </c>
      <c r="I24" s="983">
        <f t="shared" si="12"/>
        <v>0.40824829046386302</v>
      </c>
      <c r="J24" s="911">
        <f t="shared" si="4"/>
        <v>1.4492814311467137</v>
      </c>
      <c r="K24" s="912">
        <v>1</v>
      </c>
      <c r="L24" s="912">
        <v>1</v>
      </c>
      <c r="M24" s="913">
        <v>0</v>
      </c>
      <c r="N24" s="914">
        <v>0</v>
      </c>
      <c r="O24" s="913">
        <v>0.85</v>
      </c>
      <c r="P24" s="914">
        <v>0.05</v>
      </c>
      <c r="Q24" s="913">
        <v>0.22</v>
      </c>
      <c r="R24" s="915">
        <v>24</v>
      </c>
      <c r="S24" s="916">
        <f t="shared" si="13"/>
        <v>1.7947757661259613</v>
      </c>
      <c r="T24" s="917">
        <f t="shared" si="8"/>
        <v>53.843272983778839</v>
      </c>
      <c r="U24" s="918">
        <f t="shared" si="6"/>
        <v>0.20772867663494921</v>
      </c>
      <c r="V24" s="919">
        <f t="shared" si="9"/>
        <v>2529.0022159047639</v>
      </c>
      <c r="X24" s="910">
        <f t="shared" si="7"/>
        <v>0.20412414523193151</v>
      </c>
    </row>
    <row r="25" spans="1:29" ht="20.25" customHeight="1" x14ac:dyDescent="0.35">
      <c r="A25" s="970" t="s">
        <v>416</v>
      </c>
      <c r="B25" s="920">
        <v>8.1999999999999993</v>
      </c>
      <c r="C25" s="921">
        <v>5</v>
      </c>
      <c r="D25" s="922">
        <f>D24</f>
        <v>30</v>
      </c>
      <c r="E25" s="923">
        <v>0.5</v>
      </c>
      <c r="F25" s="924">
        <v>1</v>
      </c>
      <c r="G25" s="984">
        <f t="shared" si="10"/>
        <v>0.16666666666666666</v>
      </c>
      <c r="H25" s="833">
        <f t="shared" si="11"/>
        <v>0.40824829046386302</v>
      </c>
      <c r="I25" s="985">
        <f t="shared" si="12"/>
        <v>0.40824829046386302</v>
      </c>
      <c r="J25" s="926">
        <f t="shared" si="4"/>
        <v>1.6738179909018382</v>
      </c>
      <c r="K25" s="927">
        <v>1</v>
      </c>
      <c r="L25" s="927">
        <v>1</v>
      </c>
      <c r="M25" s="928">
        <v>0</v>
      </c>
      <c r="N25" s="929">
        <v>0</v>
      </c>
      <c r="O25" s="928">
        <f>+O24</f>
        <v>0.85</v>
      </c>
      <c r="P25" s="929">
        <v>0.05</v>
      </c>
      <c r="Q25" s="928">
        <v>0.22</v>
      </c>
      <c r="R25" s="930">
        <v>24</v>
      </c>
      <c r="S25" s="931">
        <f t="shared" si="13"/>
        <v>2.0728396172158989</v>
      </c>
      <c r="T25" s="932">
        <f t="shared" si="8"/>
        <v>62.18518851647697</v>
      </c>
      <c r="U25" s="933">
        <f t="shared" si="6"/>
        <v>0.23991199273332162</v>
      </c>
      <c r="V25" s="934">
        <f t="shared" si="9"/>
        <v>2920.8194606224024</v>
      </c>
      <c r="X25" s="925">
        <f t="shared" si="7"/>
        <v>0.20412414523193151</v>
      </c>
    </row>
    <row r="26" spans="1:29" ht="16.5" x14ac:dyDescent="0.55000000000000004">
      <c r="B26" s="935"/>
      <c r="C26" s="935" t="s">
        <v>417</v>
      </c>
      <c r="D26" s="935"/>
      <c r="E26" s="935"/>
      <c r="F26" s="935"/>
      <c r="G26" s="935"/>
      <c r="H26" s="935"/>
      <c r="I26" s="935"/>
      <c r="J26" s="935"/>
      <c r="K26" s="935"/>
      <c r="L26" s="935"/>
      <c r="M26" s="935"/>
      <c r="N26" s="935"/>
      <c r="O26" s="935"/>
      <c r="P26" s="935"/>
      <c r="Q26" s="935"/>
      <c r="R26" s="935"/>
      <c r="S26" s="935"/>
      <c r="T26" s="935"/>
    </row>
    <row r="27" spans="1:29" ht="20.25" customHeight="1" x14ac:dyDescent="0.35">
      <c r="A27" s="970" t="s">
        <v>414</v>
      </c>
      <c r="B27" s="863">
        <v>7.7630322580645164</v>
      </c>
      <c r="C27" s="864">
        <v>9</v>
      </c>
      <c r="D27" s="865">
        <v>15</v>
      </c>
      <c r="E27" s="866">
        <v>0.5</v>
      </c>
      <c r="F27" s="867">
        <v>1.2</v>
      </c>
      <c r="G27" s="977">
        <f t="shared" ref="G27:G28" si="14">C27/D27</f>
        <v>0.6</v>
      </c>
      <c r="H27" s="868">
        <f t="shared" ref="H27" si="15">G27^0.5</f>
        <v>0.7745966692414834</v>
      </c>
      <c r="I27" s="978">
        <f t="shared" ref="I27:I31" si="16">H27</f>
        <v>0.7745966692414834</v>
      </c>
      <c r="J27" s="870">
        <f t="shared" ref="J27:J28" si="17">B27*E27*F27*I27</f>
        <v>3.6079313581865793</v>
      </c>
      <c r="K27" s="871">
        <v>1</v>
      </c>
      <c r="L27" s="1082">
        <v>0.65</v>
      </c>
      <c r="M27" s="873">
        <v>0</v>
      </c>
      <c r="N27" s="874">
        <v>0</v>
      </c>
      <c r="O27" s="1084">
        <v>0.7</v>
      </c>
      <c r="P27" s="876">
        <v>0</v>
      </c>
      <c r="Q27" s="877">
        <v>0.23</v>
      </c>
      <c r="R27" s="878">
        <v>24</v>
      </c>
      <c r="S27" s="879">
        <f>+J27*$K27*$L27*(1-M27)*(1-N27)/O27/(1-P27)</f>
        <v>3.3502219754589668</v>
      </c>
      <c r="T27" s="880">
        <f>D27*S27</f>
        <v>50.253329631884505</v>
      </c>
      <c r="U27" s="881">
        <f t="shared" ref="U27:U28" si="18">S27/8.64</f>
        <v>0.38775717308552854</v>
      </c>
      <c r="V27" s="882">
        <f t="shared" ref="V27:V28" si="19">S27*10*31/Q27</f>
        <v>4515.516575618607</v>
      </c>
      <c r="W27" s="883"/>
      <c r="X27" s="869">
        <f t="shared" ref="X27:X28" si="20">+E27*F27*I27</f>
        <v>0.46475800154489</v>
      </c>
      <c r="Z27" s="976">
        <f>+L27*H27</f>
        <v>0.50348783500696426</v>
      </c>
      <c r="AB27" s="976">
        <f>+Z27*D27</f>
        <v>7.5523175251044634</v>
      </c>
      <c r="AC27" s="976">
        <f>0.5*C27</f>
        <v>4.5</v>
      </c>
    </row>
    <row r="28" spans="1:29" ht="20.25" customHeight="1" x14ac:dyDescent="0.35">
      <c r="A28" s="970" t="s">
        <v>415</v>
      </c>
      <c r="B28" s="884">
        <v>7.7630322580645164</v>
      </c>
      <c r="C28" s="885">
        <v>9</v>
      </c>
      <c r="D28" s="886">
        <v>15</v>
      </c>
      <c r="E28" s="887">
        <v>0.5</v>
      </c>
      <c r="F28" s="888">
        <v>1</v>
      </c>
      <c r="G28" s="979">
        <f t="shared" si="14"/>
        <v>0.6</v>
      </c>
      <c r="H28" s="889">
        <f>G28^0.5</f>
        <v>0.7745966692414834</v>
      </c>
      <c r="I28" s="980">
        <f t="shared" si="16"/>
        <v>0.7745966692414834</v>
      </c>
      <c r="J28" s="891">
        <f t="shared" si="17"/>
        <v>3.0066094651554831</v>
      </c>
      <c r="K28" s="892">
        <v>1</v>
      </c>
      <c r="L28" s="1083">
        <v>0.65</v>
      </c>
      <c r="M28" s="894">
        <v>0</v>
      </c>
      <c r="N28" s="895">
        <v>0</v>
      </c>
      <c r="O28" s="1085">
        <v>0.7</v>
      </c>
      <c r="P28" s="897">
        <v>0</v>
      </c>
      <c r="Q28" s="898">
        <v>0.23</v>
      </c>
      <c r="R28" s="899">
        <v>24</v>
      </c>
      <c r="S28" s="900">
        <f>+J28*$K28*$L28*(1-M28)*(1-N28)/O28/(1-P28)</f>
        <v>2.7918516462158061</v>
      </c>
      <c r="T28" s="901">
        <f t="shared" ref="T28" si="21">D28*S28</f>
        <v>41.877774693237093</v>
      </c>
      <c r="U28" s="902">
        <f t="shared" si="18"/>
        <v>0.32313097757127385</v>
      </c>
      <c r="V28" s="903">
        <f t="shared" si="19"/>
        <v>3762.930479682173</v>
      </c>
      <c r="W28" s="904"/>
      <c r="X28" s="890">
        <f t="shared" si="20"/>
        <v>0.3872983346207417</v>
      </c>
      <c r="Z28" s="976">
        <f>+L28*H28</f>
        <v>0.50348783500696426</v>
      </c>
      <c r="AB28" s="976">
        <f t="shared" ref="AB28:AB30" si="22">+Z28*D28</f>
        <v>7.5523175251044634</v>
      </c>
      <c r="AC28" s="976">
        <f t="shared" ref="AC28:AC29" si="23">0.5*C28</f>
        <v>4.5</v>
      </c>
    </row>
    <row r="29" spans="1:29" ht="20.25" customHeight="1" x14ac:dyDescent="0.35">
      <c r="A29" s="970" t="s">
        <v>446</v>
      </c>
      <c r="B29" s="863">
        <v>7.7630322580645164</v>
      </c>
      <c r="C29" s="864">
        <v>5</v>
      </c>
      <c r="D29" s="865">
        <v>30</v>
      </c>
      <c r="E29" s="866">
        <v>0.5</v>
      </c>
      <c r="F29" s="867">
        <v>1.2</v>
      </c>
      <c r="G29" s="977">
        <f t="shared" ref="G29:G30" si="24">C29/D29</f>
        <v>0.16666666666666666</v>
      </c>
      <c r="H29" s="868">
        <f t="shared" ref="H29:H30" si="25">G29^0.5</f>
        <v>0.40824829046386302</v>
      </c>
      <c r="I29" s="978">
        <f t="shared" ref="I29:I30" si="26">H29</f>
        <v>0.40824829046386302</v>
      </c>
      <c r="J29" s="870">
        <f t="shared" ref="J29:J30" si="27">B29*E29*F29*I29</f>
        <v>1.9015467889023965</v>
      </c>
      <c r="K29" s="871">
        <v>1</v>
      </c>
      <c r="L29" s="1082">
        <v>0.65</v>
      </c>
      <c r="M29" s="873">
        <v>0</v>
      </c>
      <c r="N29" s="874">
        <v>0</v>
      </c>
      <c r="O29" s="1084">
        <v>0.7</v>
      </c>
      <c r="P29" s="876">
        <v>0</v>
      </c>
      <c r="Q29" s="877">
        <v>0.23</v>
      </c>
      <c r="R29" s="878">
        <v>24</v>
      </c>
      <c r="S29" s="879">
        <f>+J29*$K29*$L29*(1-M29)*(1-N29)/O29/(1-P29)</f>
        <v>1.7657220182665114</v>
      </c>
      <c r="T29" s="880">
        <f>D29*S29</f>
        <v>52.971660547995342</v>
      </c>
      <c r="U29" s="881">
        <f t="shared" ref="U29:U30" si="28">S29/8.64</f>
        <v>0.20436597433640177</v>
      </c>
      <c r="V29" s="882">
        <f t="shared" ref="V29:V30" si="29">S29*10*31/Q29</f>
        <v>2379.8861985331237</v>
      </c>
      <c r="W29" s="883"/>
      <c r="X29" s="869">
        <f t="shared" ref="X29:X30" si="30">+E29*F29*I29</f>
        <v>0.2449489742783178</v>
      </c>
      <c r="Z29" s="976">
        <f>+L29*H29</f>
        <v>0.26536138880151094</v>
      </c>
      <c r="AB29" s="976">
        <f t="shared" si="22"/>
        <v>7.9608416640453283</v>
      </c>
      <c r="AC29" s="976">
        <f t="shared" si="23"/>
        <v>2.5</v>
      </c>
    </row>
    <row r="30" spans="1:29" ht="20.25" customHeight="1" x14ac:dyDescent="0.35">
      <c r="A30" s="970" t="s">
        <v>446</v>
      </c>
      <c r="B30" s="884">
        <v>7.7630322580645164</v>
      </c>
      <c r="C30" s="885">
        <v>5</v>
      </c>
      <c r="D30" s="886">
        <v>30</v>
      </c>
      <c r="E30" s="887">
        <v>0.5</v>
      </c>
      <c r="F30" s="888">
        <v>1</v>
      </c>
      <c r="G30" s="979">
        <f t="shared" si="24"/>
        <v>0.16666666666666666</v>
      </c>
      <c r="H30" s="889">
        <f t="shared" si="25"/>
        <v>0.40824829046386302</v>
      </c>
      <c r="I30" s="980">
        <f t="shared" si="26"/>
        <v>0.40824829046386302</v>
      </c>
      <c r="J30" s="891">
        <f t="shared" si="27"/>
        <v>1.5846223240853305</v>
      </c>
      <c r="K30" s="892">
        <v>1</v>
      </c>
      <c r="L30" s="1083">
        <v>0.65</v>
      </c>
      <c r="M30" s="894">
        <v>0</v>
      </c>
      <c r="N30" s="895">
        <v>0</v>
      </c>
      <c r="O30" s="1085">
        <v>0.7</v>
      </c>
      <c r="P30" s="897">
        <v>0</v>
      </c>
      <c r="Q30" s="898">
        <v>0.23</v>
      </c>
      <c r="R30" s="899">
        <v>24</v>
      </c>
      <c r="S30" s="900">
        <f>+J30*$K30*$L30*(1-M30)*(1-N30)/O30/(1-P30)</f>
        <v>1.471435015222093</v>
      </c>
      <c r="T30" s="901">
        <f t="shared" ref="T30" si="31">D30*S30</f>
        <v>44.143050456662792</v>
      </c>
      <c r="U30" s="902">
        <f t="shared" si="28"/>
        <v>0.17030497861366817</v>
      </c>
      <c r="V30" s="903">
        <f t="shared" si="29"/>
        <v>1983.2384987776036</v>
      </c>
      <c r="W30" s="904"/>
      <c r="X30" s="890">
        <f t="shared" si="30"/>
        <v>0.20412414523193151</v>
      </c>
      <c r="Z30" s="976">
        <f>+L30*H30</f>
        <v>0.26536138880151094</v>
      </c>
      <c r="AB30" s="976">
        <f t="shared" si="22"/>
        <v>7.9608416640453283</v>
      </c>
      <c r="AC30" s="976">
        <f>0.5*C30</f>
        <v>2.5</v>
      </c>
    </row>
    <row r="31" spans="1:29" ht="24" x14ac:dyDescent="0.35">
      <c r="G31" t="s">
        <v>449</v>
      </c>
      <c r="H31" s="1087">
        <f>+SIN(PI()/2*G27/0.7)</f>
        <v>0.97492791218182362</v>
      </c>
      <c r="I31" s="1088">
        <f t="shared" si="16"/>
        <v>0.97492791218182362</v>
      </c>
    </row>
    <row r="32" spans="1:29" ht="21.5" x14ac:dyDescent="0.35">
      <c r="B32" s="834"/>
      <c r="C32" s="1178" t="s">
        <v>395</v>
      </c>
      <c r="D32" s="1184"/>
      <c r="E32" s="1184"/>
      <c r="F32" s="1184"/>
      <c r="G32" s="1184"/>
      <c r="H32" s="1184"/>
      <c r="I32" s="1184"/>
      <c r="J32" s="834"/>
      <c r="K32" s="1178" t="s">
        <v>396</v>
      </c>
      <c r="L32" s="1179"/>
      <c r="M32" s="1178" t="s">
        <v>397</v>
      </c>
      <c r="N32" s="1179"/>
      <c r="O32" s="1178" t="s">
        <v>398</v>
      </c>
      <c r="P32" s="1179"/>
      <c r="Q32" s="1180" t="s">
        <v>13</v>
      </c>
      <c r="R32" s="1179" t="s">
        <v>399</v>
      </c>
      <c r="S32" s="1181" t="s">
        <v>359</v>
      </c>
      <c r="T32" s="1182"/>
      <c r="U32" s="1182"/>
      <c r="V32" s="758" t="s">
        <v>360</v>
      </c>
    </row>
    <row r="33" spans="1:29" ht="18" x14ac:dyDescent="0.35">
      <c r="B33" s="770" t="s">
        <v>400</v>
      </c>
      <c r="C33" s="835" t="s">
        <v>374</v>
      </c>
      <c r="D33" s="836" t="s">
        <v>320</v>
      </c>
      <c r="E33" s="769" t="s">
        <v>401</v>
      </c>
      <c r="F33" s="770" t="s">
        <v>402</v>
      </c>
      <c r="G33" s="835" t="s">
        <v>321</v>
      </c>
      <c r="H33" s="973" t="s">
        <v>382</v>
      </c>
      <c r="I33" s="974" t="s">
        <v>403</v>
      </c>
      <c r="J33" s="837" t="s">
        <v>404</v>
      </c>
      <c r="K33" s="766" t="s">
        <v>405</v>
      </c>
      <c r="L33" s="766" t="s">
        <v>406</v>
      </c>
      <c r="M33" s="767" t="s">
        <v>407</v>
      </c>
      <c r="N33" s="766" t="s">
        <v>408</v>
      </c>
      <c r="O33" s="767" t="s">
        <v>409</v>
      </c>
      <c r="P33" s="766" t="s">
        <v>410</v>
      </c>
      <c r="Q33" s="972" t="s">
        <v>436</v>
      </c>
      <c r="R33" s="838" t="s">
        <v>411</v>
      </c>
      <c r="S33" s="769" t="s">
        <v>375</v>
      </c>
      <c r="T33" s="770" t="s">
        <v>376</v>
      </c>
      <c r="U33" s="771" t="s">
        <v>377</v>
      </c>
      <c r="V33" s="772" t="s">
        <v>378</v>
      </c>
      <c r="X33" s="770" t="s">
        <v>412</v>
      </c>
    </row>
    <row r="34" spans="1:29" ht="15.5" x14ac:dyDescent="0.35">
      <c r="B34" s="839" t="s">
        <v>386</v>
      </c>
      <c r="C34" s="774" t="s">
        <v>384</v>
      </c>
      <c r="D34" s="775" t="s">
        <v>384</v>
      </c>
      <c r="E34" s="840" t="s">
        <v>4</v>
      </c>
      <c r="F34" s="839" t="s">
        <v>4</v>
      </c>
      <c r="G34" s="774" t="s">
        <v>328</v>
      </c>
      <c r="H34" s="773" t="s">
        <v>4</v>
      </c>
      <c r="I34" s="842" t="s">
        <v>4</v>
      </c>
      <c r="J34" s="841" t="s">
        <v>386</v>
      </c>
      <c r="K34" s="773" t="s">
        <v>4</v>
      </c>
      <c r="L34" s="773" t="s">
        <v>4</v>
      </c>
      <c r="M34" s="774" t="s">
        <v>328</v>
      </c>
      <c r="N34" s="773" t="s">
        <v>328</v>
      </c>
      <c r="O34" s="774" t="s">
        <v>328</v>
      </c>
      <c r="P34" s="773" t="s">
        <v>328</v>
      </c>
      <c r="Q34" s="774" t="s">
        <v>328</v>
      </c>
      <c r="R34" s="773" t="s">
        <v>413</v>
      </c>
      <c r="S34" s="840" t="s">
        <v>386</v>
      </c>
      <c r="T34" s="839" t="s">
        <v>387</v>
      </c>
      <c r="U34" s="842" t="s">
        <v>106</v>
      </c>
      <c r="V34" s="843" t="s">
        <v>385</v>
      </c>
      <c r="X34" s="839" t="s">
        <v>4</v>
      </c>
    </row>
    <row r="35" spans="1:29" ht="20.25" customHeight="1" x14ac:dyDescent="0.35">
      <c r="A35" s="970" t="s">
        <v>179</v>
      </c>
      <c r="B35" s="844">
        <v>7.7630322580645164</v>
      </c>
      <c r="C35" s="1086">
        <f>G35*D35</f>
        <v>3.7058823529411762</v>
      </c>
      <c r="D35" s="846">
        <v>9</v>
      </c>
      <c r="E35" s="847">
        <v>0.5</v>
      </c>
      <c r="F35" s="848">
        <v>1.2</v>
      </c>
      <c r="G35" s="975">
        <f>(H35-0.15)/(1-0.15)</f>
        <v>0.41176470588235292</v>
      </c>
      <c r="H35" s="976">
        <f>I35</f>
        <v>0.5</v>
      </c>
      <c r="I35" s="986">
        <v>0.5</v>
      </c>
      <c r="J35" s="850">
        <f t="shared" ref="J35:J43" si="32">B35*E35*F35*I35</f>
        <v>2.3289096774193547</v>
      </c>
      <c r="K35" s="851">
        <v>1</v>
      </c>
      <c r="L35" s="852">
        <v>1</v>
      </c>
      <c r="M35" s="853">
        <v>0</v>
      </c>
      <c r="N35" s="854">
        <v>0</v>
      </c>
      <c r="O35" s="855">
        <v>0.7</v>
      </c>
      <c r="P35" s="856">
        <v>0</v>
      </c>
      <c r="Q35" s="857">
        <f>Q17</f>
        <v>0.22850741780607373</v>
      </c>
      <c r="R35" s="858">
        <v>24</v>
      </c>
      <c r="S35" s="859">
        <f t="shared" ref="S35:S36" si="33">+J35*$K35*$L35*(1-M35)*(1-N35)/O35/(1-P35)</f>
        <v>3.3270138248847925</v>
      </c>
      <c r="T35" s="860">
        <f>D35*S35</f>
        <v>29.943124423963134</v>
      </c>
      <c r="U35" s="861">
        <f t="shared" ref="U35:U43" si="34">S35/8.64</f>
        <v>0.38507104454685098</v>
      </c>
      <c r="V35" s="862">
        <f>S35*10*31/Q35</f>
        <v>4513.5265000000009</v>
      </c>
      <c r="X35" s="849">
        <f t="shared" ref="X35:X43" si="35">+E35*F35*I35</f>
        <v>0.3</v>
      </c>
    </row>
    <row r="36" spans="1:29" ht="20.25" customHeight="1" x14ac:dyDescent="0.35">
      <c r="A36" s="970" t="s">
        <v>301</v>
      </c>
      <c r="B36" s="844">
        <v>7.7630322580645164</v>
      </c>
      <c r="C36" s="1086">
        <f>G36*D36</f>
        <v>3.7058823529411762</v>
      </c>
      <c r="D36" s="846">
        <v>9</v>
      </c>
      <c r="E36" s="847">
        <v>0.5</v>
      </c>
      <c r="F36" s="848">
        <v>1</v>
      </c>
      <c r="G36" s="975">
        <f>(H36-0.15)/(1-0.15)</f>
        <v>0.41176470588235292</v>
      </c>
      <c r="H36" s="976">
        <f>I36</f>
        <v>0.5</v>
      </c>
      <c r="I36" s="986">
        <v>0.5</v>
      </c>
      <c r="J36" s="850">
        <f t="shared" si="32"/>
        <v>1.9407580645161291</v>
      </c>
      <c r="K36" s="851">
        <v>1</v>
      </c>
      <c r="L36" s="852">
        <v>1</v>
      </c>
      <c r="M36" s="853">
        <v>0</v>
      </c>
      <c r="N36" s="854">
        <v>0</v>
      </c>
      <c r="O36" s="855">
        <v>0.7</v>
      </c>
      <c r="P36" s="856">
        <v>0</v>
      </c>
      <c r="Q36" s="857">
        <f t="shared" ref="Q36:Q41" si="36">Q18</f>
        <v>0.23175175461282099</v>
      </c>
      <c r="R36" s="858">
        <v>24</v>
      </c>
      <c r="S36" s="859">
        <f t="shared" si="33"/>
        <v>2.7725115207373277</v>
      </c>
      <c r="T36" s="860">
        <f t="shared" ref="T36:T43" si="37">D36*S36</f>
        <v>24.95260368663595</v>
      </c>
      <c r="U36" s="861">
        <f t="shared" si="34"/>
        <v>0.32089253712237586</v>
      </c>
      <c r="V36" s="862">
        <f t="shared" ref="V36:V43" si="38">S36*10*31/Q36</f>
        <v>3708.6173214285709</v>
      </c>
      <c r="X36" s="849">
        <f t="shared" si="35"/>
        <v>0.25</v>
      </c>
    </row>
    <row r="37" spans="1:29" ht="20.25" customHeight="1" x14ac:dyDescent="0.35">
      <c r="A37" s="970" t="s">
        <v>414</v>
      </c>
      <c r="B37" s="863">
        <v>7.7630322580645164</v>
      </c>
      <c r="C37" s="864">
        <v>9</v>
      </c>
      <c r="D37" s="865">
        <v>18</v>
      </c>
      <c r="E37" s="866">
        <v>0.5</v>
      </c>
      <c r="F37" s="867">
        <v>1.2</v>
      </c>
      <c r="G37" s="977">
        <f t="shared" ref="G37:G43" si="39">C37/D37</f>
        <v>0.5</v>
      </c>
      <c r="H37" s="868">
        <f>G37+0.15*(1-G37)</f>
        <v>0.57499999999999996</v>
      </c>
      <c r="I37" s="978">
        <f t="shared" ref="I37:I43" si="40">H37</f>
        <v>0.57499999999999996</v>
      </c>
      <c r="J37" s="870">
        <f t="shared" si="32"/>
        <v>2.6782461290322579</v>
      </c>
      <c r="K37" s="871">
        <v>1</v>
      </c>
      <c r="L37" s="1082">
        <v>0.7</v>
      </c>
      <c r="M37" s="873">
        <v>0</v>
      </c>
      <c r="N37" s="874"/>
      <c r="O37" s="875">
        <v>0.7</v>
      </c>
      <c r="P37" s="876">
        <v>0</v>
      </c>
      <c r="Q37" s="877">
        <f t="shared" si="36"/>
        <v>0.23</v>
      </c>
      <c r="R37" s="878">
        <v>24</v>
      </c>
      <c r="S37" s="879">
        <f>+J37*$K37*$L37*(1-M37)*(1-N37)/O37/(1-P37)</f>
        <v>2.6782461290322579</v>
      </c>
      <c r="T37" s="880">
        <f t="shared" si="37"/>
        <v>48.208430322580639</v>
      </c>
      <c r="U37" s="881">
        <f t="shared" si="34"/>
        <v>0.309982190860215</v>
      </c>
      <c r="V37" s="882">
        <f t="shared" si="38"/>
        <v>3609.81</v>
      </c>
      <c r="W37" s="883"/>
      <c r="X37" s="869">
        <f t="shared" si="35"/>
        <v>0.34499999999999997</v>
      </c>
    </row>
    <row r="38" spans="1:29" ht="20.25" customHeight="1" x14ac:dyDescent="0.35">
      <c r="A38" s="970" t="s">
        <v>415</v>
      </c>
      <c r="B38" s="884">
        <v>7.7630322580645164</v>
      </c>
      <c r="C38" s="885">
        <v>9</v>
      </c>
      <c r="D38" s="886">
        <v>18</v>
      </c>
      <c r="E38" s="887">
        <v>0.5</v>
      </c>
      <c r="F38" s="888">
        <v>1</v>
      </c>
      <c r="G38" s="979">
        <f t="shared" si="39"/>
        <v>0.5</v>
      </c>
      <c r="H38" s="889">
        <f t="shared" ref="H38:H48" si="41">G38+0.15*(1-G38)</f>
        <v>0.57499999999999996</v>
      </c>
      <c r="I38" s="980">
        <f t="shared" si="40"/>
        <v>0.57499999999999996</v>
      </c>
      <c r="J38" s="891">
        <f t="shared" si="32"/>
        <v>2.2318717741935483</v>
      </c>
      <c r="K38" s="892">
        <v>1</v>
      </c>
      <c r="L38" s="1083">
        <v>0.7</v>
      </c>
      <c r="M38" s="894">
        <v>0</v>
      </c>
      <c r="N38" s="895"/>
      <c r="O38" s="896">
        <v>0.7</v>
      </c>
      <c r="P38" s="897">
        <v>0</v>
      </c>
      <c r="Q38" s="898">
        <f t="shared" si="36"/>
        <v>0.23</v>
      </c>
      <c r="R38" s="899">
        <v>24</v>
      </c>
      <c r="S38" s="900">
        <f t="shared" ref="S38:S43" si="42">+J38*$K38*$L38*(1-M38)*(1-N38)/O38/(1-P38)</f>
        <v>2.2318717741935483</v>
      </c>
      <c r="T38" s="901">
        <f t="shared" si="37"/>
        <v>40.173691935483873</v>
      </c>
      <c r="U38" s="902">
        <f t="shared" si="34"/>
        <v>0.25831849238351251</v>
      </c>
      <c r="V38" s="903">
        <f t="shared" si="38"/>
        <v>3008.1749999999997</v>
      </c>
      <c r="W38" s="904"/>
      <c r="X38" s="890">
        <f t="shared" si="35"/>
        <v>0.28749999999999998</v>
      </c>
    </row>
    <row r="39" spans="1:29" ht="20.25" customHeight="1" x14ac:dyDescent="0.35">
      <c r="A39" s="970" t="s">
        <v>414</v>
      </c>
      <c r="B39" s="863">
        <v>7.7630322580645164</v>
      </c>
      <c r="C39" s="864">
        <v>9</v>
      </c>
      <c r="D39" s="865">
        <v>36</v>
      </c>
      <c r="E39" s="866">
        <v>0.5</v>
      </c>
      <c r="F39" s="867">
        <v>1.2</v>
      </c>
      <c r="G39" s="977">
        <f t="shared" si="39"/>
        <v>0.25</v>
      </c>
      <c r="H39" s="868">
        <f t="shared" si="41"/>
        <v>0.36249999999999999</v>
      </c>
      <c r="I39" s="978">
        <f t="shared" si="40"/>
        <v>0.36249999999999999</v>
      </c>
      <c r="J39" s="870">
        <f t="shared" si="32"/>
        <v>1.6884595161290321</v>
      </c>
      <c r="K39" s="871">
        <v>1</v>
      </c>
      <c r="L39" s="872">
        <v>1</v>
      </c>
      <c r="M39" s="873">
        <v>0</v>
      </c>
      <c r="N39" s="874">
        <v>0</v>
      </c>
      <c r="O39" s="875">
        <v>0.7</v>
      </c>
      <c r="P39" s="876">
        <v>0</v>
      </c>
      <c r="Q39" s="877">
        <f t="shared" si="36"/>
        <v>0.23</v>
      </c>
      <c r="R39" s="878">
        <v>24</v>
      </c>
      <c r="S39" s="879">
        <f t="shared" si="42"/>
        <v>2.4120850230414748</v>
      </c>
      <c r="T39" s="880">
        <f t="shared" si="37"/>
        <v>86.835060829493088</v>
      </c>
      <c r="U39" s="881">
        <f t="shared" si="34"/>
        <v>0.27917650729646698</v>
      </c>
      <c r="V39" s="882">
        <f t="shared" si="38"/>
        <v>3251.0711180124222</v>
      </c>
      <c r="W39" s="883"/>
      <c r="X39" s="869">
        <f t="shared" si="35"/>
        <v>0.2175</v>
      </c>
    </row>
    <row r="40" spans="1:29" ht="20.25" customHeight="1" x14ac:dyDescent="0.35">
      <c r="A40" s="970" t="s">
        <v>415</v>
      </c>
      <c r="B40" s="884">
        <v>7.7630322580645164</v>
      </c>
      <c r="C40" s="885">
        <v>9</v>
      </c>
      <c r="D40" s="886">
        <v>36</v>
      </c>
      <c r="E40" s="887">
        <v>0.5</v>
      </c>
      <c r="F40" s="888">
        <v>1</v>
      </c>
      <c r="G40" s="979">
        <f t="shared" si="39"/>
        <v>0.25</v>
      </c>
      <c r="H40" s="889">
        <f t="shared" si="41"/>
        <v>0.36249999999999999</v>
      </c>
      <c r="I40" s="980">
        <f t="shared" si="40"/>
        <v>0.36249999999999999</v>
      </c>
      <c r="J40" s="891">
        <f t="shared" si="32"/>
        <v>1.4070495967741936</v>
      </c>
      <c r="K40" s="892">
        <v>1</v>
      </c>
      <c r="L40" s="893">
        <v>1</v>
      </c>
      <c r="M40" s="894">
        <v>0</v>
      </c>
      <c r="N40" s="895">
        <v>0</v>
      </c>
      <c r="O40" s="896">
        <v>0.7</v>
      </c>
      <c r="P40" s="897">
        <v>0</v>
      </c>
      <c r="Q40" s="898">
        <f t="shared" si="36"/>
        <v>0.23</v>
      </c>
      <c r="R40" s="899">
        <v>24</v>
      </c>
      <c r="S40" s="900">
        <f t="shared" si="42"/>
        <v>2.0100708525345623</v>
      </c>
      <c r="T40" s="901">
        <f t="shared" si="37"/>
        <v>72.362550691244238</v>
      </c>
      <c r="U40" s="902">
        <f t="shared" si="34"/>
        <v>0.23264708941372247</v>
      </c>
      <c r="V40" s="903">
        <f t="shared" si="38"/>
        <v>2709.2259316770187</v>
      </c>
      <c r="W40" s="904"/>
      <c r="X40" s="890">
        <f t="shared" si="35"/>
        <v>0.18124999999999999</v>
      </c>
    </row>
    <row r="41" spans="1:29" ht="20.25" customHeight="1" x14ac:dyDescent="0.35">
      <c r="A41" s="970" t="s">
        <v>392</v>
      </c>
      <c r="B41" s="844">
        <v>7.7630322580645164</v>
      </c>
      <c r="C41" s="845">
        <v>7.5</v>
      </c>
      <c r="D41" s="846">
        <v>30</v>
      </c>
      <c r="E41" s="847">
        <v>0.2</v>
      </c>
      <c r="F41" s="848">
        <v>1</v>
      </c>
      <c r="G41" s="975">
        <f t="shared" si="39"/>
        <v>0.25</v>
      </c>
      <c r="H41" s="976">
        <f t="shared" si="41"/>
        <v>0.36249999999999999</v>
      </c>
      <c r="I41" s="981">
        <f t="shared" si="40"/>
        <v>0.36249999999999999</v>
      </c>
      <c r="J41" s="850">
        <f t="shared" si="32"/>
        <v>0.56281983870967744</v>
      </c>
      <c r="K41" s="851">
        <v>0.9</v>
      </c>
      <c r="L41" s="852">
        <v>1</v>
      </c>
      <c r="M41" s="853">
        <v>0</v>
      </c>
      <c r="N41" s="854">
        <v>0</v>
      </c>
      <c r="O41" s="855">
        <v>0.85</v>
      </c>
      <c r="P41" s="856">
        <v>0</v>
      </c>
      <c r="Q41" s="857">
        <f t="shared" si="36"/>
        <v>0.24258090095659876</v>
      </c>
      <c r="R41" s="858">
        <v>24</v>
      </c>
      <c r="S41" s="859">
        <f t="shared" si="42"/>
        <v>0.59592688804554084</v>
      </c>
      <c r="T41" s="860">
        <f t="shared" si="37"/>
        <v>17.877806641366224</v>
      </c>
      <c r="U41" s="861">
        <f t="shared" si="34"/>
        <v>6.8973019449715373E-2</v>
      </c>
      <c r="V41" s="862">
        <f t="shared" si="38"/>
        <v>761.5493823529406</v>
      </c>
      <c r="X41" s="849">
        <f t="shared" si="35"/>
        <v>7.2499999999999995E-2</v>
      </c>
    </row>
    <row r="42" spans="1:29" ht="20.25" customHeight="1" x14ac:dyDescent="0.35">
      <c r="A42" s="970" t="s">
        <v>416</v>
      </c>
      <c r="B42" s="905">
        <v>7.1</v>
      </c>
      <c r="C42" s="906">
        <v>5</v>
      </c>
      <c r="D42" s="907">
        <v>30</v>
      </c>
      <c r="E42" s="908">
        <v>0.5</v>
      </c>
      <c r="F42" s="909">
        <v>1</v>
      </c>
      <c r="G42" s="982">
        <f t="shared" si="39"/>
        <v>0.16666666666666666</v>
      </c>
      <c r="H42" s="792">
        <f t="shared" si="41"/>
        <v>0.29166666666666663</v>
      </c>
      <c r="I42" s="983">
        <f t="shared" si="40"/>
        <v>0.29166666666666663</v>
      </c>
      <c r="J42" s="911">
        <f t="shared" si="32"/>
        <v>1.0354166666666664</v>
      </c>
      <c r="K42" s="912">
        <v>1</v>
      </c>
      <c r="L42" s="912">
        <v>1</v>
      </c>
      <c r="M42" s="913">
        <v>0</v>
      </c>
      <c r="N42" s="914">
        <v>0</v>
      </c>
      <c r="O42" s="913">
        <v>0.85</v>
      </c>
      <c r="P42" s="914">
        <v>0.05</v>
      </c>
      <c r="Q42" s="913">
        <v>0.22</v>
      </c>
      <c r="R42" s="915">
        <v>24</v>
      </c>
      <c r="S42" s="916">
        <f t="shared" si="42"/>
        <v>1.2822497420020638</v>
      </c>
      <c r="T42" s="917">
        <f t="shared" si="37"/>
        <v>38.46749226006191</v>
      </c>
      <c r="U42" s="918">
        <f t="shared" si="34"/>
        <v>0.14840853495394254</v>
      </c>
      <c r="V42" s="919">
        <f t="shared" si="38"/>
        <v>1806.8064546392716</v>
      </c>
      <c r="X42" s="910">
        <f t="shared" si="35"/>
        <v>0.14583333333333331</v>
      </c>
    </row>
    <row r="43" spans="1:29" ht="20.25" customHeight="1" x14ac:dyDescent="0.35">
      <c r="A43" s="970" t="s">
        <v>416</v>
      </c>
      <c r="B43" s="920">
        <v>8.1999999999999993</v>
      </c>
      <c r="C43" s="921">
        <v>5</v>
      </c>
      <c r="D43" s="922">
        <f>D42</f>
        <v>30</v>
      </c>
      <c r="E43" s="923">
        <v>0.5</v>
      </c>
      <c r="F43" s="924">
        <v>1</v>
      </c>
      <c r="G43" s="984">
        <f t="shared" si="39"/>
        <v>0.16666666666666666</v>
      </c>
      <c r="H43" s="833">
        <f t="shared" si="41"/>
        <v>0.29166666666666663</v>
      </c>
      <c r="I43" s="985">
        <f t="shared" si="40"/>
        <v>0.29166666666666663</v>
      </c>
      <c r="J43" s="926">
        <f t="shared" si="32"/>
        <v>1.1958333333333331</v>
      </c>
      <c r="K43" s="927">
        <v>1</v>
      </c>
      <c r="L43" s="927">
        <v>1</v>
      </c>
      <c r="M43" s="928">
        <v>0</v>
      </c>
      <c r="N43" s="929">
        <v>0</v>
      </c>
      <c r="O43" s="928">
        <f>+O42</f>
        <v>0.85</v>
      </c>
      <c r="P43" s="929">
        <v>0.05</v>
      </c>
      <c r="Q43" s="928">
        <v>0.22</v>
      </c>
      <c r="R43" s="930">
        <v>24</v>
      </c>
      <c r="S43" s="931">
        <f t="shared" si="42"/>
        <v>1.4809081527347778</v>
      </c>
      <c r="T43" s="932">
        <f t="shared" si="37"/>
        <v>44.427244582043336</v>
      </c>
      <c r="U43" s="933">
        <f t="shared" si="34"/>
        <v>0.17140140656652519</v>
      </c>
      <c r="V43" s="934">
        <f t="shared" si="38"/>
        <v>2086.7342152171873</v>
      </c>
      <c r="X43" s="925">
        <f t="shared" si="35"/>
        <v>0.14583333333333331</v>
      </c>
    </row>
    <row r="44" spans="1:29" ht="16.5" x14ac:dyDescent="0.55000000000000004">
      <c r="B44" s="935"/>
      <c r="C44" s="935" t="s">
        <v>417</v>
      </c>
      <c r="D44" s="935"/>
      <c r="E44" s="935"/>
      <c r="F44" s="935"/>
      <c r="G44" s="935"/>
      <c r="H44" s="935">
        <f t="shared" si="41"/>
        <v>0.15</v>
      </c>
      <c r="I44" s="935"/>
      <c r="J44" s="935"/>
      <c r="K44" s="935"/>
      <c r="L44" s="935"/>
      <c r="M44" s="935"/>
      <c r="N44" s="935"/>
      <c r="O44" s="935"/>
      <c r="P44" s="935"/>
      <c r="Q44" s="935"/>
      <c r="R44" s="935"/>
      <c r="S44" s="935"/>
      <c r="T44" s="935"/>
    </row>
    <row r="45" spans="1:29" ht="20.25" customHeight="1" x14ac:dyDescent="0.35">
      <c r="A45" s="970" t="s">
        <v>414</v>
      </c>
      <c r="B45" s="863">
        <v>7.7630322580645164</v>
      </c>
      <c r="C45" s="864">
        <v>9</v>
      </c>
      <c r="D45" s="865">
        <v>12</v>
      </c>
      <c r="E45" s="866">
        <v>0.5</v>
      </c>
      <c r="F45" s="867">
        <v>1.2</v>
      </c>
      <c r="G45" s="977">
        <f t="shared" ref="G45:G48" si="43">C45/D45</f>
        <v>0.75</v>
      </c>
      <c r="H45" s="868">
        <f t="shared" si="41"/>
        <v>0.78749999999999998</v>
      </c>
      <c r="I45" s="978">
        <f t="shared" ref="I45:I48" si="44">H45</f>
        <v>0.78749999999999998</v>
      </c>
      <c r="J45" s="870">
        <f t="shared" ref="J45:J48" si="45">B45*E45*F45*I45</f>
        <v>3.6680327419354835</v>
      </c>
      <c r="K45" s="871">
        <v>1</v>
      </c>
      <c r="L45" s="1082">
        <v>0.65</v>
      </c>
      <c r="M45" s="873">
        <v>0</v>
      </c>
      <c r="N45" s="874">
        <v>0</v>
      </c>
      <c r="O45" s="1084">
        <v>0.7</v>
      </c>
      <c r="P45" s="876">
        <v>0</v>
      </c>
      <c r="Q45" s="877">
        <v>0.23</v>
      </c>
      <c r="R45" s="878">
        <v>24</v>
      </c>
      <c r="S45" s="879">
        <f>+J45*$K45*$L45*(1-M45)*(1-N45)/O45/(1-P45)</f>
        <v>3.406030403225806</v>
      </c>
      <c r="T45" s="880">
        <f>D45*S45</f>
        <v>40.872364838709672</v>
      </c>
      <c r="U45" s="881">
        <f t="shared" ref="U45:U48" si="46">S45/8.64</f>
        <v>0.39421648185483865</v>
      </c>
      <c r="V45" s="882">
        <f t="shared" ref="V45:V48" si="47">S45*10*31/Q45</f>
        <v>4590.7366304347815</v>
      </c>
      <c r="W45" s="883"/>
      <c r="X45" s="869">
        <f t="shared" ref="X45:X48" si="48">+E45*F45*I45</f>
        <v>0.47249999999999998</v>
      </c>
      <c r="Z45" s="976">
        <f>+L45*H45</f>
        <v>0.51187499999999997</v>
      </c>
      <c r="AB45" s="976">
        <f>+Z45*D45</f>
        <v>6.1425000000000001</v>
      </c>
      <c r="AC45" s="976">
        <f>0.5*C45</f>
        <v>4.5</v>
      </c>
    </row>
    <row r="46" spans="1:29" ht="20.25" customHeight="1" x14ac:dyDescent="0.35">
      <c r="A46" s="970" t="s">
        <v>415</v>
      </c>
      <c r="B46" s="884">
        <v>7.7630322580645164</v>
      </c>
      <c r="C46" s="885">
        <v>9</v>
      </c>
      <c r="D46" s="886">
        <v>12</v>
      </c>
      <c r="E46" s="887">
        <v>0.5</v>
      </c>
      <c r="F46" s="888">
        <v>1</v>
      </c>
      <c r="G46" s="979">
        <f t="shared" si="43"/>
        <v>0.75</v>
      </c>
      <c r="H46" s="889">
        <f t="shared" si="41"/>
        <v>0.78749999999999998</v>
      </c>
      <c r="I46" s="980">
        <f t="shared" si="44"/>
        <v>0.78749999999999998</v>
      </c>
      <c r="J46" s="891">
        <f t="shared" si="45"/>
        <v>3.0566939516129032</v>
      </c>
      <c r="K46" s="892">
        <v>1</v>
      </c>
      <c r="L46" s="1083">
        <v>0.65</v>
      </c>
      <c r="M46" s="894">
        <v>0</v>
      </c>
      <c r="N46" s="895">
        <v>0</v>
      </c>
      <c r="O46" s="1085">
        <v>0.7</v>
      </c>
      <c r="P46" s="897">
        <v>0</v>
      </c>
      <c r="Q46" s="898">
        <v>0.23</v>
      </c>
      <c r="R46" s="899">
        <v>24</v>
      </c>
      <c r="S46" s="900">
        <f>+J46*$K46*$L46*(1-M46)*(1-N46)/O46/(1-P46)</f>
        <v>2.838358669354839</v>
      </c>
      <c r="T46" s="901">
        <f t="shared" ref="T46" si="49">D46*S46</f>
        <v>34.060304032258067</v>
      </c>
      <c r="U46" s="902">
        <f t="shared" si="46"/>
        <v>0.32851373487903229</v>
      </c>
      <c r="V46" s="903">
        <f t="shared" si="47"/>
        <v>3825.6138586956527</v>
      </c>
      <c r="W46" s="904"/>
      <c r="X46" s="890">
        <f t="shared" si="48"/>
        <v>0.39374999999999999</v>
      </c>
      <c r="Z46" s="976">
        <f>+L46*H46</f>
        <v>0.51187499999999997</v>
      </c>
      <c r="AB46" s="976">
        <f t="shared" ref="AB46:AB48" si="50">+Z46*D46</f>
        <v>6.1425000000000001</v>
      </c>
      <c r="AC46" s="976">
        <f t="shared" ref="AC46:AC47" si="51">0.5*C46</f>
        <v>4.5</v>
      </c>
    </row>
    <row r="47" spans="1:29" ht="20.25" customHeight="1" x14ac:dyDescent="0.35">
      <c r="A47" s="970" t="s">
        <v>446</v>
      </c>
      <c r="B47" s="863">
        <v>7.7630322580645164</v>
      </c>
      <c r="C47" s="864">
        <v>5</v>
      </c>
      <c r="D47" s="865">
        <v>30</v>
      </c>
      <c r="E47" s="866">
        <v>0.5</v>
      </c>
      <c r="F47" s="867">
        <v>1.2</v>
      </c>
      <c r="G47" s="977">
        <f t="shared" si="43"/>
        <v>0.16666666666666666</v>
      </c>
      <c r="H47" s="868">
        <f t="shared" si="41"/>
        <v>0.29166666666666663</v>
      </c>
      <c r="I47" s="978">
        <f t="shared" si="44"/>
        <v>0.29166666666666663</v>
      </c>
      <c r="J47" s="870">
        <f t="shared" si="45"/>
        <v>1.3585306451612902</v>
      </c>
      <c r="K47" s="871">
        <v>1</v>
      </c>
      <c r="L47" s="1082">
        <v>0.65</v>
      </c>
      <c r="M47" s="873">
        <v>0</v>
      </c>
      <c r="N47" s="874">
        <v>0</v>
      </c>
      <c r="O47" s="1084">
        <v>0.7</v>
      </c>
      <c r="P47" s="876">
        <v>0</v>
      </c>
      <c r="Q47" s="877">
        <v>0.23</v>
      </c>
      <c r="R47" s="878">
        <v>24</v>
      </c>
      <c r="S47" s="879">
        <f>+J47*$K47*$L47*(1-M47)*(1-N47)/O47/(1-P47)</f>
        <v>1.2614927419354838</v>
      </c>
      <c r="T47" s="880">
        <f>D47*S47</f>
        <v>37.844782258064512</v>
      </c>
      <c r="U47" s="881">
        <f t="shared" si="46"/>
        <v>0.14600610439068099</v>
      </c>
      <c r="V47" s="882">
        <f t="shared" si="47"/>
        <v>1700.2728260869565</v>
      </c>
      <c r="W47" s="883"/>
      <c r="X47" s="869">
        <f t="shared" si="48"/>
        <v>0.17499999999999996</v>
      </c>
      <c r="Z47" s="976">
        <f>+L47*H47</f>
        <v>0.18958333333333333</v>
      </c>
      <c r="AB47" s="976">
        <f t="shared" si="50"/>
        <v>5.6875</v>
      </c>
      <c r="AC47" s="976">
        <f t="shared" si="51"/>
        <v>2.5</v>
      </c>
    </row>
    <row r="48" spans="1:29" ht="20.25" customHeight="1" x14ac:dyDescent="0.35">
      <c r="A48" s="970" t="s">
        <v>446</v>
      </c>
      <c r="B48" s="884">
        <v>7.7630322580645164</v>
      </c>
      <c r="C48" s="885">
        <v>5</v>
      </c>
      <c r="D48" s="886">
        <v>30</v>
      </c>
      <c r="E48" s="887">
        <v>0.5</v>
      </c>
      <c r="F48" s="888">
        <v>1</v>
      </c>
      <c r="G48" s="979">
        <f t="shared" si="43"/>
        <v>0.16666666666666666</v>
      </c>
      <c r="H48" s="889">
        <f t="shared" si="41"/>
        <v>0.29166666666666663</v>
      </c>
      <c r="I48" s="980">
        <f t="shared" si="44"/>
        <v>0.29166666666666663</v>
      </c>
      <c r="J48" s="891">
        <f t="shared" si="45"/>
        <v>1.1321088709677418</v>
      </c>
      <c r="K48" s="892">
        <v>1</v>
      </c>
      <c r="L48" s="1083">
        <v>0.65</v>
      </c>
      <c r="M48" s="894">
        <v>0</v>
      </c>
      <c r="N48" s="895">
        <v>0</v>
      </c>
      <c r="O48" s="1085">
        <v>0.7</v>
      </c>
      <c r="P48" s="897">
        <v>0</v>
      </c>
      <c r="Q48" s="898">
        <v>0.23</v>
      </c>
      <c r="R48" s="899">
        <v>24</v>
      </c>
      <c r="S48" s="900">
        <f>+J48*$K48*$L48*(1-M48)*(1-N48)/O48/(1-P48)</f>
        <v>1.0512439516129033</v>
      </c>
      <c r="T48" s="901">
        <f t="shared" ref="T48" si="52">D48*S48</f>
        <v>31.537318548387098</v>
      </c>
      <c r="U48" s="902">
        <f t="shared" si="46"/>
        <v>0.12167175365890083</v>
      </c>
      <c r="V48" s="903">
        <f t="shared" si="47"/>
        <v>1416.8940217391307</v>
      </c>
      <c r="W48" s="904"/>
      <c r="X48" s="890">
        <f t="shared" si="48"/>
        <v>0.14583333333333331</v>
      </c>
      <c r="Z48" s="976">
        <f>+L48*H48</f>
        <v>0.18958333333333333</v>
      </c>
      <c r="AB48" s="976">
        <f t="shared" si="50"/>
        <v>5.6875</v>
      </c>
      <c r="AC48" s="976">
        <f>0.5*C48</f>
        <v>2.5</v>
      </c>
    </row>
    <row r="50" spans="2:10" ht="12.75" customHeight="1" x14ac:dyDescent="0.35">
      <c r="B50" s="1183" t="s">
        <v>418</v>
      </c>
      <c r="C50" s="1183"/>
      <c r="D50" s="1183"/>
      <c r="E50" s="1183" t="s">
        <v>419</v>
      </c>
      <c r="F50" s="1183"/>
      <c r="G50" s="1183"/>
      <c r="H50" s="1183" t="s">
        <v>420</v>
      </c>
      <c r="I50" s="1183"/>
      <c r="J50" s="1183"/>
    </row>
    <row r="51" spans="2:10" ht="12.75" customHeight="1" x14ac:dyDescent="0.35">
      <c r="B51" s="1172" t="s">
        <v>421</v>
      </c>
      <c r="C51" s="936" t="s">
        <v>422</v>
      </c>
      <c r="D51" s="937" t="s">
        <v>123</v>
      </c>
      <c r="E51" s="1172" t="s">
        <v>421</v>
      </c>
      <c r="F51" s="936" t="s">
        <v>422</v>
      </c>
      <c r="G51" s="937" t="s">
        <v>123</v>
      </c>
      <c r="H51" s="1172" t="s">
        <v>421</v>
      </c>
      <c r="I51" s="936" t="s">
        <v>423</v>
      </c>
      <c r="J51" s="937" t="s">
        <v>123</v>
      </c>
    </row>
    <row r="52" spans="2:10" ht="12.75" customHeight="1" x14ac:dyDescent="0.35">
      <c r="B52" s="1173"/>
      <c r="C52" s="938" t="s">
        <v>424</v>
      </c>
      <c r="D52" s="939" t="s">
        <v>418</v>
      </c>
      <c r="E52" s="1173"/>
      <c r="F52" s="938" t="s">
        <v>425</v>
      </c>
      <c r="G52" s="940" t="s">
        <v>419</v>
      </c>
      <c r="H52" s="1173"/>
      <c r="I52" s="938" t="s">
        <v>426</v>
      </c>
      <c r="J52" s="939" t="s">
        <v>124</v>
      </c>
    </row>
    <row r="53" spans="2:10" ht="12.75" customHeight="1" x14ac:dyDescent="0.35">
      <c r="B53" s="941"/>
      <c r="C53" s="1174" t="s">
        <v>427</v>
      </c>
      <c r="D53" s="942">
        <v>0.05</v>
      </c>
      <c r="E53" s="943"/>
      <c r="F53" s="1176" t="s">
        <v>428</v>
      </c>
      <c r="G53" s="944">
        <v>0.5</v>
      </c>
      <c r="H53" s="943"/>
      <c r="I53" s="1176" t="s">
        <v>429</v>
      </c>
      <c r="J53" s="944">
        <v>0.5</v>
      </c>
    </row>
    <row r="54" spans="2:10" ht="12.75" customHeight="1" x14ac:dyDescent="0.35">
      <c r="B54" s="941"/>
      <c r="C54" s="1175"/>
      <c r="D54" s="942">
        <v>0.08</v>
      </c>
      <c r="E54" s="941"/>
      <c r="F54" s="1170"/>
      <c r="G54" s="945">
        <v>0.6</v>
      </c>
      <c r="H54" s="941"/>
      <c r="I54" s="1170"/>
      <c r="J54" s="944">
        <v>0.6</v>
      </c>
    </row>
    <row r="55" spans="2:10" ht="12.75" customHeight="1" x14ac:dyDescent="0.35">
      <c r="B55" s="946"/>
      <c r="C55" s="947"/>
      <c r="D55" s="948">
        <v>0.1</v>
      </c>
      <c r="E55" s="941"/>
      <c r="F55" s="1170"/>
      <c r="G55" s="944">
        <v>0.7</v>
      </c>
      <c r="H55" s="941"/>
      <c r="I55" s="1170"/>
      <c r="J55" s="944">
        <v>0.7</v>
      </c>
    </row>
    <row r="56" spans="2:10" ht="12.75" customHeight="1" x14ac:dyDescent="0.35">
      <c r="B56" s="941"/>
      <c r="C56" s="949" t="s">
        <v>430</v>
      </c>
      <c r="D56" s="944">
        <v>0.2</v>
      </c>
      <c r="E56" s="941"/>
      <c r="F56" s="1170"/>
      <c r="G56" s="944">
        <v>0.8</v>
      </c>
      <c r="H56" s="941"/>
      <c r="I56" s="1170"/>
      <c r="J56" s="944">
        <v>0.8</v>
      </c>
    </row>
    <row r="57" spans="2:10" ht="12.75" customHeight="1" x14ac:dyDescent="0.35">
      <c r="B57" s="950"/>
      <c r="C57" s="951"/>
      <c r="D57" s="952">
        <v>0.3</v>
      </c>
      <c r="E57" s="941"/>
      <c r="F57" s="1177"/>
      <c r="G57" s="944">
        <v>0.9</v>
      </c>
      <c r="H57" s="941"/>
      <c r="I57" s="1170"/>
      <c r="J57" s="944">
        <v>0.9</v>
      </c>
    </row>
    <row r="58" spans="2:10" ht="12.75" customHeight="1" x14ac:dyDescent="0.35">
      <c r="B58" s="946"/>
      <c r="C58" s="947"/>
      <c r="D58" s="948">
        <v>0.4</v>
      </c>
      <c r="E58" s="953"/>
      <c r="F58" s="954" t="s">
        <v>431</v>
      </c>
      <c r="G58" s="955">
        <v>1</v>
      </c>
      <c r="H58" s="953"/>
      <c r="I58" s="954" t="s">
        <v>431</v>
      </c>
      <c r="J58" s="956">
        <v>1</v>
      </c>
    </row>
    <row r="59" spans="2:10" ht="12.75" customHeight="1" x14ac:dyDescent="0.35">
      <c r="B59" s="957"/>
      <c r="C59" s="958" t="s">
        <v>432</v>
      </c>
      <c r="D59" s="959">
        <v>0.5</v>
      </c>
      <c r="E59" s="941"/>
      <c r="F59" s="1169" t="s">
        <v>433</v>
      </c>
      <c r="G59" s="944">
        <v>1.1000000000000001</v>
      </c>
      <c r="H59" s="941"/>
      <c r="I59" s="960"/>
      <c r="J59" s="944">
        <v>1.1000000000000001</v>
      </c>
    </row>
    <row r="60" spans="2:10" ht="12.75" customHeight="1" x14ac:dyDescent="0.35">
      <c r="B60" s="950"/>
      <c r="C60" s="951"/>
      <c r="D60" s="961">
        <v>0.6</v>
      </c>
      <c r="E60" s="941"/>
      <c r="F60" s="1170"/>
      <c r="G60" s="944">
        <v>1.2</v>
      </c>
      <c r="H60" s="941"/>
      <c r="I60" s="960" t="s">
        <v>434</v>
      </c>
      <c r="J60" s="944">
        <v>1.2</v>
      </c>
    </row>
    <row r="61" spans="2:10" ht="12.75" customHeight="1" x14ac:dyDescent="0.35">
      <c r="B61" s="941"/>
      <c r="C61" s="949"/>
      <c r="D61" s="944">
        <v>0.7</v>
      </c>
      <c r="E61" s="962"/>
      <c r="F61" s="1171"/>
      <c r="G61" s="963">
        <v>1.3</v>
      </c>
      <c r="H61" s="962"/>
      <c r="I61" s="964"/>
      <c r="J61" s="963">
        <v>1.3</v>
      </c>
    </row>
    <row r="62" spans="2:10" ht="12.75" customHeight="1" x14ac:dyDescent="0.35">
      <c r="B62" s="941"/>
      <c r="C62" s="949" t="s">
        <v>435</v>
      </c>
      <c r="D62" s="944">
        <v>0.8</v>
      </c>
      <c r="E62" s="965"/>
      <c r="F62" s="965"/>
      <c r="G62" s="965"/>
      <c r="H62" s="965"/>
      <c r="I62" s="965"/>
      <c r="J62" s="965"/>
    </row>
    <row r="63" spans="2:10" ht="12.75" customHeight="1" x14ac:dyDescent="0.35">
      <c r="B63" s="962"/>
      <c r="C63" s="966"/>
      <c r="D63" s="963">
        <v>0.9</v>
      </c>
      <c r="E63" s="965"/>
      <c r="F63" s="965"/>
      <c r="G63" s="965"/>
      <c r="H63" s="965"/>
      <c r="I63" s="965"/>
      <c r="J63" s="965"/>
    </row>
  </sheetData>
  <mergeCells count="25">
    <mergeCell ref="C3:D3"/>
    <mergeCell ref="E3:F3"/>
    <mergeCell ref="G3:I3"/>
    <mergeCell ref="C14:I14"/>
    <mergeCell ref="K14:L14"/>
    <mergeCell ref="I53:I57"/>
    <mergeCell ref="O14:P14"/>
    <mergeCell ref="Q14:R14"/>
    <mergeCell ref="S14:U14"/>
    <mergeCell ref="B50:D50"/>
    <mergeCell ref="E50:G50"/>
    <mergeCell ref="H50:J50"/>
    <mergeCell ref="M14:N14"/>
    <mergeCell ref="C32:I32"/>
    <mergeCell ref="K32:L32"/>
    <mergeCell ref="M32:N32"/>
    <mergeCell ref="O32:P32"/>
    <mergeCell ref="Q32:R32"/>
    <mergeCell ref="S32:U32"/>
    <mergeCell ref="F59:F61"/>
    <mergeCell ref="B51:B52"/>
    <mergeCell ref="E51:E52"/>
    <mergeCell ref="H51:H52"/>
    <mergeCell ref="C53:C54"/>
    <mergeCell ref="F53:F57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EB81-71BF-40A7-8DAC-5F18DCAC9344}">
  <sheetPr>
    <tabColor rgb="FF92D050"/>
  </sheetPr>
  <dimension ref="B2:L21"/>
  <sheetViews>
    <sheetView rightToLeft="1" zoomScale="80" zoomScaleNormal="80" workbookViewId="0">
      <selection activeCell="J17" sqref="J17"/>
    </sheetView>
  </sheetViews>
  <sheetFormatPr defaultColWidth="9.1796875" defaultRowHeight="18" customHeight="1" x14ac:dyDescent="0.35"/>
  <cols>
    <col min="1" max="1" width="9.1796875" style="723"/>
    <col min="2" max="2" width="10.54296875" style="723" bestFit="1" customWidth="1"/>
    <col min="3" max="16384" width="9.1796875" style="723"/>
  </cols>
  <sheetData>
    <row r="2" spans="2:12" ht="18" customHeight="1" x14ac:dyDescent="0.6">
      <c r="B2" s="722" t="s">
        <v>315</v>
      </c>
      <c r="C2" s="722" t="s">
        <v>316</v>
      </c>
      <c r="D2" s="722" t="s">
        <v>317</v>
      </c>
      <c r="E2" s="722" t="s">
        <v>318</v>
      </c>
      <c r="F2" s="722" t="s">
        <v>318</v>
      </c>
      <c r="J2" s="724"/>
    </row>
    <row r="3" spans="2:12" ht="18" customHeight="1" x14ac:dyDescent="0.35">
      <c r="B3" s="725" t="s">
        <v>319</v>
      </c>
      <c r="C3" s="725" t="s">
        <v>320</v>
      </c>
      <c r="D3" s="725" t="s">
        <v>321</v>
      </c>
      <c r="E3" s="725" t="s">
        <v>322</v>
      </c>
      <c r="F3" s="725" t="s">
        <v>322</v>
      </c>
    </row>
    <row r="4" spans="2:12" ht="18" customHeight="1" x14ac:dyDescent="0.35">
      <c r="B4" s="726" t="s">
        <v>4</v>
      </c>
      <c r="C4" s="726" t="s">
        <v>4</v>
      </c>
      <c r="D4" s="726" t="s">
        <v>4</v>
      </c>
      <c r="E4" s="726" t="s">
        <v>323</v>
      </c>
      <c r="F4" s="727" t="s">
        <v>324</v>
      </c>
      <c r="I4" s="723" t="s">
        <v>325</v>
      </c>
    </row>
    <row r="5" spans="2:12" ht="18" customHeight="1" x14ac:dyDescent="0.35">
      <c r="B5" s="728" t="s">
        <v>326</v>
      </c>
      <c r="C5" s="728" t="s">
        <v>327</v>
      </c>
      <c r="D5" s="728" t="s">
        <v>328</v>
      </c>
      <c r="E5" s="728" t="s">
        <v>4</v>
      </c>
      <c r="F5" s="728" t="s">
        <v>4</v>
      </c>
    </row>
    <row r="6" spans="2:12" ht="18" customHeight="1" x14ac:dyDescent="0.35">
      <c r="B6" s="729">
        <v>3</v>
      </c>
      <c r="C6" s="730">
        <f>PI()*B6</f>
        <v>9.4247779607693793</v>
      </c>
      <c r="D6" s="731">
        <f>(PI()*2.8^2/4)/C6</f>
        <v>0.65333333333333321</v>
      </c>
      <c r="E6" s="732">
        <f>D6+0.15*(1-D6)</f>
        <v>0.70533333333333326</v>
      </c>
      <c r="F6" s="732">
        <f>D6^0.5</f>
        <v>0.808290376865476</v>
      </c>
    </row>
    <row r="7" spans="2:12" ht="18" customHeight="1" x14ac:dyDescent="0.35">
      <c r="B7" s="733"/>
      <c r="C7" s="734"/>
      <c r="D7" s="735"/>
      <c r="E7" s="735"/>
    </row>
    <row r="8" spans="2:12" ht="43.5" customHeight="1" x14ac:dyDescent="0.35">
      <c r="C8" s="736" t="s">
        <v>329</v>
      </c>
      <c r="D8" s="736" t="s">
        <v>330</v>
      </c>
      <c r="E8" s="736" t="s">
        <v>331</v>
      </c>
      <c r="F8" s="736" t="s">
        <v>447</v>
      </c>
      <c r="G8" s="736" t="s">
        <v>332</v>
      </c>
      <c r="H8" s="737" t="s">
        <v>333</v>
      </c>
      <c r="I8" s="738" t="s">
        <v>334</v>
      </c>
      <c r="J8" s="736" t="s">
        <v>335</v>
      </c>
      <c r="K8" s="736" t="s">
        <v>336</v>
      </c>
      <c r="L8" s="736" t="s">
        <v>448</v>
      </c>
    </row>
    <row r="9" spans="2:12" ht="18" customHeight="1" x14ac:dyDescent="0.35">
      <c r="C9" s="739">
        <v>0</v>
      </c>
      <c r="D9" s="740">
        <f t="shared" ref="D9:D21" si="0">C9+0.15*(1-C9)</f>
        <v>0.15</v>
      </c>
      <c r="E9" s="740">
        <f t="shared" ref="E9:E21" si="1">C9^0.5</f>
        <v>0</v>
      </c>
      <c r="F9" s="740">
        <f>IF(C9&gt;0.7,1,SIN(PI()/2*C9/0.7))</f>
        <v>0</v>
      </c>
      <c r="G9" s="739">
        <f>+C9</f>
        <v>0</v>
      </c>
      <c r="H9" s="741">
        <f>D9-C9</f>
        <v>0.15</v>
      </c>
      <c r="I9" s="742">
        <f>E9-C9</f>
        <v>0</v>
      </c>
      <c r="J9" s="743" t="s">
        <v>4</v>
      </c>
      <c r="K9" s="743" t="s">
        <v>4</v>
      </c>
      <c r="L9" s="743" t="s">
        <v>4</v>
      </c>
    </row>
    <row r="10" spans="2:12" ht="18" customHeight="1" x14ac:dyDescent="0.35">
      <c r="B10" s="1080">
        <f>1/C10</f>
        <v>20</v>
      </c>
      <c r="C10" s="739">
        <v>0.05</v>
      </c>
      <c r="D10" s="740">
        <f t="shared" si="0"/>
        <v>0.1925</v>
      </c>
      <c r="E10" s="740">
        <f>C10^0.5</f>
        <v>0.22360679774997896</v>
      </c>
      <c r="F10" s="740">
        <f t="shared" ref="F10:F21" si="2">IF(C10&gt;0.7,1,SIN(PI()/2*C10/0.7))</f>
        <v>0.11196447610330787</v>
      </c>
      <c r="G10" s="739">
        <f t="shared" ref="G10:G21" si="3">+C10</f>
        <v>0.05</v>
      </c>
      <c r="H10" s="741">
        <f t="shared" ref="H10:H21" si="4">D10-C10</f>
        <v>0.14250000000000002</v>
      </c>
      <c r="I10" s="742">
        <f t="shared" ref="I10:I21" si="5">E10-C10</f>
        <v>0.17360679774997895</v>
      </c>
      <c r="J10" s="744">
        <f t="shared" ref="J10:J21" si="6">D10/C10</f>
        <v>3.85</v>
      </c>
      <c r="K10" s="744">
        <f t="shared" ref="K10:K21" si="7">E10/C10</f>
        <v>4.4721359549995787</v>
      </c>
      <c r="L10" s="744">
        <f>F10/C10</f>
        <v>2.2392895220661573</v>
      </c>
    </row>
    <row r="11" spans="2:12" ht="18" customHeight="1" x14ac:dyDescent="0.35">
      <c r="B11" s="1080">
        <f t="shared" ref="B11:B20" si="8">1/C11</f>
        <v>10</v>
      </c>
      <c r="C11" s="739">
        <v>0.1</v>
      </c>
      <c r="D11" s="740">
        <f t="shared" si="0"/>
        <v>0.23500000000000001</v>
      </c>
      <c r="E11" s="740">
        <f t="shared" si="1"/>
        <v>0.31622776601683794</v>
      </c>
      <c r="F11" s="740">
        <f t="shared" si="2"/>
        <v>0.22252093395631442</v>
      </c>
      <c r="G11" s="739">
        <f t="shared" si="3"/>
        <v>0.1</v>
      </c>
      <c r="H11" s="741">
        <f t="shared" si="4"/>
        <v>0.13500000000000001</v>
      </c>
      <c r="I11" s="742">
        <f t="shared" si="5"/>
        <v>0.21622776601683794</v>
      </c>
      <c r="J11" s="744">
        <f t="shared" si="6"/>
        <v>2.35</v>
      </c>
      <c r="K11" s="744">
        <f t="shared" si="7"/>
        <v>3.1622776601683791</v>
      </c>
      <c r="L11" s="744">
        <f t="shared" ref="L11:L21" si="9">F11/C11</f>
        <v>2.2252093395631443</v>
      </c>
    </row>
    <row r="12" spans="2:12" ht="18" customHeight="1" x14ac:dyDescent="0.35">
      <c r="B12" s="1080">
        <f t="shared" si="8"/>
        <v>5</v>
      </c>
      <c r="C12" s="739">
        <v>0.2</v>
      </c>
      <c r="D12" s="740">
        <f t="shared" si="0"/>
        <v>0.32</v>
      </c>
      <c r="E12" s="740">
        <f t="shared" si="1"/>
        <v>0.44721359549995793</v>
      </c>
      <c r="F12" s="740">
        <f t="shared" si="2"/>
        <v>0.43388373911755818</v>
      </c>
      <c r="G12" s="739">
        <f t="shared" si="3"/>
        <v>0.2</v>
      </c>
      <c r="H12" s="741">
        <f t="shared" si="4"/>
        <v>0.12</v>
      </c>
      <c r="I12" s="742">
        <f t="shared" si="5"/>
        <v>0.24721359549995792</v>
      </c>
      <c r="J12" s="744">
        <f>D12/C12</f>
        <v>1.5999999999999999</v>
      </c>
      <c r="K12" s="744">
        <f t="shared" si="7"/>
        <v>2.2360679774997894</v>
      </c>
      <c r="L12" s="744">
        <f t="shared" si="9"/>
        <v>2.1694186955877908</v>
      </c>
    </row>
    <row r="13" spans="2:12" ht="18" customHeight="1" x14ac:dyDescent="0.35">
      <c r="B13" s="1080">
        <f t="shared" si="8"/>
        <v>4</v>
      </c>
      <c r="C13" s="739">
        <v>0.25</v>
      </c>
      <c r="D13" s="740">
        <f t="shared" si="0"/>
        <v>0.36249999999999999</v>
      </c>
      <c r="E13" s="740">
        <f t="shared" si="1"/>
        <v>0.5</v>
      </c>
      <c r="F13" s="740">
        <f t="shared" si="2"/>
        <v>0.53203207651533657</v>
      </c>
      <c r="G13" s="739">
        <f t="shared" si="3"/>
        <v>0.25</v>
      </c>
      <c r="H13" s="741">
        <f>D13-C13</f>
        <v>0.11249999999999999</v>
      </c>
      <c r="I13" s="742">
        <f>E13-C13</f>
        <v>0.25</v>
      </c>
      <c r="J13" s="744">
        <f t="shared" ref="J13" si="10">D13/C13</f>
        <v>1.45</v>
      </c>
      <c r="K13" s="744">
        <f>E13/C13</f>
        <v>2</v>
      </c>
      <c r="L13" s="744">
        <f t="shared" si="9"/>
        <v>2.1281283060613463</v>
      </c>
    </row>
    <row r="14" spans="2:12" ht="18" customHeight="1" x14ac:dyDescent="0.35">
      <c r="B14" s="1080">
        <f t="shared" si="8"/>
        <v>3.3333333333333335</v>
      </c>
      <c r="C14" s="739">
        <v>0.3</v>
      </c>
      <c r="D14" s="740">
        <f t="shared" si="0"/>
        <v>0.40499999999999997</v>
      </c>
      <c r="E14" s="740">
        <f t="shared" si="1"/>
        <v>0.54772255750516607</v>
      </c>
      <c r="F14" s="740">
        <f t="shared" si="2"/>
        <v>0.62348980185873348</v>
      </c>
      <c r="G14" s="739">
        <f t="shared" si="3"/>
        <v>0.3</v>
      </c>
      <c r="H14" s="741">
        <f t="shared" si="4"/>
        <v>0.10499999999999998</v>
      </c>
      <c r="I14" s="742">
        <f t="shared" si="5"/>
        <v>0.24772255750516609</v>
      </c>
      <c r="J14" s="744">
        <f t="shared" si="6"/>
        <v>1.3499999999999999</v>
      </c>
      <c r="K14" s="744">
        <f t="shared" si="7"/>
        <v>1.8257418583505536</v>
      </c>
      <c r="L14" s="744">
        <f t="shared" si="9"/>
        <v>2.0782993395291118</v>
      </c>
    </row>
    <row r="15" spans="2:12" ht="18" customHeight="1" x14ac:dyDescent="0.35">
      <c r="B15" s="1080">
        <f t="shared" si="8"/>
        <v>2.5</v>
      </c>
      <c r="C15" s="739">
        <v>0.4</v>
      </c>
      <c r="D15" s="740">
        <f t="shared" si="0"/>
        <v>0.49</v>
      </c>
      <c r="E15" s="740">
        <f t="shared" si="1"/>
        <v>0.63245553203367588</v>
      </c>
      <c r="F15" s="740">
        <f t="shared" si="2"/>
        <v>0.7818314824680298</v>
      </c>
      <c r="G15" s="739">
        <f t="shared" si="3"/>
        <v>0.4</v>
      </c>
      <c r="H15" s="741">
        <f t="shared" si="4"/>
        <v>8.9999999999999969E-2</v>
      </c>
      <c r="I15" s="742">
        <f t="shared" si="5"/>
        <v>0.23245553203367586</v>
      </c>
      <c r="J15" s="744">
        <f t="shared" si="6"/>
        <v>1.2249999999999999</v>
      </c>
      <c r="K15" s="744">
        <f t="shared" si="7"/>
        <v>1.5811388300841895</v>
      </c>
      <c r="L15" s="744">
        <f t="shared" si="9"/>
        <v>1.9545787061700743</v>
      </c>
    </row>
    <row r="16" spans="2:12" ht="18" customHeight="1" x14ac:dyDescent="0.35">
      <c r="B16" s="1080">
        <f t="shared" si="8"/>
        <v>2</v>
      </c>
      <c r="C16" s="739">
        <v>0.5</v>
      </c>
      <c r="D16" s="740">
        <f t="shared" si="0"/>
        <v>0.57499999999999996</v>
      </c>
      <c r="E16" s="740">
        <f t="shared" si="1"/>
        <v>0.70710678118654757</v>
      </c>
      <c r="F16" s="740">
        <f t="shared" si="2"/>
        <v>0.90096886790241915</v>
      </c>
      <c r="G16" s="739">
        <f t="shared" si="3"/>
        <v>0.5</v>
      </c>
      <c r="H16" s="741">
        <f t="shared" si="4"/>
        <v>7.4999999999999956E-2</v>
      </c>
      <c r="I16" s="742">
        <f t="shared" si="5"/>
        <v>0.20710678118654757</v>
      </c>
      <c r="J16" s="744">
        <f t="shared" si="6"/>
        <v>1.1499999999999999</v>
      </c>
      <c r="K16" s="744">
        <f t="shared" si="7"/>
        <v>1.4142135623730951</v>
      </c>
      <c r="L16" s="744">
        <f t="shared" si="9"/>
        <v>1.8019377358048383</v>
      </c>
    </row>
    <row r="17" spans="2:12" ht="18" customHeight="1" x14ac:dyDescent="0.35">
      <c r="B17" s="1080">
        <f t="shared" si="8"/>
        <v>1.6666666666666667</v>
      </c>
      <c r="C17" s="739">
        <v>0.6</v>
      </c>
      <c r="D17" s="740">
        <f t="shared" si="0"/>
        <v>0.65999999999999992</v>
      </c>
      <c r="E17" s="740">
        <f t="shared" si="1"/>
        <v>0.7745966692414834</v>
      </c>
      <c r="F17" s="740">
        <f t="shared" si="2"/>
        <v>0.97492791218182362</v>
      </c>
      <c r="G17" s="739">
        <f t="shared" si="3"/>
        <v>0.6</v>
      </c>
      <c r="H17" s="741">
        <f t="shared" si="4"/>
        <v>5.9999999999999942E-2</v>
      </c>
      <c r="I17" s="742">
        <f t="shared" si="5"/>
        <v>0.17459666924148343</v>
      </c>
      <c r="J17" s="744">
        <f t="shared" si="6"/>
        <v>1.0999999999999999</v>
      </c>
      <c r="K17" s="744">
        <f t="shared" si="7"/>
        <v>1.2909944487358058</v>
      </c>
      <c r="L17" s="744">
        <f t="shared" si="9"/>
        <v>1.6248798536363727</v>
      </c>
    </row>
    <row r="18" spans="2:12" ht="18" customHeight="1" x14ac:dyDescent="0.35">
      <c r="B18" s="1080">
        <f t="shared" si="8"/>
        <v>1.4285714285714286</v>
      </c>
      <c r="C18" s="739">
        <v>0.7</v>
      </c>
      <c r="D18" s="740">
        <f t="shared" si="0"/>
        <v>0.745</v>
      </c>
      <c r="E18" s="740">
        <f t="shared" si="1"/>
        <v>0.83666002653407556</v>
      </c>
      <c r="F18" s="740">
        <f t="shared" si="2"/>
        <v>1</v>
      </c>
      <c r="G18" s="739">
        <f t="shared" si="3"/>
        <v>0.7</v>
      </c>
      <c r="H18" s="741">
        <f t="shared" si="4"/>
        <v>4.500000000000004E-2</v>
      </c>
      <c r="I18" s="742">
        <f t="shared" si="5"/>
        <v>0.13666002653407561</v>
      </c>
      <c r="J18" s="744">
        <f t="shared" si="6"/>
        <v>1.0642857142857143</v>
      </c>
      <c r="K18" s="744">
        <f t="shared" si="7"/>
        <v>1.1952286093343938</v>
      </c>
      <c r="L18" s="744">
        <f t="shared" si="9"/>
        <v>1.4285714285714286</v>
      </c>
    </row>
    <row r="19" spans="2:12" ht="18" customHeight="1" x14ac:dyDescent="0.35">
      <c r="B19" s="1080">
        <f t="shared" si="8"/>
        <v>1.25</v>
      </c>
      <c r="C19" s="739">
        <v>0.8</v>
      </c>
      <c r="D19" s="740">
        <f t="shared" si="0"/>
        <v>0.83000000000000007</v>
      </c>
      <c r="E19" s="740">
        <f t="shared" si="1"/>
        <v>0.89442719099991586</v>
      </c>
      <c r="F19" s="740">
        <f t="shared" si="2"/>
        <v>1</v>
      </c>
      <c r="G19" s="739">
        <f t="shared" si="3"/>
        <v>0.8</v>
      </c>
      <c r="H19" s="741">
        <f t="shared" si="4"/>
        <v>3.0000000000000027E-2</v>
      </c>
      <c r="I19" s="742">
        <f t="shared" si="5"/>
        <v>9.4427190999915811E-2</v>
      </c>
      <c r="J19" s="744">
        <f t="shared" si="6"/>
        <v>1.0375000000000001</v>
      </c>
      <c r="K19" s="744">
        <f t="shared" si="7"/>
        <v>1.1180339887498947</v>
      </c>
      <c r="L19" s="744">
        <f t="shared" si="9"/>
        <v>1.25</v>
      </c>
    </row>
    <row r="20" spans="2:12" ht="18" customHeight="1" x14ac:dyDescent="0.35">
      <c r="B20" s="1080">
        <f t="shared" si="8"/>
        <v>1.1111111111111112</v>
      </c>
      <c r="C20" s="739">
        <v>0.9</v>
      </c>
      <c r="D20" s="740">
        <f t="shared" si="0"/>
        <v>0.91500000000000004</v>
      </c>
      <c r="E20" s="740">
        <f t="shared" si="1"/>
        <v>0.94868329805051377</v>
      </c>
      <c r="F20" s="740">
        <f t="shared" si="2"/>
        <v>1</v>
      </c>
      <c r="G20" s="739">
        <f t="shared" si="3"/>
        <v>0.9</v>
      </c>
      <c r="H20" s="741">
        <f t="shared" si="4"/>
        <v>1.5000000000000013E-2</v>
      </c>
      <c r="I20" s="742">
        <f t="shared" si="5"/>
        <v>4.8683298050513746E-2</v>
      </c>
      <c r="J20" s="744">
        <f t="shared" si="6"/>
        <v>1.0166666666666666</v>
      </c>
      <c r="K20" s="744">
        <f t="shared" si="7"/>
        <v>1.0540925533894596</v>
      </c>
      <c r="L20" s="744">
        <f t="shared" si="9"/>
        <v>1.1111111111111112</v>
      </c>
    </row>
    <row r="21" spans="2:12" ht="18" customHeight="1" x14ac:dyDescent="0.35">
      <c r="B21" s="1080">
        <f>1/C21</f>
        <v>1</v>
      </c>
      <c r="C21" s="739">
        <v>1</v>
      </c>
      <c r="D21" s="740">
        <f t="shared" si="0"/>
        <v>1</v>
      </c>
      <c r="E21" s="740">
        <f t="shared" si="1"/>
        <v>1</v>
      </c>
      <c r="F21" s="740">
        <f t="shared" si="2"/>
        <v>1</v>
      </c>
      <c r="G21" s="739">
        <f t="shared" si="3"/>
        <v>1</v>
      </c>
      <c r="H21" s="741">
        <f t="shared" si="4"/>
        <v>0</v>
      </c>
      <c r="I21" s="742">
        <f t="shared" si="5"/>
        <v>0</v>
      </c>
      <c r="J21" s="744">
        <f t="shared" si="6"/>
        <v>1</v>
      </c>
      <c r="K21" s="744">
        <f t="shared" si="7"/>
        <v>1</v>
      </c>
      <c r="L21" s="744">
        <f t="shared" si="9"/>
        <v>1</v>
      </c>
    </row>
  </sheetData>
  <phoneticPr fontId="146" type="noConversion"/>
  <conditionalFormatting sqref="D9:F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L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9217" r:id="rId3">
          <objectPr defaultSize="0" autoPict="0" r:id="rId4">
            <anchor moveWithCells="1" sizeWithCells="1">
              <from>
                <xdr:col>9</xdr:col>
                <xdr:colOff>76200</xdr:colOff>
                <xdr:row>1</xdr:row>
                <xdr:rowOff>12700</xdr:rowOff>
              </from>
              <to>
                <xdr:col>18</xdr:col>
                <xdr:colOff>488950</xdr:colOff>
                <xdr:row>5</xdr:row>
                <xdr:rowOff>165100</xdr:rowOff>
              </to>
            </anchor>
          </objectPr>
        </oleObject>
      </mc:Choice>
      <mc:Fallback>
        <oleObject progId="Equation.DSMT4" shapeId="9217" r:id="rId3"/>
      </mc:Fallback>
    </mc:AlternateContent>
    <mc:AlternateContent xmlns:mc="http://schemas.openxmlformats.org/markup-compatibility/2006">
      <mc:Choice Requires="x14">
        <oleObject progId="Equation.DSMT4" shapeId="9218" r:id="rId5">
          <objectPr defaultSize="0" autoPict="0" r:id="rId6">
            <anchor moveWithCells="1" sizeWithCells="1">
              <from>
                <xdr:col>12</xdr:col>
                <xdr:colOff>476250</xdr:colOff>
                <xdr:row>26</xdr:row>
                <xdr:rowOff>107950</xdr:rowOff>
              </from>
              <to>
                <xdr:col>20</xdr:col>
                <xdr:colOff>184150</xdr:colOff>
                <xdr:row>29</xdr:row>
                <xdr:rowOff>19050</xdr:rowOff>
              </to>
            </anchor>
          </objectPr>
        </oleObject>
      </mc:Choice>
      <mc:Fallback>
        <oleObject progId="Equation.DSMT4" shapeId="9218" r:id="rId5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F2F3-3AFB-44E9-954B-7A11D6D60A9B}">
  <sheetPr>
    <tabColor rgb="FF00B0F0"/>
  </sheetPr>
  <dimension ref="A1"/>
  <sheetViews>
    <sheetView rightToLeft="1" zoomScale="80" zoomScaleNormal="80" workbookViewId="0">
      <selection activeCell="B29" sqref="B2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922C-EFDC-43CB-A906-1AEBE422E2D3}">
  <dimension ref="B1:K18"/>
  <sheetViews>
    <sheetView rightToLeft="1" workbookViewId="0">
      <selection activeCell="D22" sqref="D22"/>
    </sheetView>
  </sheetViews>
  <sheetFormatPr defaultColWidth="9.1796875" defaultRowHeight="14.25" customHeight="1" x14ac:dyDescent="0.35"/>
  <cols>
    <col min="1" max="1" width="9.1796875" style="745"/>
    <col min="2" max="2" width="18.1796875" style="745" customWidth="1"/>
    <col min="3" max="3" width="33.54296875" style="745" customWidth="1"/>
    <col min="4" max="5" width="10.1796875" style="745" bestFit="1" customWidth="1"/>
    <col min="6" max="6" width="19" style="745" customWidth="1"/>
    <col min="7" max="7" width="12.26953125" style="745" customWidth="1"/>
    <col min="8" max="8" width="11" style="745" bestFit="1" customWidth="1"/>
    <col min="9" max="10" width="10.1796875" style="745" bestFit="1" customWidth="1"/>
    <col min="11" max="11" width="10.81640625" style="745" bestFit="1" customWidth="1"/>
    <col min="12" max="16384" width="9.1796875" style="745"/>
  </cols>
  <sheetData>
    <row r="1" spans="2:11" ht="14.25" customHeight="1" x14ac:dyDescent="0.35">
      <c r="G1" s="745">
        <v>20.8</v>
      </c>
      <c r="H1" s="745" t="s">
        <v>337</v>
      </c>
    </row>
    <row r="2" spans="2:11" ht="14.25" customHeight="1" x14ac:dyDescent="0.35">
      <c r="B2" s="746" t="s">
        <v>338</v>
      </c>
      <c r="F2" s="746" t="s">
        <v>339</v>
      </c>
    </row>
    <row r="3" spans="2:11" ht="14.25" customHeight="1" x14ac:dyDescent="0.35">
      <c r="B3" s="747" t="s">
        <v>340</v>
      </c>
      <c r="C3" s="747" t="s">
        <v>341</v>
      </c>
      <c r="D3" s="748">
        <v>1890000</v>
      </c>
      <c r="F3" s="747" t="s">
        <v>340</v>
      </c>
      <c r="G3" s="748">
        <v>658411</v>
      </c>
      <c r="H3" s="748">
        <f>G3*$G$1</f>
        <v>13694948.800000001</v>
      </c>
      <c r="I3" s="749">
        <f>H3+'[7]کمربند سبز'!V4+'[7]کمربند سبز'!Z4+'[7]کمربند سبز'!AD4</f>
        <v>13695528.800000001</v>
      </c>
    </row>
    <row r="4" spans="2:11" ht="14.25" customHeight="1" x14ac:dyDescent="0.35">
      <c r="B4" s="747" t="s">
        <v>340</v>
      </c>
      <c r="C4" s="747" t="s">
        <v>342</v>
      </c>
      <c r="D4" s="748">
        <v>340000</v>
      </c>
      <c r="F4" s="747" t="s">
        <v>340</v>
      </c>
      <c r="G4" s="748">
        <v>81250</v>
      </c>
      <c r="H4" s="748">
        <f t="shared" ref="H4:H9" si="0">G4*$G$1</f>
        <v>1690000</v>
      </c>
      <c r="I4" s="749">
        <f>H4+'[7]کمربند سبز'!V5+'[7]کمربند سبز'!Z5+'[7]کمربند سبز'!AD5</f>
        <v>1690000</v>
      </c>
    </row>
    <row r="5" spans="2:11" ht="14.25" customHeight="1" x14ac:dyDescent="0.35">
      <c r="B5" s="747" t="s">
        <v>340</v>
      </c>
      <c r="C5" s="747" t="s">
        <v>343</v>
      </c>
      <c r="D5" s="748">
        <v>2500375</v>
      </c>
      <c r="F5" s="747" t="s">
        <v>340</v>
      </c>
      <c r="G5" s="748">
        <v>81250</v>
      </c>
      <c r="H5" s="748">
        <f t="shared" si="0"/>
        <v>1690000</v>
      </c>
      <c r="I5" s="749">
        <f>H5+'[7]کمربند سبز'!V6+'[7]کمربند سبز'!Z6+'[7]کمربند سبز'!AD6</f>
        <v>1690375</v>
      </c>
    </row>
    <row r="6" spans="2:11" ht="14.25" customHeight="1" x14ac:dyDescent="0.35">
      <c r="B6" s="747" t="s">
        <v>340</v>
      </c>
      <c r="C6" s="747" t="s">
        <v>344</v>
      </c>
      <c r="D6" s="748">
        <v>2500000</v>
      </c>
      <c r="F6" s="747" t="s">
        <v>340</v>
      </c>
      <c r="G6" s="748">
        <v>123400</v>
      </c>
      <c r="H6" s="748">
        <f t="shared" si="0"/>
        <v>2566720</v>
      </c>
      <c r="I6" s="749">
        <f>H6+'[7]کمربند سبز'!V7+'[7]کمربند سبز'!Z7+'[7]کمربند سبز'!AD7</f>
        <v>2566720</v>
      </c>
    </row>
    <row r="7" spans="2:11" ht="14.25" customHeight="1" x14ac:dyDescent="0.35">
      <c r="B7" s="747" t="s">
        <v>340</v>
      </c>
      <c r="C7" s="747" t="s">
        <v>345</v>
      </c>
      <c r="D7" s="748">
        <v>1875000</v>
      </c>
      <c r="F7" s="747" t="s">
        <v>340</v>
      </c>
      <c r="G7" s="748">
        <v>155000</v>
      </c>
      <c r="H7" s="748">
        <f t="shared" si="0"/>
        <v>3224000</v>
      </c>
      <c r="I7" s="749">
        <f>H7+'[7]کمربند سبز'!V8+'[7]کمربند سبز'!Z8+'[7]کمربند سبز'!AD8</f>
        <v>3224000</v>
      </c>
      <c r="J7" s="749">
        <f>SUM(I3:I7)</f>
        <v>22866623.800000001</v>
      </c>
      <c r="K7" s="750">
        <f>J7-E12</f>
        <v>-10354956.199999999</v>
      </c>
    </row>
    <row r="8" spans="2:11" ht="14.25" customHeight="1" x14ac:dyDescent="0.35">
      <c r="B8" s="747" t="s">
        <v>340</v>
      </c>
      <c r="C8" s="747" t="s">
        <v>346</v>
      </c>
      <c r="D8" s="748">
        <v>1000000</v>
      </c>
      <c r="F8" s="747" t="s">
        <v>347</v>
      </c>
      <c r="G8" s="748">
        <v>57000</v>
      </c>
      <c r="H8" s="748">
        <f t="shared" si="0"/>
        <v>1185600</v>
      </c>
      <c r="I8" s="749">
        <f>H8+'[7]کمربند سبز'!V9+'[7]کمربند سبز'!Z9+'[7]کمربند سبز'!AD9</f>
        <v>1185600</v>
      </c>
      <c r="K8" s="750">
        <f>I8-E13</f>
        <v>-864400</v>
      </c>
    </row>
    <row r="9" spans="2:11" ht="14.25" customHeight="1" x14ac:dyDescent="0.35">
      <c r="B9" s="747" t="s">
        <v>340</v>
      </c>
      <c r="C9" s="747" t="s">
        <v>348</v>
      </c>
      <c r="D9" s="748">
        <v>872500</v>
      </c>
      <c r="F9" s="747" t="s">
        <v>349</v>
      </c>
      <c r="G9" s="748">
        <v>58600</v>
      </c>
      <c r="H9" s="748">
        <f t="shared" si="0"/>
        <v>1218880</v>
      </c>
      <c r="I9" s="749">
        <f>H9+'[7]کمربند سبز'!V10+'[7]کمربند سبز'!Z10+'[7]کمربند سبز'!AD10</f>
        <v>1218880</v>
      </c>
      <c r="K9" s="750">
        <f>I9-E15</f>
        <v>282299.91341991338</v>
      </c>
    </row>
    <row r="10" spans="2:11" ht="14.25" customHeight="1" x14ac:dyDescent="0.35">
      <c r="B10" s="747" t="s">
        <v>340</v>
      </c>
      <c r="C10" s="747" t="s">
        <v>350</v>
      </c>
      <c r="D10" s="748">
        <v>20800580</v>
      </c>
    </row>
    <row r="11" spans="2:11" ht="14.25" customHeight="1" x14ac:dyDescent="0.35">
      <c r="B11" s="747" t="s">
        <v>340</v>
      </c>
      <c r="C11" s="747" t="s">
        <v>351</v>
      </c>
      <c r="D11" s="748">
        <v>100000</v>
      </c>
    </row>
    <row r="12" spans="2:11" ht="14.25" customHeight="1" x14ac:dyDescent="0.35">
      <c r="B12" s="747" t="s">
        <v>340</v>
      </c>
      <c r="C12" s="747" t="s">
        <v>352</v>
      </c>
      <c r="D12" s="748">
        <v>1343125</v>
      </c>
      <c r="E12" s="749">
        <f>SUM(D3:D12)</f>
        <v>33221580</v>
      </c>
    </row>
    <row r="13" spans="2:11" ht="14.25" customHeight="1" x14ac:dyDescent="0.35">
      <c r="B13" s="747" t="s">
        <v>347</v>
      </c>
      <c r="C13" s="747" t="s">
        <v>353</v>
      </c>
      <c r="D13" s="748">
        <v>2050000</v>
      </c>
      <c r="E13" s="749">
        <f>D13</f>
        <v>2050000</v>
      </c>
    </row>
    <row r="14" spans="2:11" ht="14.25" customHeight="1" x14ac:dyDescent="0.35">
      <c r="B14" s="747" t="s">
        <v>349</v>
      </c>
      <c r="C14" s="747" t="s">
        <v>354</v>
      </c>
      <c r="D14" s="748">
        <v>86580.086580086601</v>
      </c>
    </row>
    <row r="15" spans="2:11" ht="14.25" customHeight="1" x14ac:dyDescent="0.35">
      <c r="B15" s="747" t="s">
        <v>349</v>
      </c>
      <c r="C15" s="747" t="s">
        <v>355</v>
      </c>
      <c r="D15" s="748">
        <v>850000</v>
      </c>
      <c r="E15" s="749">
        <f>SUM(D14:D15)</f>
        <v>936580.08658008662</v>
      </c>
    </row>
    <row r="16" spans="2:11" ht="14.25" customHeight="1" x14ac:dyDescent="0.35">
      <c r="C16" s="747"/>
      <c r="D16" s="748"/>
    </row>
    <row r="17" spans="4:11" ht="14.25" customHeight="1" x14ac:dyDescent="0.35">
      <c r="D17" s="750">
        <f>SUM(D3:D16)</f>
        <v>36208160.08658009</v>
      </c>
      <c r="F17" s="751">
        <f>H17/D17</f>
        <v>0.69791308753536829</v>
      </c>
      <c r="H17" s="750">
        <f>SUM(H3:H16)</f>
        <v>25270148.800000001</v>
      </c>
      <c r="K17" s="750">
        <f>SUM(K3:K16)</f>
        <v>-10937056.286580086</v>
      </c>
    </row>
    <row r="18" spans="4:11" ht="14.25" customHeight="1" x14ac:dyDescent="0.35">
      <c r="D18" s="752">
        <f>D17/10000</f>
        <v>3620.8160086580092</v>
      </c>
      <c r="H18" s="752">
        <f>H17/10000</f>
        <v>2527.0148800000002</v>
      </c>
      <c r="K18" s="752">
        <f>K17/10000</f>
        <v>-1093.7056286580087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39EE-AEB4-4A5C-B5C0-C9FFA455B4CE}">
  <dimension ref="A1:AN44"/>
  <sheetViews>
    <sheetView rightToLeft="1" topLeftCell="N1" zoomScale="85" zoomScaleNormal="85" workbookViewId="0">
      <selection activeCell="X24" sqref="X24:AB24"/>
    </sheetView>
  </sheetViews>
  <sheetFormatPr defaultColWidth="8.81640625" defaultRowHeight="18.5" x14ac:dyDescent="0.35"/>
  <cols>
    <col min="1" max="1" width="21.7265625" style="62" bestFit="1" customWidth="1"/>
    <col min="2" max="2" width="8.81640625" style="62"/>
    <col min="3" max="3" width="10.81640625" style="62" bestFit="1" customWidth="1"/>
    <col min="4" max="4" width="8.7265625" style="62" bestFit="1" customWidth="1"/>
    <col min="5" max="5" width="10.81640625" style="62" bestFit="1" customWidth="1"/>
    <col min="6" max="6" width="9.26953125" style="62" bestFit="1" customWidth="1"/>
    <col min="7" max="7" width="10.81640625" style="62" bestFit="1" customWidth="1"/>
    <col min="8" max="8" width="13.54296875" style="62" bestFit="1" customWidth="1"/>
    <col min="9" max="9" width="12.7265625" style="62" bestFit="1" customWidth="1"/>
    <col min="10" max="10" width="11.453125" style="62" bestFit="1" customWidth="1"/>
    <col min="11" max="11" width="6" style="62" bestFit="1" customWidth="1"/>
    <col min="12" max="12" width="25.26953125" style="62" bestFit="1" customWidth="1"/>
    <col min="13" max="13" width="8.26953125" style="62" bestFit="1" customWidth="1"/>
    <col min="14" max="14" width="10.26953125" style="62" bestFit="1" customWidth="1"/>
    <col min="15" max="15" width="7.7265625" style="62" bestFit="1" customWidth="1"/>
    <col min="16" max="16" width="8.26953125" style="62" bestFit="1" customWidth="1"/>
    <col min="17" max="17" width="12.453125" style="62" bestFit="1" customWidth="1"/>
    <col min="18" max="18" width="8" style="62" bestFit="1" customWidth="1"/>
    <col min="19" max="19" width="8.453125" style="62" hidden="1" customWidth="1"/>
    <col min="20" max="20" width="8.26953125" style="62" hidden="1" customWidth="1"/>
    <col min="21" max="21" width="9.81640625" style="62" bestFit="1" customWidth="1"/>
    <col min="22" max="23" width="3.7265625" style="62" customWidth="1"/>
    <col min="24" max="24" width="12.453125" style="62" bestFit="1" customWidth="1"/>
    <col min="25" max="25" width="14.1796875" style="62" bestFit="1" customWidth="1"/>
    <col min="26" max="26" width="13.26953125" style="62" bestFit="1" customWidth="1"/>
    <col min="27" max="27" width="13.1796875" style="62" bestFit="1" customWidth="1"/>
    <col min="28" max="28" width="12.7265625" style="62" bestFit="1" customWidth="1"/>
    <col min="29" max="29" width="8.81640625" style="62"/>
    <col min="30" max="30" width="12.453125" style="62" bestFit="1" customWidth="1"/>
    <col min="31" max="34" width="9.54296875" style="62" customWidth="1"/>
    <col min="35" max="35" width="8.81640625" style="62"/>
    <col min="36" max="36" width="12.453125" style="62" bestFit="1" customWidth="1"/>
    <col min="37" max="37" width="12" style="62" bestFit="1" customWidth="1"/>
    <col min="38" max="38" width="11" style="62" bestFit="1" customWidth="1"/>
    <col min="39" max="39" width="11.1796875" style="62" bestFit="1" customWidth="1"/>
    <col min="40" max="40" width="12" style="62" bestFit="1" customWidth="1"/>
    <col min="41" max="41" width="8.81640625" style="62"/>
    <col min="42" max="42" width="9.7265625" style="62" bestFit="1" customWidth="1"/>
    <col min="43" max="43" width="8.54296875" style="62" bestFit="1" customWidth="1"/>
    <col min="44" max="44" width="9.26953125" style="62" bestFit="1" customWidth="1"/>
    <col min="45" max="45" width="8.26953125" style="62" bestFit="1" customWidth="1"/>
    <col min="46" max="46" width="8.7265625" style="62" bestFit="1" customWidth="1"/>
    <col min="47" max="16384" width="8.81640625" style="62"/>
  </cols>
  <sheetData>
    <row r="1" spans="1:40" ht="8.25" customHeight="1" x14ac:dyDescent="0.35"/>
    <row r="2" spans="1:40" ht="8.25" customHeight="1" x14ac:dyDescent="0.35"/>
    <row r="3" spans="1:40" ht="8.25" customHeight="1" x14ac:dyDescent="0.35"/>
    <row r="4" spans="1:40" ht="8.25" customHeight="1" thickBot="1" x14ac:dyDescent="0.4"/>
    <row r="5" spans="1:40" ht="28" x14ac:dyDescent="0.35">
      <c r="Q5" s="1201" t="s">
        <v>139</v>
      </c>
      <c r="R5" s="1202"/>
      <c r="S5" s="1202"/>
      <c r="T5" s="1202"/>
      <c r="U5" s="1203"/>
      <c r="X5" s="1201" t="s">
        <v>140</v>
      </c>
      <c r="Y5" s="1202"/>
      <c r="Z5" s="1202"/>
      <c r="AA5" s="1202"/>
      <c r="AB5" s="1203"/>
      <c r="AD5" s="1201" t="s">
        <v>141</v>
      </c>
      <c r="AE5" s="1202"/>
      <c r="AF5" s="1202"/>
      <c r="AG5" s="1202"/>
      <c r="AH5" s="1203"/>
      <c r="AJ5" s="1201" t="s">
        <v>142</v>
      </c>
      <c r="AK5" s="1202"/>
      <c r="AL5" s="1202"/>
      <c r="AM5" s="1202"/>
      <c r="AN5" s="1203"/>
    </row>
    <row r="6" spans="1:40" ht="20" x14ac:dyDescent="0.35">
      <c r="A6" s="62" t="s">
        <v>30</v>
      </c>
      <c r="B6" s="62" t="s">
        <v>31</v>
      </c>
      <c r="C6" s="62" t="s">
        <v>32</v>
      </c>
      <c r="D6" s="63" t="s">
        <v>33</v>
      </c>
      <c r="E6" s="62" t="s">
        <v>34</v>
      </c>
      <c r="F6" s="62" t="s">
        <v>35</v>
      </c>
      <c r="G6" s="62" t="s">
        <v>36</v>
      </c>
      <c r="H6" s="62" t="s">
        <v>37</v>
      </c>
      <c r="I6" s="62" t="s">
        <v>38</v>
      </c>
      <c r="J6" s="62" t="s">
        <v>39</v>
      </c>
      <c r="L6" s="201"/>
      <c r="M6" s="201"/>
      <c r="N6" s="201"/>
      <c r="O6" s="201"/>
      <c r="P6" s="201"/>
      <c r="Q6" s="65" t="s">
        <v>40</v>
      </c>
      <c r="R6" s="66">
        <v>1399</v>
      </c>
      <c r="S6" s="66">
        <v>1405</v>
      </c>
      <c r="T6" s="66">
        <v>1410</v>
      </c>
      <c r="U6" s="67">
        <v>1425</v>
      </c>
      <c r="V6" s="201"/>
      <c r="W6" s="201"/>
      <c r="X6" s="65" t="str">
        <f>Q6</f>
        <v>سال/نام منطقه</v>
      </c>
      <c r="Y6" s="66">
        <f>R6</f>
        <v>1399</v>
      </c>
      <c r="Z6" s="66">
        <f>S6</f>
        <v>1405</v>
      </c>
      <c r="AA6" s="66">
        <f>T6</f>
        <v>1410</v>
      </c>
      <c r="AB6" s="67">
        <f>U6</f>
        <v>1425</v>
      </c>
      <c r="AD6" s="65" t="str">
        <f>Q6</f>
        <v>سال/نام منطقه</v>
      </c>
      <c r="AE6" s="66">
        <f>R6</f>
        <v>1399</v>
      </c>
      <c r="AF6" s="66">
        <f>S6</f>
        <v>1405</v>
      </c>
      <c r="AG6" s="66">
        <f>T6</f>
        <v>1410</v>
      </c>
      <c r="AH6" s="67">
        <f>U6</f>
        <v>1425</v>
      </c>
      <c r="AJ6" s="65" t="str">
        <f>Q6</f>
        <v>سال/نام منطقه</v>
      </c>
      <c r="AK6" s="66">
        <f>R6</f>
        <v>1399</v>
      </c>
      <c r="AL6" s="66">
        <f>S6</f>
        <v>1405</v>
      </c>
      <c r="AM6" s="66">
        <f>T6</f>
        <v>1410</v>
      </c>
      <c r="AN6" s="67">
        <f>U6</f>
        <v>1425</v>
      </c>
    </row>
    <row r="7" spans="1:40" ht="20" x14ac:dyDescent="0.35">
      <c r="A7" s="62" t="s">
        <v>41</v>
      </c>
      <c r="B7" s="62">
        <v>109.19999999999999</v>
      </c>
      <c r="C7" s="63">
        <f t="shared" ref="C7:C22" si="0">D7*$K$30*1000/(31*24*3600)</f>
        <v>50.07067544056153</v>
      </c>
      <c r="D7" s="63">
        <v>42.587899999999998</v>
      </c>
      <c r="E7" s="63">
        <f t="shared" ref="E7:E22" si="1">F7*$K$30*1000/(31*24*3600)</f>
        <v>55.257989844683394</v>
      </c>
      <c r="F7" s="62">
        <f>S7</f>
        <v>47</v>
      </c>
      <c r="G7" s="63">
        <f t="shared" ref="G7:G21" si="2">H7*$K$30*1000/(31*24*3600)</f>
        <v>61.136499402628438</v>
      </c>
      <c r="H7" s="62">
        <f>T7</f>
        <v>52</v>
      </c>
      <c r="I7" s="63">
        <f t="shared" ref="I7:I22" si="3">J7*$K$30*1000/(31*24*3600)</f>
        <v>57.609393667861411</v>
      </c>
      <c r="J7" s="62">
        <f t="shared" ref="J7:J22" si="4">U7</f>
        <v>49</v>
      </c>
      <c r="Q7" s="70" t="s">
        <v>42</v>
      </c>
      <c r="R7" s="71">
        <v>49</v>
      </c>
      <c r="S7" s="72">
        <f>INT($D7*(1+$M$17/100)^M$21)</f>
        <v>47</v>
      </c>
      <c r="T7" s="72">
        <f>INT($D7*(1+$M$17/100)^N$21)</f>
        <v>52</v>
      </c>
      <c r="U7" s="71">
        <v>49</v>
      </c>
      <c r="X7" s="65" t="str">
        <f t="shared" ref="X7:X22" si="5">Q7</f>
        <v>منطقه 1</v>
      </c>
      <c r="Y7" s="74">
        <f t="shared" ref="Y7:AB19" si="6">R7*$K$30</f>
        <v>154301</v>
      </c>
      <c r="Z7" s="74">
        <f t="shared" si="6"/>
        <v>148003</v>
      </c>
      <c r="AA7" s="74">
        <f t="shared" si="6"/>
        <v>163748</v>
      </c>
      <c r="AB7" s="74">
        <f t="shared" si="6"/>
        <v>154301</v>
      </c>
      <c r="AD7" s="65" t="str">
        <f t="shared" ref="AD7:AD22" si="7">Q7</f>
        <v>منطقه 1</v>
      </c>
      <c r="AE7" s="323">
        <f>Y7*1000/(31*24*3600)</f>
        <v>57.609393667861411</v>
      </c>
      <c r="AF7" s="323">
        <f t="shared" ref="AF7:AH22" si="8">Z7*1000/(31*24*3600)</f>
        <v>55.257989844683394</v>
      </c>
      <c r="AG7" s="323">
        <f t="shared" si="8"/>
        <v>61.136499402628438</v>
      </c>
      <c r="AH7" s="324">
        <f t="shared" si="8"/>
        <v>57.609393667861411</v>
      </c>
      <c r="AJ7" s="65" t="str">
        <f t="shared" ref="AJ7:AJ22" si="9">Q7</f>
        <v>منطقه 1</v>
      </c>
      <c r="AK7" s="81">
        <f t="shared" ref="AK7:AN19" si="10">R7*$K$36/10^6</f>
        <v>0.65659999999999996</v>
      </c>
      <c r="AL7" s="81">
        <f t="shared" si="10"/>
        <v>0.62980000000000003</v>
      </c>
      <c r="AM7" s="81">
        <f t="shared" si="10"/>
        <v>0.69679999999999997</v>
      </c>
      <c r="AN7" s="82">
        <f t="shared" si="10"/>
        <v>0.65659999999999996</v>
      </c>
    </row>
    <row r="8" spans="1:40" ht="20" x14ac:dyDescent="0.35">
      <c r="A8" s="62" t="s">
        <v>43</v>
      </c>
      <c r="B8" s="62">
        <v>253.79999999999998</v>
      </c>
      <c r="C8" s="63">
        <f t="shared" si="0"/>
        <v>147.17271931003583</v>
      </c>
      <c r="D8" s="63">
        <v>125.1786</v>
      </c>
      <c r="E8" s="63">
        <f t="shared" si="1"/>
        <v>164.59826762246118</v>
      </c>
      <c r="F8" s="62">
        <f t="shared" ref="F8:F21" si="11">S8</f>
        <v>140</v>
      </c>
      <c r="G8" s="63">
        <f t="shared" si="2"/>
        <v>182.2337962962963</v>
      </c>
      <c r="H8" s="62">
        <f t="shared" ref="H8:H21" si="12">T8</f>
        <v>155</v>
      </c>
      <c r="I8" s="63">
        <f t="shared" si="3"/>
        <v>174.00388291517325</v>
      </c>
      <c r="J8" s="62">
        <f t="shared" si="4"/>
        <v>148</v>
      </c>
      <c r="Q8" s="70" t="s">
        <v>44</v>
      </c>
      <c r="R8" s="71">
        <v>148</v>
      </c>
      <c r="S8" s="72">
        <f t="shared" ref="S8:T22" si="13">INT($D8*(1+$M$17/100)^M$21)</f>
        <v>140</v>
      </c>
      <c r="T8" s="72">
        <f t="shared" si="13"/>
        <v>155</v>
      </c>
      <c r="U8" s="71">
        <v>148</v>
      </c>
      <c r="X8" s="65" t="str">
        <f t="shared" si="5"/>
        <v>منطقه 2</v>
      </c>
      <c r="Y8" s="74">
        <f t="shared" si="6"/>
        <v>466052</v>
      </c>
      <c r="Z8" s="74">
        <f t="shared" si="6"/>
        <v>440860</v>
      </c>
      <c r="AA8" s="74">
        <f t="shared" si="6"/>
        <v>488095</v>
      </c>
      <c r="AB8" s="75">
        <f t="shared" si="6"/>
        <v>466052</v>
      </c>
      <c r="AD8" s="65" t="str">
        <f t="shared" si="7"/>
        <v>منطقه 2</v>
      </c>
      <c r="AE8" s="323">
        <f t="shared" ref="AE8:AE22" si="14">Y8*1000/(31*24*3600)</f>
        <v>174.00388291517325</v>
      </c>
      <c r="AF8" s="323">
        <f t="shared" si="8"/>
        <v>164.59826762246118</v>
      </c>
      <c r="AG8" s="323">
        <f t="shared" si="8"/>
        <v>182.2337962962963</v>
      </c>
      <c r="AH8" s="324">
        <f t="shared" si="8"/>
        <v>174.00388291517325</v>
      </c>
      <c r="AJ8" s="65" t="str">
        <f t="shared" si="9"/>
        <v>منطقه 2</v>
      </c>
      <c r="AK8" s="81">
        <f t="shared" si="10"/>
        <v>1.9832000000000001</v>
      </c>
      <c r="AL8" s="81">
        <f t="shared" si="10"/>
        <v>1.8759999999999999</v>
      </c>
      <c r="AM8" s="81">
        <f t="shared" si="10"/>
        <v>2.077</v>
      </c>
      <c r="AN8" s="82">
        <f t="shared" si="10"/>
        <v>1.9832000000000001</v>
      </c>
    </row>
    <row r="9" spans="1:40" ht="20" x14ac:dyDescent="0.35">
      <c r="A9" s="62" t="s">
        <v>45</v>
      </c>
      <c r="B9" s="62">
        <v>199.04999999999998</v>
      </c>
      <c r="C9" s="63">
        <f t="shared" si="0"/>
        <v>122.2722933841099</v>
      </c>
      <c r="D9" s="63">
        <v>103.99939999999999</v>
      </c>
      <c r="E9" s="63">
        <f t="shared" si="1"/>
        <v>137.55712365591398</v>
      </c>
      <c r="F9" s="62">
        <f t="shared" si="11"/>
        <v>117</v>
      </c>
      <c r="G9" s="63">
        <f t="shared" si="2"/>
        <v>151.66554659498209</v>
      </c>
      <c r="H9" s="62">
        <f t="shared" si="12"/>
        <v>129</v>
      </c>
      <c r="I9" s="63">
        <f t="shared" si="3"/>
        <v>339.77785244922342</v>
      </c>
      <c r="J9" s="62">
        <f t="shared" si="4"/>
        <v>289</v>
      </c>
      <c r="Q9" s="70" t="s">
        <v>46</v>
      </c>
      <c r="R9" s="71">
        <v>289</v>
      </c>
      <c r="S9" s="72">
        <f t="shared" si="13"/>
        <v>117</v>
      </c>
      <c r="T9" s="72">
        <f t="shared" si="13"/>
        <v>129</v>
      </c>
      <c r="U9" s="71">
        <v>289</v>
      </c>
      <c r="X9" s="65" t="str">
        <f t="shared" si="5"/>
        <v>منطقه 3</v>
      </c>
      <c r="Y9" s="74">
        <f t="shared" si="6"/>
        <v>910061</v>
      </c>
      <c r="Z9" s="74">
        <f t="shared" si="6"/>
        <v>368433</v>
      </c>
      <c r="AA9" s="74">
        <f t="shared" si="6"/>
        <v>406221</v>
      </c>
      <c r="AB9" s="75">
        <f t="shared" si="6"/>
        <v>910061</v>
      </c>
      <c r="AD9" s="65" t="str">
        <f t="shared" si="7"/>
        <v>منطقه 3</v>
      </c>
      <c r="AE9" s="323">
        <f t="shared" si="14"/>
        <v>339.77785244922342</v>
      </c>
      <c r="AF9" s="323">
        <f t="shared" si="8"/>
        <v>137.55712365591398</v>
      </c>
      <c r="AG9" s="323">
        <f t="shared" si="8"/>
        <v>151.66554659498209</v>
      </c>
      <c r="AH9" s="324">
        <f t="shared" si="8"/>
        <v>339.77785244922342</v>
      </c>
      <c r="AJ9" s="65" t="str">
        <f t="shared" si="9"/>
        <v>منطقه 3</v>
      </c>
      <c r="AK9" s="81">
        <f t="shared" si="10"/>
        <v>3.8725999999999998</v>
      </c>
      <c r="AL9" s="81">
        <f t="shared" si="10"/>
        <v>1.5678000000000001</v>
      </c>
      <c r="AM9" s="81">
        <f t="shared" si="10"/>
        <v>1.7285999999999999</v>
      </c>
      <c r="AN9" s="82">
        <f t="shared" si="10"/>
        <v>3.8725999999999998</v>
      </c>
    </row>
    <row r="10" spans="1:40" ht="20" x14ac:dyDescent="0.35">
      <c r="A10" s="62" t="s">
        <v>47</v>
      </c>
      <c r="B10" s="62">
        <v>114.60000000000001</v>
      </c>
      <c r="C10" s="63">
        <f t="shared" si="0"/>
        <v>61.292279905913979</v>
      </c>
      <c r="D10" s="63">
        <v>52.1325</v>
      </c>
      <c r="E10" s="63">
        <f t="shared" si="1"/>
        <v>68.190710872162484</v>
      </c>
      <c r="F10" s="62">
        <f t="shared" si="11"/>
        <v>58</v>
      </c>
      <c r="G10" s="63">
        <f t="shared" si="2"/>
        <v>75.244922341696537</v>
      </c>
      <c r="H10" s="62">
        <f t="shared" si="12"/>
        <v>64</v>
      </c>
      <c r="I10" s="63">
        <f t="shared" si="3"/>
        <v>178.70669056152929</v>
      </c>
      <c r="J10" s="62">
        <f t="shared" si="4"/>
        <v>152</v>
      </c>
      <c r="Q10" s="70" t="s">
        <v>48</v>
      </c>
      <c r="R10" s="71">
        <v>152</v>
      </c>
      <c r="S10" s="72">
        <f t="shared" si="13"/>
        <v>58</v>
      </c>
      <c r="T10" s="72">
        <f t="shared" si="13"/>
        <v>64</v>
      </c>
      <c r="U10" s="71">
        <v>152</v>
      </c>
      <c r="X10" s="65" t="str">
        <f t="shared" si="5"/>
        <v>منطقه 4</v>
      </c>
      <c r="Y10" s="74">
        <f t="shared" si="6"/>
        <v>478648</v>
      </c>
      <c r="Z10" s="74">
        <f t="shared" si="6"/>
        <v>182642</v>
      </c>
      <c r="AA10" s="74">
        <f t="shared" si="6"/>
        <v>201536</v>
      </c>
      <c r="AB10" s="75">
        <f t="shared" si="6"/>
        <v>478648</v>
      </c>
      <c r="AD10" s="65" t="str">
        <f t="shared" si="7"/>
        <v>منطقه 4</v>
      </c>
      <c r="AE10" s="323">
        <f t="shared" si="14"/>
        <v>178.70669056152929</v>
      </c>
      <c r="AF10" s="323">
        <f t="shared" si="8"/>
        <v>68.190710872162484</v>
      </c>
      <c r="AG10" s="323">
        <f t="shared" si="8"/>
        <v>75.244922341696537</v>
      </c>
      <c r="AH10" s="324">
        <f t="shared" si="8"/>
        <v>178.70669056152929</v>
      </c>
      <c r="AJ10" s="65" t="str">
        <f t="shared" si="9"/>
        <v>منطقه 4</v>
      </c>
      <c r="AK10" s="81">
        <f t="shared" si="10"/>
        <v>2.0367999999999999</v>
      </c>
      <c r="AL10" s="81">
        <f t="shared" si="10"/>
        <v>0.7772</v>
      </c>
      <c r="AM10" s="81">
        <f t="shared" si="10"/>
        <v>0.85760000000000003</v>
      </c>
      <c r="AN10" s="82">
        <f t="shared" si="10"/>
        <v>2.0367999999999999</v>
      </c>
    </row>
    <row r="11" spans="1:40" ht="20" x14ac:dyDescent="0.35">
      <c r="A11" s="62" t="s">
        <v>49</v>
      </c>
      <c r="B11" s="62">
        <v>119.25</v>
      </c>
      <c r="C11" s="63">
        <f t="shared" si="0"/>
        <v>52.530126269414581</v>
      </c>
      <c r="D11" s="63">
        <v>44.6798</v>
      </c>
      <c r="E11" s="63">
        <f t="shared" si="1"/>
        <v>58.78509557945042</v>
      </c>
      <c r="F11" s="62">
        <f t="shared" si="11"/>
        <v>50</v>
      </c>
      <c r="G11" s="63">
        <f t="shared" si="2"/>
        <v>64.663605137395464</v>
      </c>
      <c r="H11" s="62">
        <f t="shared" si="12"/>
        <v>55</v>
      </c>
      <c r="I11" s="63">
        <f t="shared" si="3"/>
        <v>268.06003584229393</v>
      </c>
      <c r="J11" s="62">
        <f t="shared" si="4"/>
        <v>228</v>
      </c>
      <c r="Q11" s="70" t="s">
        <v>50</v>
      </c>
      <c r="R11" s="71">
        <v>228</v>
      </c>
      <c r="S11" s="72">
        <f t="shared" si="13"/>
        <v>50</v>
      </c>
      <c r="T11" s="72">
        <f t="shared" si="13"/>
        <v>55</v>
      </c>
      <c r="U11" s="71">
        <v>228</v>
      </c>
      <c r="X11" s="65" t="str">
        <f t="shared" si="5"/>
        <v>منطقه 5</v>
      </c>
      <c r="Y11" s="74">
        <f t="shared" si="6"/>
        <v>717972</v>
      </c>
      <c r="Z11" s="74">
        <f t="shared" si="6"/>
        <v>157450</v>
      </c>
      <c r="AA11" s="74">
        <f t="shared" si="6"/>
        <v>173195</v>
      </c>
      <c r="AB11" s="75">
        <f t="shared" si="6"/>
        <v>717972</v>
      </c>
      <c r="AD11" s="65" t="str">
        <f t="shared" si="7"/>
        <v>منطقه 5</v>
      </c>
      <c r="AE11" s="323">
        <f t="shared" si="14"/>
        <v>268.06003584229393</v>
      </c>
      <c r="AF11" s="323">
        <f t="shared" si="8"/>
        <v>58.78509557945042</v>
      </c>
      <c r="AG11" s="323">
        <f t="shared" si="8"/>
        <v>64.663605137395464</v>
      </c>
      <c r="AH11" s="324">
        <f t="shared" si="8"/>
        <v>268.06003584229393</v>
      </c>
      <c r="AJ11" s="65" t="str">
        <f t="shared" si="9"/>
        <v>منطقه 5</v>
      </c>
      <c r="AK11" s="81">
        <f t="shared" si="10"/>
        <v>3.0552000000000001</v>
      </c>
      <c r="AL11" s="81">
        <f t="shared" si="10"/>
        <v>0.67</v>
      </c>
      <c r="AM11" s="81">
        <f t="shared" si="10"/>
        <v>0.73699999999999999</v>
      </c>
      <c r="AN11" s="82">
        <f t="shared" si="10"/>
        <v>3.0552000000000001</v>
      </c>
    </row>
    <row r="12" spans="1:40" ht="20" x14ac:dyDescent="0.35">
      <c r="A12" s="62" t="s">
        <v>51</v>
      </c>
      <c r="B12" s="62">
        <v>168.60000000000002</v>
      </c>
      <c r="C12" s="63">
        <f t="shared" si="0"/>
        <v>93.701796370967742</v>
      </c>
      <c r="D12" s="63">
        <v>79.698599999999999</v>
      </c>
      <c r="E12" s="63">
        <f t="shared" si="1"/>
        <v>104.63747013142175</v>
      </c>
      <c r="F12" s="62">
        <f t="shared" si="11"/>
        <v>89</v>
      </c>
      <c r="G12" s="63">
        <f t="shared" si="2"/>
        <v>116.39448924731182</v>
      </c>
      <c r="H12" s="62">
        <f t="shared" si="12"/>
        <v>99</v>
      </c>
      <c r="I12" s="63">
        <f t="shared" si="3"/>
        <v>316.26381421744327</v>
      </c>
      <c r="J12" s="62">
        <f t="shared" si="4"/>
        <v>269</v>
      </c>
      <c r="Q12" s="70" t="s">
        <v>52</v>
      </c>
      <c r="R12" s="71">
        <v>269</v>
      </c>
      <c r="S12" s="72">
        <f t="shared" si="13"/>
        <v>89</v>
      </c>
      <c r="T12" s="72">
        <f t="shared" si="13"/>
        <v>99</v>
      </c>
      <c r="U12" s="71">
        <v>269</v>
      </c>
      <c r="X12" s="65" t="str">
        <f t="shared" si="5"/>
        <v>منطقه 6</v>
      </c>
      <c r="Y12" s="74">
        <f t="shared" si="6"/>
        <v>847081</v>
      </c>
      <c r="Z12" s="74">
        <f t="shared" si="6"/>
        <v>280261</v>
      </c>
      <c r="AA12" s="74">
        <f t="shared" si="6"/>
        <v>311751</v>
      </c>
      <c r="AB12" s="75">
        <f t="shared" si="6"/>
        <v>847081</v>
      </c>
      <c r="AD12" s="65" t="str">
        <f t="shared" si="7"/>
        <v>منطقه 6</v>
      </c>
      <c r="AE12" s="323">
        <f t="shared" si="14"/>
        <v>316.26381421744327</v>
      </c>
      <c r="AF12" s="323">
        <f t="shared" si="8"/>
        <v>104.63747013142175</v>
      </c>
      <c r="AG12" s="323">
        <f t="shared" si="8"/>
        <v>116.39448924731182</v>
      </c>
      <c r="AH12" s="324">
        <f t="shared" si="8"/>
        <v>316.26381421744327</v>
      </c>
      <c r="AJ12" s="65" t="str">
        <f t="shared" si="9"/>
        <v>منطقه 6</v>
      </c>
      <c r="AK12" s="81">
        <f t="shared" si="10"/>
        <v>3.6046</v>
      </c>
      <c r="AL12" s="81">
        <f t="shared" si="10"/>
        <v>1.1926000000000001</v>
      </c>
      <c r="AM12" s="81">
        <f t="shared" si="10"/>
        <v>1.3266</v>
      </c>
      <c r="AN12" s="82">
        <f t="shared" si="10"/>
        <v>3.6046</v>
      </c>
    </row>
    <row r="13" spans="1:40" ht="20" x14ac:dyDescent="0.35">
      <c r="A13" s="62" t="s">
        <v>53</v>
      </c>
      <c r="B13" s="62">
        <v>364.35</v>
      </c>
      <c r="C13" s="63">
        <f t="shared" si="0"/>
        <v>622.69499820788531</v>
      </c>
      <c r="D13" s="63">
        <v>529.63679999999999</v>
      </c>
      <c r="E13" s="63">
        <f t="shared" si="1"/>
        <v>700.71833930704895</v>
      </c>
      <c r="F13" s="62">
        <f t="shared" si="11"/>
        <v>596</v>
      </c>
      <c r="G13" s="63">
        <f t="shared" si="2"/>
        <v>773.61185782556754</v>
      </c>
      <c r="H13" s="62">
        <f t="shared" si="12"/>
        <v>658</v>
      </c>
      <c r="I13" s="63">
        <f t="shared" si="3"/>
        <v>993.46811529271201</v>
      </c>
      <c r="J13" s="62">
        <f t="shared" si="4"/>
        <v>845</v>
      </c>
      <c r="Q13" s="70" t="s">
        <v>54</v>
      </c>
      <c r="R13" s="71">
        <v>845</v>
      </c>
      <c r="S13" s="72">
        <f t="shared" si="13"/>
        <v>596</v>
      </c>
      <c r="T13" s="72">
        <f t="shared" si="13"/>
        <v>658</v>
      </c>
      <c r="U13" s="71">
        <v>845</v>
      </c>
      <c r="X13" s="65" t="str">
        <f t="shared" si="5"/>
        <v>منطقه 7</v>
      </c>
      <c r="Y13" s="74">
        <f t="shared" si="6"/>
        <v>2660905</v>
      </c>
      <c r="Z13" s="74">
        <f t="shared" si="6"/>
        <v>1876804</v>
      </c>
      <c r="AA13" s="74">
        <f t="shared" si="6"/>
        <v>2072042</v>
      </c>
      <c r="AB13" s="75">
        <f t="shared" si="6"/>
        <v>2660905</v>
      </c>
      <c r="AD13" s="65" t="str">
        <f t="shared" si="7"/>
        <v>منطقه 7</v>
      </c>
      <c r="AE13" s="323">
        <f t="shared" si="14"/>
        <v>993.46811529271201</v>
      </c>
      <c r="AF13" s="323">
        <f t="shared" si="8"/>
        <v>700.71833930704895</v>
      </c>
      <c r="AG13" s="323">
        <f t="shared" si="8"/>
        <v>773.61185782556754</v>
      </c>
      <c r="AH13" s="324">
        <f t="shared" si="8"/>
        <v>993.46811529271201</v>
      </c>
      <c r="AJ13" s="65" t="str">
        <f t="shared" si="9"/>
        <v>منطقه 7</v>
      </c>
      <c r="AK13" s="81">
        <f t="shared" si="10"/>
        <v>11.323</v>
      </c>
      <c r="AL13" s="81">
        <f t="shared" si="10"/>
        <v>7.9863999999999997</v>
      </c>
      <c r="AM13" s="81">
        <f t="shared" si="10"/>
        <v>8.8171999999999997</v>
      </c>
      <c r="AN13" s="82">
        <f t="shared" si="10"/>
        <v>11.323</v>
      </c>
    </row>
    <row r="14" spans="1:40" ht="20" x14ac:dyDescent="0.35">
      <c r="A14" s="62" t="s">
        <v>55</v>
      </c>
      <c r="B14" s="62">
        <v>140.10000000000002</v>
      </c>
      <c r="C14" s="63">
        <f t="shared" si="0"/>
        <v>130.82364366786143</v>
      </c>
      <c r="D14" s="63">
        <v>111.2728</v>
      </c>
      <c r="E14" s="63">
        <f t="shared" si="1"/>
        <v>146.96273894862605</v>
      </c>
      <c r="F14" s="62">
        <f t="shared" si="11"/>
        <v>125</v>
      </c>
      <c r="G14" s="63">
        <f t="shared" si="2"/>
        <v>162.24686379928315</v>
      </c>
      <c r="H14" s="62">
        <f t="shared" si="12"/>
        <v>138</v>
      </c>
      <c r="I14" s="63">
        <f t="shared" si="3"/>
        <v>363.29189068100357</v>
      </c>
      <c r="J14" s="62">
        <f t="shared" si="4"/>
        <v>309</v>
      </c>
      <c r="Q14" s="70" t="s">
        <v>56</v>
      </c>
      <c r="R14" s="71">
        <v>309</v>
      </c>
      <c r="S14" s="72">
        <f t="shared" si="13"/>
        <v>125</v>
      </c>
      <c r="T14" s="72">
        <f t="shared" si="13"/>
        <v>138</v>
      </c>
      <c r="U14" s="71">
        <v>309</v>
      </c>
      <c r="X14" s="65" t="str">
        <f t="shared" si="5"/>
        <v>منطقه 8</v>
      </c>
      <c r="Y14" s="74">
        <f t="shared" si="6"/>
        <v>973041</v>
      </c>
      <c r="Z14" s="74">
        <f t="shared" si="6"/>
        <v>393625</v>
      </c>
      <c r="AA14" s="74">
        <f t="shared" si="6"/>
        <v>434562</v>
      </c>
      <c r="AB14" s="75">
        <f t="shared" si="6"/>
        <v>973041</v>
      </c>
      <c r="AD14" s="65" t="str">
        <f t="shared" si="7"/>
        <v>منطقه 8</v>
      </c>
      <c r="AE14" s="323">
        <f t="shared" si="14"/>
        <v>363.29189068100357</v>
      </c>
      <c r="AF14" s="323">
        <f t="shared" si="8"/>
        <v>146.96273894862605</v>
      </c>
      <c r="AG14" s="323">
        <f t="shared" si="8"/>
        <v>162.24686379928315</v>
      </c>
      <c r="AH14" s="324">
        <f t="shared" si="8"/>
        <v>363.29189068100357</v>
      </c>
      <c r="AJ14" s="65" t="str">
        <f t="shared" si="9"/>
        <v>منطقه 8</v>
      </c>
      <c r="AK14" s="81">
        <f t="shared" si="10"/>
        <v>4.1406000000000001</v>
      </c>
      <c r="AL14" s="81">
        <f t="shared" si="10"/>
        <v>1.675</v>
      </c>
      <c r="AM14" s="81">
        <f t="shared" si="10"/>
        <v>1.8492</v>
      </c>
      <c r="AN14" s="82">
        <f t="shared" si="10"/>
        <v>4.1406000000000001</v>
      </c>
    </row>
    <row r="15" spans="1:40" ht="20" x14ac:dyDescent="0.35">
      <c r="A15" s="62" t="s">
        <v>57</v>
      </c>
      <c r="B15" s="62">
        <v>462.90000000000003</v>
      </c>
      <c r="C15" s="63">
        <f t="shared" si="0"/>
        <v>462.67220971475518</v>
      </c>
      <c r="D15" s="63">
        <v>393.52850000000001</v>
      </c>
      <c r="E15" s="63">
        <f t="shared" si="1"/>
        <v>520.83594683393073</v>
      </c>
      <c r="F15" s="62">
        <f t="shared" si="11"/>
        <v>443</v>
      </c>
      <c r="G15" s="63">
        <f t="shared" si="2"/>
        <v>574.91823476702507</v>
      </c>
      <c r="H15" s="62">
        <f t="shared" si="12"/>
        <v>489</v>
      </c>
      <c r="I15" s="63">
        <f t="shared" si="3"/>
        <v>565.51261947431306</v>
      </c>
      <c r="J15" s="62">
        <f t="shared" si="4"/>
        <v>481</v>
      </c>
      <c r="N15" s="62">
        <v>1</v>
      </c>
      <c r="Q15" s="707" t="s">
        <v>58</v>
      </c>
      <c r="R15" s="708">
        <v>481</v>
      </c>
      <c r="S15" s="709">
        <f t="shared" si="13"/>
        <v>443</v>
      </c>
      <c r="T15" s="709">
        <f t="shared" si="13"/>
        <v>489</v>
      </c>
      <c r="U15" s="708">
        <v>481</v>
      </c>
      <c r="V15" s="710"/>
      <c r="W15" s="710"/>
      <c r="X15" s="121" t="str">
        <f t="shared" si="5"/>
        <v>منطقه 9</v>
      </c>
      <c r="Y15" s="711">
        <f t="shared" si="6"/>
        <v>1514669</v>
      </c>
      <c r="Z15" s="711">
        <f t="shared" si="6"/>
        <v>1395007</v>
      </c>
      <c r="AA15" s="711">
        <f t="shared" si="6"/>
        <v>1539861</v>
      </c>
      <c r="AB15" s="712">
        <f t="shared" si="6"/>
        <v>1514669</v>
      </c>
      <c r="AD15" s="121" t="str">
        <f t="shared" si="7"/>
        <v>منطقه 9</v>
      </c>
      <c r="AE15" s="713">
        <f t="shared" si="14"/>
        <v>565.51261947431306</v>
      </c>
      <c r="AF15" s="713">
        <f t="shared" si="8"/>
        <v>520.83594683393073</v>
      </c>
      <c r="AG15" s="713">
        <f t="shared" si="8"/>
        <v>574.91823476702507</v>
      </c>
      <c r="AH15" s="714">
        <f t="shared" si="8"/>
        <v>565.51261947431306</v>
      </c>
      <c r="AJ15" s="65" t="str">
        <f t="shared" si="9"/>
        <v>منطقه 9</v>
      </c>
      <c r="AK15" s="81">
        <f t="shared" si="10"/>
        <v>6.4454000000000002</v>
      </c>
      <c r="AL15" s="81">
        <f t="shared" si="10"/>
        <v>5.9362000000000004</v>
      </c>
      <c r="AM15" s="81">
        <f t="shared" si="10"/>
        <v>6.5526</v>
      </c>
      <c r="AN15" s="82">
        <f t="shared" si="10"/>
        <v>6.4454000000000002</v>
      </c>
    </row>
    <row r="16" spans="1:40" ht="20" x14ac:dyDescent="0.35">
      <c r="A16" s="62" t="s">
        <v>59</v>
      </c>
      <c r="B16" s="62">
        <v>273.14999999999998</v>
      </c>
      <c r="C16" s="63">
        <f t="shared" si="0"/>
        <v>180.44849294354842</v>
      </c>
      <c r="D16" s="63">
        <v>153.48150000000001</v>
      </c>
      <c r="E16" s="63">
        <f t="shared" si="1"/>
        <v>202.22072879330943</v>
      </c>
      <c r="F16" s="62">
        <f t="shared" si="11"/>
        <v>172</v>
      </c>
      <c r="G16" s="63">
        <f t="shared" si="2"/>
        <v>223.38336320191158</v>
      </c>
      <c r="H16" s="62">
        <f t="shared" si="12"/>
        <v>190</v>
      </c>
      <c r="I16" s="63">
        <f t="shared" si="3"/>
        <v>263.35722819593786</v>
      </c>
      <c r="J16" s="62">
        <f t="shared" si="4"/>
        <v>224</v>
      </c>
      <c r="M16" s="1204" t="s">
        <v>60</v>
      </c>
      <c r="N16" s="1204"/>
      <c r="Q16" s="70" t="s">
        <v>61</v>
      </c>
      <c r="R16" s="71">
        <v>224</v>
      </c>
      <c r="S16" s="72">
        <f t="shared" si="13"/>
        <v>172</v>
      </c>
      <c r="T16" s="72">
        <f t="shared" si="13"/>
        <v>190</v>
      </c>
      <c r="U16" s="71">
        <v>224</v>
      </c>
      <c r="X16" s="65" t="str">
        <f t="shared" si="5"/>
        <v>منطقه 10</v>
      </c>
      <c r="Y16" s="74">
        <f t="shared" si="6"/>
        <v>705376</v>
      </c>
      <c r="Z16" s="74">
        <f t="shared" si="6"/>
        <v>541628</v>
      </c>
      <c r="AA16" s="74">
        <f t="shared" si="6"/>
        <v>598310</v>
      </c>
      <c r="AB16" s="75">
        <f t="shared" si="6"/>
        <v>705376</v>
      </c>
      <c r="AD16" s="65" t="str">
        <f t="shared" si="7"/>
        <v>منطقه 10</v>
      </c>
      <c r="AE16" s="323">
        <f t="shared" si="14"/>
        <v>263.35722819593786</v>
      </c>
      <c r="AF16" s="323">
        <f t="shared" si="8"/>
        <v>202.22072879330943</v>
      </c>
      <c r="AG16" s="323">
        <f t="shared" si="8"/>
        <v>223.38336320191158</v>
      </c>
      <c r="AH16" s="324">
        <f t="shared" si="8"/>
        <v>263.35722819593786</v>
      </c>
      <c r="AJ16" s="65" t="str">
        <f t="shared" si="9"/>
        <v>منطقه 10</v>
      </c>
      <c r="AK16" s="81">
        <f t="shared" si="10"/>
        <v>3.0015999999999998</v>
      </c>
      <c r="AL16" s="81">
        <f t="shared" si="10"/>
        <v>2.3048000000000002</v>
      </c>
      <c r="AM16" s="81">
        <f t="shared" si="10"/>
        <v>2.5459999999999998</v>
      </c>
      <c r="AN16" s="82">
        <f t="shared" si="10"/>
        <v>3.0015999999999998</v>
      </c>
    </row>
    <row r="17" spans="1:40" ht="20" x14ac:dyDescent="0.35">
      <c r="A17" s="62" t="s">
        <v>62</v>
      </c>
      <c r="B17" s="62">
        <v>243.60000000000002</v>
      </c>
      <c r="C17" s="63">
        <f t="shared" si="0"/>
        <v>125.30795571983275</v>
      </c>
      <c r="D17" s="63">
        <v>106.5814</v>
      </c>
      <c r="E17" s="63">
        <f t="shared" si="1"/>
        <v>141.084229390681</v>
      </c>
      <c r="F17" s="62">
        <f t="shared" si="11"/>
        <v>120</v>
      </c>
      <c r="G17" s="63">
        <f t="shared" si="2"/>
        <v>155.19265232974911</v>
      </c>
      <c r="H17" s="62">
        <f t="shared" si="12"/>
        <v>132</v>
      </c>
      <c r="I17" s="63">
        <f t="shared" si="3"/>
        <v>148.13844086021504</v>
      </c>
      <c r="J17" s="62">
        <f t="shared" si="4"/>
        <v>126</v>
      </c>
      <c r="M17" s="1200">
        <v>2</v>
      </c>
      <c r="N17" s="1200"/>
      <c r="Q17" s="70" t="s">
        <v>63</v>
      </c>
      <c r="R17" s="71">
        <v>126</v>
      </c>
      <c r="S17" s="72">
        <f t="shared" si="13"/>
        <v>120</v>
      </c>
      <c r="T17" s="72">
        <f t="shared" si="13"/>
        <v>132</v>
      </c>
      <c r="U17" s="71">
        <v>126</v>
      </c>
      <c r="X17" s="65" t="str">
        <f t="shared" si="5"/>
        <v>منطقه 11</v>
      </c>
      <c r="Y17" s="74">
        <f t="shared" si="6"/>
        <v>396774</v>
      </c>
      <c r="Z17" s="74">
        <f t="shared" si="6"/>
        <v>377880</v>
      </c>
      <c r="AA17" s="74">
        <f t="shared" si="6"/>
        <v>415668</v>
      </c>
      <c r="AB17" s="75">
        <f t="shared" si="6"/>
        <v>396774</v>
      </c>
      <c r="AD17" s="65" t="str">
        <f t="shared" si="7"/>
        <v>منطقه 11</v>
      </c>
      <c r="AE17" s="323">
        <f t="shared" si="14"/>
        <v>148.13844086021504</v>
      </c>
      <c r="AF17" s="323">
        <f t="shared" si="8"/>
        <v>141.084229390681</v>
      </c>
      <c r="AG17" s="323">
        <f t="shared" si="8"/>
        <v>155.19265232974911</v>
      </c>
      <c r="AH17" s="324">
        <f t="shared" si="8"/>
        <v>148.13844086021504</v>
      </c>
      <c r="AJ17" s="65" t="str">
        <f t="shared" si="9"/>
        <v>منطقه 11</v>
      </c>
      <c r="AK17" s="81">
        <f t="shared" si="10"/>
        <v>1.6883999999999999</v>
      </c>
      <c r="AL17" s="81">
        <f t="shared" si="10"/>
        <v>1.6080000000000001</v>
      </c>
      <c r="AM17" s="81">
        <f t="shared" si="10"/>
        <v>1.7687999999999999</v>
      </c>
      <c r="AN17" s="82">
        <f t="shared" si="10"/>
        <v>1.6883999999999999</v>
      </c>
    </row>
    <row r="18" spans="1:40" ht="20" x14ac:dyDescent="0.35">
      <c r="A18" s="62" t="s">
        <v>64</v>
      </c>
      <c r="B18" s="62">
        <v>134.39999999999998</v>
      </c>
      <c r="C18" s="63">
        <f t="shared" si="0"/>
        <v>102.82924059139785</v>
      </c>
      <c r="D18" s="63">
        <v>87.462000000000003</v>
      </c>
      <c r="E18" s="63">
        <f t="shared" si="1"/>
        <v>115.21878733572282</v>
      </c>
      <c r="F18" s="62">
        <f t="shared" si="11"/>
        <v>98</v>
      </c>
      <c r="G18" s="63">
        <f t="shared" si="2"/>
        <v>126.9758064516129</v>
      </c>
      <c r="H18" s="62">
        <f t="shared" si="12"/>
        <v>108</v>
      </c>
      <c r="I18" s="63">
        <f t="shared" si="3"/>
        <v>661.92017622461174</v>
      </c>
      <c r="J18" s="62">
        <f t="shared" si="4"/>
        <v>563</v>
      </c>
      <c r="Q18" s="70" t="s">
        <v>65</v>
      </c>
      <c r="R18" s="71">
        <v>563</v>
      </c>
      <c r="S18" s="72">
        <f t="shared" si="13"/>
        <v>98</v>
      </c>
      <c r="T18" s="72">
        <f t="shared" si="13"/>
        <v>108</v>
      </c>
      <c r="U18" s="71">
        <v>563</v>
      </c>
      <c r="X18" s="65" t="str">
        <f t="shared" si="5"/>
        <v>منطقه 12</v>
      </c>
      <c r="Y18" s="74">
        <f t="shared" si="6"/>
        <v>1772887</v>
      </c>
      <c r="Z18" s="74">
        <f t="shared" si="6"/>
        <v>308602</v>
      </c>
      <c r="AA18" s="74">
        <f t="shared" si="6"/>
        <v>340092</v>
      </c>
      <c r="AB18" s="75">
        <f t="shared" si="6"/>
        <v>1772887</v>
      </c>
      <c r="AD18" s="65" t="str">
        <f t="shared" si="7"/>
        <v>منطقه 12</v>
      </c>
      <c r="AE18" s="323">
        <f t="shared" si="14"/>
        <v>661.92017622461174</v>
      </c>
      <c r="AF18" s="323">
        <f t="shared" si="8"/>
        <v>115.21878733572282</v>
      </c>
      <c r="AG18" s="323">
        <f t="shared" si="8"/>
        <v>126.9758064516129</v>
      </c>
      <c r="AH18" s="324">
        <f t="shared" si="8"/>
        <v>661.92017622461174</v>
      </c>
      <c r="AJ18" s="65" t="str">
        <f t="shared" si="9"/>
        <v>منطقه 12</v>
      </c>
      <c r="AK18" s="81">
        <f t="shared" si="10"/>
        <v>7.5442</v>
      </c>
      <c r="AL18" s="81">
        <f t="shared" si="10"/>
        <v>1.3131999999999999</v>
      </c>
      <c r="AM18" s="81">
        <f t="shared" si="10"/>
        <v>1.4472</v>
      </c>
      <c r="AN18" s="82">
        <f t="shared" si="10"/>
        <v>7.5442</v>
      </c>
    </row>
    <row r="19" spans="1:40" ht="20" x14ac:dyDescent="0.35">
      <c r="A19" s="62" t="s">
        <v>66</v>
      </c>
      <c r="B19" s="62">
        <v>19.649999999999999</v>
      </c>
      <c r="C19" s="63">
        <f t="shared" si="0"/>
        <v>8.4929178987455192</v>
      </c>
      <c r="D19" s="63">
        <v>7.2237</v>
      </c>
      <c r="E19" s="63">
        <f t="shared" si="1"/>
        <v>9.4056152927120671</v>
      </c>
      <c r="F19" s="62">
        <f t="shared" si="11"/>
        <v>8</v>
      </c>
      <c r="G19" s="63">
        <f t="shared" si="2"/>
        <v>9.4056152927120671</v>
      </c>
      <c r="H19" s="62">
        <f t="shared" si="12"/>
        <v>8</v>
      </c>
      <c r="I19" s="63">
        <f t="shared" si="3"/>
        <v>9.4056152927120671</v>
      </c>
      <c r="J19" s="62">
        <f t="shared" si="4"/>
        <v>8</v>
      </c>
      <c r="Q19" s="70" t="s">
        <v>67</v>
      </c>
      <c r="R19" s="71">
        <v>8</v>
      </c>
      <c r="S19" s="72">
        <f>INT($D19*(1+$M$17/100)^M$21)</f>
        <v>8</v>
      </c>
      <c r="T19" s="72">
        <f t="shared" si="13"/>
        <v>8</v>
      </c>
      <c r="U19" s="71">
        <v>8</v>
      </c>
      <c r="X19" s="65" t="str">
        <f t="shared" si="5"/>
        <v>منطقه ثامن</v>
      </c>
      <c r="Y19" s="74">
        <f t="shared" si="6"/>
        <v>25192</v>
      </c>
      <c r="Z19" s="74">
        <f t="shared" si="6"/>
        <v>25192</v>
      </c>
      <c r="AA19" s="74">
        <f t="shared" si="6"/>
        <v>25192</v>
      </c>
      <c r="AB19" s="75">
        <f t="shared" si="6"/>
        <v>25192</v>
      </c>
      <c r="AD19" s="65" t="str">
        <f t="shared" si="7"/>
        <v>منطقه ثامن</v>
      </c>
      <c r="AE19" s="323">
        <f t="shared" si="14"/>
        <v>9.4056152927120671</v>
      </c>
      <c r="AF19" s="323">
        <f t="shared" si="8"/>
        <v>9.4056152927120671</v>
      </c>
      <c r="AG19" s="323">
        <f t="shared" si="8"/>
        <v>9.4056152927120671</v>
      </c>
      <c r="AH19" s="324">
        <f t="shared" si="8"/>
        <v>9.4056152927120671</v>
      </c>
      <c r="AJ19" s="65" t="str">
        <f t="shared" si="9"/>
        <v>منطقه ثامن</v>
      </c>
      <c r="AK19" s="81">
        <f t="shared" si="10"/>
        <v>0.1072</v>
      </c>
      <c r="AL19" s="81">
        <f t="shared" si="10"/>
        <v>0.1072</v>
      </c>
      <c r="AM19" s="81">
        <f t="shared" si="10"/>
        <v>0.1072</v>
      </c>
      <c r="AN19" s="82">
        <f t="shared" si="10"/>
        <v>0.1072</v>
      </c>
    </row>
    <row r="20" spans="1:40" ht="20" x14ac:dyDescent="0.35">
      <c r="A20" s="62" t="s">
        <v>68</v>
      </c>
      <c r="B20" s="62">
        <v>22.799999999999997</v>
      </c>
      <c r="C20" s="63">
        <f t="shared" si="0"/>
        <v>212.80204599761052</v>
      </c>
      <c r="D20" s="63">
        <v>181</v>
      </c>
      <c r="E20" s="63">
        <f t="shared" si="1"/>
        <v>565.51261947431306</v>
      </c>
      <c r="F20" s="62">
        <f t="shared" si="11"/>
        <v>481</v>
      </c>
      <c r="G20" s="63">
        <f t="shared" si="2"/>
        <v>859.43809737156516</v>
      </c>
      <c r="H20" s="62">
        <f t="shared" si="12"/>
        <v>731</v>
      </c>
      <c r="I20" s="63">
        <f t="shared" si="3"/>
        <v>1010.4430139721693</v>
      </c>
      <c r="J20" s="62">
        <f t="shared" si="4"/>
        <v>859.43809737156516</v>
      </c>
      <c r="L20" s="202">
        <v>1399</v>
      </c>
      <c r="M20" s="202">
        <v>1405</v>
      </c>
      <c r="N20" s="202">
        <v>1410</v>
      </c>
      <c r="O20" s="202">
        <v>1425</v>
      </c>
      <c r="P20" s="202">
        <v>50</v>
      </c>
      <c r="Q20" s="70" t="s">
        <v>69</v>
      </c>
      <c r="R20" s="71">
        <f>D20</f>
        <v>181</v>
      </c>
      <c r="S20" s="72">
        <f>INT($D20+P$20*$M21)</f>
        <v>481</v>
      </c>
      <c r="T20" s="72">
        <f>INT($D20+P$20*$N21)</f>
        <v>731</v>
      </c>
      <c r="U20" s="71">
        <f>G20</f>
        <v>859.43809737156516</v>
      </c>
      <c r="X20" s="65" t="str">
        <f t="shared" si="5"/>
        <v>کمربند شمالی</v>
      </c>
      <c r="Y20" s="74">
        <f t="shared" ref="Y20:AB21" si="15">R20*$K$31</f>
        <v>63802.5</v>
      </c>
      <c r="Z20" s="74">
        <f t="shared" si="15"/>
        <v>169552.5</v>
      </c>
      <c r="AA20" s="74">
        <f t="shared" si="15"/>
        <v>257677.5</v>
      </c>
      <c r="AB20" s="75">
        <f t="shared" si="15"/>
        <v>302951.92932347674</v>
      </c>
      <c r="AD20" s="65" t="str">
        <f t="shared" si="7"/>
        <v>کمربند شمالی</v>
      </c>
      <c r="AE20" s="323">
        <f t="shared" si="14"/>
        <v>23.821124551971327</v>
      </c>
      <c r="AF20" s="323">
        <f t="shared" si="8"/>
        <v>63.303651433691755</v>
      </c>
      <c r="AG20" s="323">
        <f t="shared" si="8"/>
        <v>96.205757168458788</v>
      </c>
      <c r="AH20" s="324">
        <f t="shared" si="8"/>
        <v>113.10929260882494</v>
      </c>
      <c r="AJ20" s="65" t="str">
        <f t="shared" si="9"/>
        <v>کمربند شمالی</v>
      </c>
      <c r="AK20" s="81">
        <f t="shared" ref="AK20:AN21" si="16">R20*$K$37/10^6</f>
        <v>0.27150000000000002</v>
      </c>
      <c r="AL20" s="81">
        <f t="shared" si="16"/>
        <v>0.72150000000000003</v>
      </c>
      <c r="AM20" s="81">
        <f t="shared" si="16"/>
        <v>1.0965</v>
      </c>
      <c r="AN20" s="82">
        <f t="shared" si="16"/>
        <v>1.2891571460573477</v>
      </c>
    </row>
    <row r="21" spans="1:40" ht="20" x14ac:dyDescent="0.35">
      <c r="A21" s="62" t="s">
        <v>70</v>
      </c>
      <c r="B21" s="62">
        <v>315.14999999999998</v>
      </c>
      <c r="C21" s="63">
        <f t="shared" si="0"/>
        <v>2931.1371451239543</v>
      </c>
      <c r="D21" s="63">
        <v>2493.0954999999999</v>
      </c>
      <c r="E21" s="63">
        <f t="shared" si="1"/>
        <v>4694.5777329749108</v>
      </c>
      <c r="F21" s="62">
        <f t="shared" si="11"/>
        <v>3993</v>
      </c>
      <c r="G21" s="63">
        <f t="shared" si="2"/>
        <v>6164.2051224611705</v>
      </c>
      <c r="H21" s="62">
        <f t="shared" si="12"/>
        <v>5243</v>
      </c>
      <c r="I21" s="63">
        <f t="shared" si="3"/>
        <v>7247.2677459043553</v>
      </c>
      <c r="J21" s="62">
        <f t="shared" si="4"/>
        <v>6164.2051224611705</v>
      </c>
      <c r="L21" s="202"/>
      <c r="M21" s="202">
        <f>M20-$L$20</f>
        <v>6</v>
      </c>
      <c r="N21" s="202">
        <f>N20-$L$20</f>
        <v>11</v>
      </c>
      <c r="O21" s="202">
        <f>O20-$L$20</f>
        <v>26</v>
      </c>
      <c r="P21" s="202">
        <v>250</v>
      </c>
      <c r="Q21" s="70" t="s">
        <v>71</v>
      </c>
      <c r="R21" s="71">
        <f>D21</f>
        <v>2493.0954999999999</v>
      </c>
      <c r="S21" s="72">
        <f>INT($D21+P$21*$M21)</f>
        <v>3993</v>
      </c>
      <c r="T21" s="72">
        <f>INT($D21+P$21*$N21)</f>
        <v>5243</v>
      </c>
      <c r="U21" s="71">
        <f>G21</f>
        <v>6164.2051224611705</v>
      </c>
      <c r="X21" s="65" t="str">
        <f t="shared" si="5"/>
        <v>کمربند جنوبی</v>
      </c>
      <c r="Y21" s="74">
        <f t="shared" si="15"/>
        <v>878816.16374999995</v>
      </c>
      <c r="Z21" s="74">
        <f t="shared" si="15"/>
        <v>1407532.5</v>
      </c>
      <c r="AA21" s="74">
        <f t="shared" si="15"/>
        <v>1848157.5</v>
      </c>
      <c r="AB21" s="75">
        <f t="shared" si="15"/>
        <v>2172882.3056675624</v>
      </c>
      <c r="AD21" s="65" t="str">
        <f t="shared" si="7"/>
        <v>کمربند جنوبی</v>
      </c>
      <c r="AE21" s="323">
        <f t="shared" si="14"/>
        <v>328.11236699148748</v>
      </c>
      <c r="AF21" s="323">
        <f t="shared" si="8"/>
        <v>525.51243279569894</v>
      </c>
      <c r="AG21" s="323">
        <f t="shared" si="8"/>
        <v>690.02296146953404</v>
      </c>
      <c r="AH21" s="324">
        <f t="shared" si="8"/>
        <v>811.26131484003974</v>
      </c>
      <c r="AJ21" s="65" t="str">
        <f t="shared" si="9"/>
        <v>کمربند جنوبی</v>
      </c>
      <c r="AK21" s="81">
        <f t="shared" si="16"/>
        <v>3.7396432499999999</v>
      </c>
      <c r="AL21" s="81">
        <f t="shared" si="16"/>
        <v>5.9894999999999996</v>
      </c>
      <c r="AM21" s="81">
        <f t="shared" si="16"/>
        <v>7.8644999999999996</v>
      </c>
      <c r="AN21" s="82">
        <f t="shared" si="16"/>
        <v>9.2463076836917555</v>
      </c>
    </row>
    <row r="22" spans="1:40" ht="20.5" thickBot="1" x14ac:dyDescent="0.4">
      <c r="A22" s="62" t="s">
        <v>72</v>
      </c>
      <c r="B22" s="62">
        <v>56.849999999999994</v>
      </c>
      <c r="C22" s="63">
        <f t="shared" si="0"/>
        <v>39.578829151732378</v>
      </c>
      <c r="D22" s="63">
        <v>33.664000000000001</v>
      </c>
      <c r="E22" s="63">
        <f t="shared" si="1"/>
        <v>43.500970728793313</v>
      </c>
      <c r="F22" s="62">
        <f>S22</f>
        <v>37</v>
      </c>
      <c r="G22" s="63">
        <f>H22*$K$30*1000/(31*24*3600)</f>
        <v>48.203778375149341</v>
      </c>
      <c r="H22" s="62">
        <f>T22</f>
        <v>41</v>
      </c>
      <c r="I22" s="63">
        <f t="shared" si="3"/>
        <v>39.578829151732378</v>
      </c>
      <c r="J22" s="62">
        <f t="shared" si="4"/>
        <v>33.664000000000001</v>
      </c>
      <c r="P22" s="202">
        <f>SUM(P20:P21)</f>
        <v>300</v>
      </c>
      <c r="Q22" s="70" t="s">
        <v>73</v>
      </c>
      <c r="R22" s="71">
        <f>D22</f>
        <v>33.664000000000001</v>
      </c>
      <c r="S22" s="72">
        <f>INT($D22*(1+$M$17/100)^M$21)</f>
        <v>37</v>
      </c>
      <c r="T22" s="72">
        <f t="shared" si="13"/>
        <v>41</v>
      </c>
      <c r="U22" s="361">
        <f>R22</f>
        <v>33.664000000000001</v>
      </c>
      <c r="X22" s="84" t="str">
        <f t="shared" si="5"/>
        <v>سازمان پارکها</v>
      </c>
      <c r="Y22" s="85">
        <f>R22*$K$30</f>
        <v>106007.936</v>
      </c>
      <c r="Z22" s="85">
        <f>S22*$K$30</f>
        <v>116513</v>
      </c>
      <c r="AA22" s="85">
        <f>T22*$K$30</f>
        <v>129109</v>
      </c>
      <c r="AB22" s="86">
        <f>U22*$K$30</f>
        <v>106007.936</v>
      </c>
      <c r="AD22" s="84" t="str">
        <f t="shared" si="7"/>
        <v>سازمان پارکها</v>
      </c>
      <c r="AE22" s="325">
        <f t="shared" si="14"/>
        <v>39.578829151732378</v>
      </c>
      <c r="AF22" s="325">
        <f t="shared" si="8"/>
        <v>43.500970728793313</v>
      </c>
      <c r="AG22" s="325">
        <f t="shared" si="8"/>
        <v>48.203778375149341</v>
      </c>
      <c r="AH22" s="326">
        <f t="shared" si="8"/>
        <v>39.578829151732378</v>
      </c>
      <c r="AJ22" s="84" t="str">
        <f t="shared" si="9"/>
        <v>سازمان پارکها</v>
      </c>
      <c r="AK22" s="89">
        <f>R22*$K$36/10^6</f>
        <v>0.45109760000000004</v>
      </c>
      <c r="AL22" s="89">
        <f>S22*$K$36/10^6</f>
        <v>0.49580000000000002</v>
      </c>
      <c r="AM22" s="89">
        <f>T22*$K$36/10^6</f>
        <v>0.5494</v>
      </c>
      <c r="AN22" s="90">
        <f>U22*$K$36/10^6</f>
        <v>0.45109760000000004</v>
      </c>
    </row>
    <row r="23" spans="1:40" ht="19" thickBot="1" x14ac:dyDescent="0.4">
      <c r="C23" s="63">
        <f>SUM(C7:C22)</f>
        <v>5343.827369698326</v>
      </c>
      <c r="D23" s="63">
        <f t="shared" ref="D23:J23" si="17">SUM(D7:D22)</f>
        <v>4545.223</v>
      </c>
      <c r="E23" s="63">
        <f t="shared" si="17"/>
        <v>7729.0643667861405</v>
      </c>
      <c r="F23" s="63">
        <f t="shared" si="17"/>
        <v>6574</v>
      </c>
      <c r="G23" s="63">
        <f t="shared" si="17"/>
        <v>9748.920250896057</v>
      </c>
      <c r="H23" s="63">
        <f t="shared" si="17"/>
        <v>8292</v>
      </c>
      <c r="I23" s="63">
        <f t="shared" si="17"/>
        <v>12636.805344703287</v>
      </c>
      <c r="J23" s="63">
        <f t="shared" si="17"/>
        <v>10748.307219832735</v>
      </c>
      <c r="N23" s="202" t="s">
        <v>74</v>
      </c>
      <c r="O23" s="202">
        <v>0.23499999999999999</v>
      </c>
      <c r="Q23" s="1189"/>
      <c r="R23" s="1190"/>
      <c r="S23" s="1190"/>
      <c r="T23" s="1190"/>
      <c r="U23" s="1191"/>
    </row>
    <row r="24" spans="1:40" ht="28" x14ac:dyDescent="0.35">
      <c r="Q24" s="199" t="s">
        <v>75</v>
      </c>
      <c r="R24" s="92">
        <f>SUM(R7:R19)+R22</f>
        <v>3724.6640000000002</v>
      </c>
      <c r="S24" s="93">
        <f>SUM(S7:S19)+S22</f>
        <v>2100</v>
      </c>
      <c r="T24" s="93">
        <f>SUM(T7:T19)+T22</f>
        <v>2318</v>
      </c>
      <c r="U24" s="362">
        <f>SUM(U7:U19)+U22</f>
        <v>3724.6640000000002</v>
      </c>
      <c r="X24" s="1186" t="str">
        <f>L28</f>
        <v>مصرف ماه اوج  (میلیون مترمکعب)</v>
      </c>
      <c r="Y24" s="1187"/>
      <c r="Z24" s="1187"/>
      <c r="AA24" s="1187"/>
      <c r="AB24" s="1188"/>
      <c r="AD24" s="1186" t="s">
        <v>143</v>
      </c>
      <c r="AE24" s="1187"/>
      <c r="AF24" s="1187"/>
      <c r="AG24" s="1187"/>
      <c r="AH24" s="1188"/>
      <c r="AJ24" s="1186" t="str">
        <f>L34</f>
        <v>مصرف سالانه (میلیون مترمکعب)</v>
      </c>
      <c r="AK24" s="1187"/>
      <c r="AL24" s="1187"/>
      <c r="AM24" s="1187"/>
      <c r="AN24" s="1188"/>
    </row>
    <row r="25" spans="1:40" ht="18.649999999999999" customHeight="1" x14ac:dyDescent="0.35">
      <c r="Q25" s="199" t="s">
        <v>78</v>
      </c>
      <c r="R25" s="95">
        <f>R20+R21</f>
        <v>2674.0954999999999</v>
      </c>
      <c r="S25" s="96">
        <f>S20+S21</f>
        <v>4474</v>
      </c>
      <c r="T25" s="96">
        <f>T20+T21</f>
        <v>5974</v>
      </c>
      <c r="U25" s="97">
        <f>U20+U21</f>
        <v>7023.6432198327357</v>
      </c>
      <c r="X25" s="199" t="str">
        <f>L30</f>
        <v>شهر</v>
      </c>
      <c r="Y25" s="327">
        <f>(SUM(Y7:Y19)+Y22)/10^6</f>
        <v>11.728966936000001</v>
      </c>
      <c r="Z25" s="327">
        <f>(SUM(Z7:Z19)+Z22)/10^6</f>
        <v>6.6128999999999998</v>
      </c>
      <c r="AA25" s="327">
        <f>(SUM(AA7:AA19)+AA22)/10^6</f>
        <v>7.2993819999999996</v>
      </c>
      <c r="AB25" s="328">
        <f>(SUM(AB7:AB19)+AB22)/10^6</f>
        <v>11.728966936000001</v>
      </c>
      <c r="AD25" s="199" t="str">
        <f>X25</f>
        <v>شهر</v>
      </c>
      <c r="AE25" s="329">
        <f>SUM(AE7:AE19)+AE22</f>
        <v>4379.094584826762</v>
      </c>
      <c r="AF25" s="329">
        <f>SUM(AF7:AF19)+AF22</f>
        <v>2468.9740143369168</v>
      </c>
      <c r="AG25" s="329">
        <f>SUM(AG7:AG19)+AG22</f>
        <v>2725.2770310633214</v>
      </c>
      <c r="AH25" s="330">
        <f>SUM(AH7:AH19)+AH22</f>
        <v>4379.094584826762</v>
      </c>
      <c r="AJ25" s="199" t="str">
        <f>L36</f>
        <v>شهر</v>
      </c>
      <c r="AK25" s="327">
        <f>(SUM(AK7:AK19)+AK22)</f>
        <v>49.910497599999992</v>
      </c>
      <c r="AL25" s="327">
        <f>(SUM(AL7:AL19)+AL22)</f>
        <v>28.139999999999997</v>
      </c>
      <c r="AM25" s="327">
        <f>(SUM(AM7:AM19)+AM22)</f>
        <v>31.061199999999996</v>
      </c>
      <c r="AN25" s="328">
        <f>(SUM(AN7:AN19)+AN22)</f>
        <v>49.910497599999992</v>
      </c>
    </row>
    <row r="26" spans="1:40" ht="18.649999999999999" customHeight="1" x14ac:dyDescent="0.35">
      <c r="Q26" s="1192" t="s">
        <v>79</v>
      </c>
      <c r="R26" s="1194">
        <f>SUM(R7:R22)</f>
        <v>6398.7594999999992</v>
      </c>
      <c r="S26" s="1194">
        <f>SUM(S7:S22)</f>
        <v>6574</v>
      </c>
      <c r="T26" s="1196">
        <f>SUM(T7:T22)</f>
        <v>8292</v>
      </c>
      <c r="U26" s="1198">
        <f>SUM(U7:U22)</f>
        <v>10748.307219832735</v>
      </c>
      <c r="X26" s="199" t="str">
        <f>L31</f>
        <v>کمربند</v>
      </c>
      <c r="Y26" s="327">
        <f>SUM(Y20:Y21)/10^6</f>
        <v>0.94261866374999992</v>
      </c>
      <c r="Z26" s="327">
        <f>SUM(Z20:Z21)/10^6</f>
        <v>1.5770850000000001</v>
      </c>
      <c r="AA26" s="327">
        <f>SUM(AA20:AA21)/10^6</f>
        <v>2.1058349999999999</v>
      </c>
      <c r="AB26" s="328">
        <f>SUM(AB20:AB21)/10^6</f>
        <v>2.4758342349910389</v>
      </c>
      <c r="AD26" s="199" t="str">
        <f>X26</f>
        <v>کمربند</v>
      </c>
      <c r="AE26" s="329">
        <f>SUM(AE20:AE21)</f>
        <v>351.93349154345879</v>
      </c>
      <c r="AF26" s="329">
        <f>SUM(AF20:AF21)</f>
        <v>588.81608422939075</v>
      </c>
      <c r="AG26" s="329">
        <f>SUM(AG20:AG21)</f>
        <v>786.22871863799287</v>
      </c>
      <c r="AH26" s="330">
        <f>SUM(AH20:AH21)</f>
        <v>924.37060744886469</v>
      </c>
      <c r="AJ26" s="199" t="str">
        <f>L37</f>
        <v>کمربند</v>
      </c>
      <c r="AK26" s="327">
        <f>SUM(AK20:AK21)</f>
        <v>4.0111432499999999</v>
      </c>
      <c r="AL26" s="327">
        <f>SUM(AL20:AL21)</f>
        <v>6.7109999999999994</v>
      </c>
      <c r="AM26" s="327">
        <f>SUM(AM20:AM21)</f>
        <v>8.9610000000000003</v>
      </c>
      <c r="AN26" s="328">
        <f>SUM(AN20:AN21)</f>
        <v>10.535464829749102</v>
      </c>
    </row>
    <row r="27" spans="1:40" ht="19.149999999999999" customHeight="1" thickBot="1" x14ac:dyDescent="0.4">
      <c r="Q27" s="1193"/>
      <c r="R27" s="1195"/>
      <c r="S27" s="1195"/>
      <c r="T27" s="1197"/>
      <c r="U27" s="1199"/>
      <c r="X27" s="102" t="str">
        <f>L32</f>
        <v>مجموع کل</v>
      </c>
      <c r="Y27" s="331">
        <f>SUM(Y25:Y26)</f>
        <v>12.671585599750001</v>
      </c>
      <c r="Z27" s="331">
        <f>SUM(Z25:Z26)</f>
        <v>8.1899850000000001</v>
      </c>
      <c r="AA27" s="331">
        <f>SUM(AA25:AA26)</f>
        <v>9.4052170000000004</v>
      </c>
      <c r="AB27" s="332">
        <f>SUM(AB25:AB26)</f>
        <v>14.20480117099104</v>
      </c>
      <c r="AD27" s="102" t="str">
        <f>X27</f>
        <v>مجموع کل</v>
      </c>
      <c r="AE27" s="333">
        <f>SUM(AE25:AE26)</f>
        <v>4731.0280763702212</v>
      </c>
      <c r="AF27" s="333">
        <f>SUM(AF25:AF26)</f>
        <v>3057.7900985663073</v>
      </c>
      <c r="AG27" s="333">
        <f>SUM(AG25:AG26)</f>
        <v>3511.505749701314</v>
      </c>
      <c r="AH27" s="334">
        <f>SUM(AH25:AH26)</f>
        <v>5303.4651922756266</v>
      </c>
      <c r="AJ27" s="102" t="str">
        <f>L38</f>
        <v>مجموع کل</v>
      </c>
      <c r="AK27" s="331">
        <f>SUM(AK25:AK26)</f>
        <v>53.921640849999989</v>
      </c>
      <c r="AL27" s="331">
        <f>SUM(AL25:AL26)</f>
        <v>34.850999999999999</v>
      </c>
      <c r="AM27" s="331">
        <f>SUM(AM25:AM26)</f>
        <v>40.022199999999998</v>
      </c>
      <c r="AN27" s="332">
        <f>SUM(AN25:AN26)</f>
        <v>60.445962429749095</v>
      </c>
    </row>
    <row r="28" spans="1:40" ht="28" x14ac:dyDescent="0.35">
      <c r="H28" s="187" t="s">
        <v>13</v>
      </c>
      <c r="I28" s="188"/>
      <c r="J28" s="188"/>
      <c r="K28" s="189"/>
      <c r="L28" s="1186" t="s">
        <v>144</v>
      </c>
      <c r="M28" s="1187"/>
      <c r="N28" s="1187"/>
      <c r="O28" s="1187"/>
      <c r="P28" s="1188"/>
    </row>
    <row r="29" spans="1:40" ht="24" x14ac:dyDescent="0.35">
      <c r="H29" s="190"/>
      <c r="I29" s="191"/>
      <c r="J29" s="191"/>
      <c r="K29" s="192"/>
      <c r="L29" s="199" t="s">
        <v>80</v>
      </c>
      <c r="M29" s="103">
        <f>R6</f>
        <v>1399</v>
      </c>
      <c r="N29" s="103">
        <f>S6</f>
        <v>1405</v>
      </c>
      <c r="O29" s="103">
        <f>T6</f>
        <v>1410</v>
      </c>
      <c r="P29" s="104">
        <f>U6</f>
        <v>1425</v>
      </c>
      <c r="AH29" s="716">
        <f>SUM(AH15:AH18)</f>
        <v>1638.9284647550776</v>
      </c>
    </row>
    <row r="30" spans="1:40" ht="24" x14ac:dyDescent="0.35">
      <c r="H30" s="190" t="s">
        <v>81</v>
      </c>
      <c r="I30" s="191"/>
      <c r="J30" s="191" t="s">
        <v>82</v>
      </c>
      <c r="K30" s="106">
        <f>K36*$O$23</f>
        <v>3149</v>
      </c>
      <c r="L30" s="199" t="s">
        <v>75</v>
      </c>
      <c r="M30" s="107">
        <f>R24*$K$30/1000000</f>
        <v>11.728966936000001</v>
      </c>
      <c r="N30" s="107">
        <f>S24*$K$30/1000000</f>
        <v>6.6128999999999998</v>
      </c>
      <c r="O30" s="107">
        <f>T24*$K$30/1000000</f>
        <v>7.2993819999999996</v>
      </c>
      <c r="P30" s="108">
        <f>U24*$K$30/1000000</f>
        <v>11.728966936000001</v>
      </c>
      <c r="AB30" s="716">
        <f>SUM(AB7:AB22)/10^6</f>
        <v>14.20480117099104</v>
      </c>
      <c r="AH30" s="716">
        <f>SUM(AH7:AH19)</f>
        <v>4339.5157556750301</v>
      </c>
    </row>
    <row r="31" spans="1:40" ht="24.5" thickBot="1" x14ac:dyDescent="0.4">
      <c r="H31" s="193" t="s">
        <v>81</v>
      </c>
      <c r="I31" s="194"/>
      <c r="J31" s="194" t="s">
        <v>84</v>
      </c>
      <c r="K31" s="110">
        <f>K37*$O$23</f>
        <v>352.5</v>
      </c>
      <c r="L31" s="199" t="s">
        <v>84</v>
      </c>
      <c r="M31" s="107">
        <f>R25*$K$31/1000000</f>
        <v>0.94261866374999992</v>
      </c>
      <c r="N31" s="107">
        <f>S25*$K$31/1000000</f>
        <v>1.5770850000000001</v>
      </c>
      <c r="O31" s="107">
        <f>T25*$K$31/1000000</f>
        <v>2.1058349999999999</v>
      </c>
      <c r="P31" s="108">
        <f>U25*$K$31/1000000</f>
        <v>2.4758342349910389</v>
      </c>
      <c r="X31" s="111"/>
    </row>
    <row r="32" spans="1:40" ht="24.5" thickBot="1" x14ac:dyDescent="0.4">
      <c r="L32" s="200" t="s">
        <v>79</v>
      </c>
      <c r="M32" s="335">
        <f>SUM(M30:M31)</f>
        <v>12.671585599750001</v>
      </c>
      <c r="N32" s="335">
        <f>SUM(N30:N31)</f>
        <v>8.1899850000000001</v>
      </c>
      <c r="O32" s="335">
        <f>SUM(O30:O31)</f>
        <v>9.4052170000000004</v>
      </c>
      <c r="P32" s="336">
        <f>SUM(P30:P31)</f>
        <v>14.20480117099104</v>
      </c>
    </row>
    <row r="33" spans="8:20" ht="24.5" thickBot="1" x14ac:dyDescent="0.4">
      <c r="L33" s="337" t="s">
        <v>87</v>
      </c>
      <c r="M33" s="396">
        <f>M32*1000000*1000/(31*24*3600)</f>
        <v>4731.0280763702222</v>
      </c>
      <c r="N33" s="396">
        <f>N32*1000000*1000/(31*24*3600)</f>
        <v>3057.7900985663082</v>
      </c>
      <c r="O33" s="396">
        <f>O32*1000000*1000/(31*24*3600)</f>
        <v>3511.505749701314</v>
      </c>
      <c r="P33" s="397">
        <f>P32*1000000*1000/(31*24*3600)</f>
        <v>5303.4651922756266</v>
      </c>
    </row>
    <row r="34" spans="8:20" ht="28" x14ac:dyDescent="0.35">
      <c r="H34" s="195" t="s">
        <v>14</v>
      </c>
      <c r="I34" s="196"/>
      <c r="J34" s="196"/>
      <c r="K34" s="197"/>
      <c r="L34" s="1186" t="s">
        <v>145</v>
      </c>
      <c r="M34" s="1187"/>
      <c r="N34" s="1187"/>
      <c r="O34" s="1187"/>
      <c r="P34" s="1188"/>
      <c r="T34" s="62">
        <f>4*1.03^25</f>
        <v>8.3751117186168553</v>
      </c>
    </row>
    <row r="35" spans="8:20" ht="24" x14ac:dyDescent="0.35">
      <c r="H35" s="183"/>
      <c r="I35" s="184"/>
      <c r="J35" s="184"/>
      <c r="K35" s="198"/>
      <c r="L35" s="199" t="s">
        <v>80</v>
      </c>
      <c r="M35" s="103">
        <f>M29</f>
        <v>1399</v>
      </c>
      <c r="N35" s="103">
        <f>N29</f>
        <v>1405</v>
      </c>
      <c r="O35" s="103">
        <f>O29</f>
        <v>1410</v>
      </c>
      <c r="P35" s="104">
        <f>P29</f>
        <v>1425</v>
      </c>
      <c r="T35" s="62">
        <f>7.5*1.3</f>
        <v>9.75</v>
      </c>
    </row>
    <row r="36" spans="8:20" ht="24" x14ac:dyDescent="0.35">
      <c r="H36" s="183" t="s">
        <v>81</v>
      </c>
      <c r="I36" s="184"/>
      <c r="J36" s="184" t="s">
        <v>82</v>
      </c>
      <c r="K36" s="106">
        <v>13400</v>
      </c>
      <c r="L36" s="199" t="str">
        <f>L30</f>
        <v>شهر</v>
      </c>
      <c r="M36" s="116">
        <f>R24*$K$36/1000000</f>
        <v>49.910497599999999</v>
      </c>
      <c r="N36" s="116">
        <f>S24*$K$36/1000000</f>
        <v>28.14</v>
      </c>
      <c r="O36" s="116">
        <f>T24*$K$36/1000000</f>
        <v>31.061199999999999</v>
      </c>
      <c r="P36" s="394">
        <f>U24*$K$36/1000000</f>
        <v>49.910497599999999</v>
      </c>
    </row>
    <row r="37" spans="8:20" ht="24.5" thickBot="1" x14ac:dyDescent="0.4">
      <c r="H37" s="185" t="s">
        <v>81</v>
      </c>
      <c r="I37" s="186"/>
      <c r="J37" s="186" t="s">
        <v>84</v>
      </c>
      <c r="K37" s="110">
        <v>1500</v>
      </c>
      <c r="L37" s="199" t="str">
        <f>L31</f>
        <v>کمربند</v>
      </c>
      <c r="M37" s="116">
        <f>R25*$K$37/1000000</f>
        <v>4.0111432499999999</v>
      </c>
      <c r="N37" s="116">
        <f>S25*$K$37/1000000</f>
        <v>6.7110000000000003</v>
      </c>
      <c r="O37" s="116">
        <f>T25*$K$37/1000000</f>
        <v>8.9610000000000003</v>
      </c>
      <c r="P37" s="394">
        <f>U25*$K$37/1000000</f>
        <v>10.535464829749104</v>
      </c>
    </row>
    <row r="38" spans="8:20" ht="24.5" thickBot="1" x14ac:dyDescent="0.4">
      <c r="L38" s="102" t="str">
        <f>L32</f>
        <v>مجموع کل</v>
      </c>
      <c r="M38" s="119">
        <f>SUM(M36:M37)</f>
        <v>53.921640850000003</v>
      </c>
      <c r="N38" s="119">
        <f>SUM(N36:N37)</f>
        <v>34.850999999999999</v>
      </c>
      <c r="O38" s="119">
        <f>SUM(O36:O37)</f>
        <v>40.022199999999998</v>
      </c>
      <c r="P38" s="120">
        <f>SUM(P36:P37)</f>
        <v>60.445962429749102</v>
      </c>
    </row>
    <row r="44" spans="8:20" x14ac:dyDescent="0.35">
      <c r="R44" s="395"/>
    </row>
  </sheetData>
  <mergeCells count="17">
    <mergeCell ref="M17:N17"/>
    <mergeCell ref="Q5:U5"/>
    <mergeCell ref="X5:AB5"/>
    <mergeCell ref="AD5:AH5"/>
    <mergeCell ref="AJ5:AN5"/>
    <mergeCell ref="M16:N16"/>
    <mergeCell ref="AJ24:AN24"/>
    <mergeCell ref="Q26:Q27"/>
    <mergeCell ref="R26:R27"/>
    <mergeCell ref="S26:S27"/>
    <mergeCell ref="T26:T27"/>
    <mergeCell ref="U26:U27"/>
    <mergeCell ref="L28:P28"/>
    <mergeCell ref="L34:P34"/>
    <mergeCell ref="Q23:U23"/>
    <mergeCell ref="X24:AB24"/>
    <mergeCell ref="AD24:AH2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rightToLeft="1" zoomScale="85" zoomScaleNormal="85" workbookViewId="0">
      <selection activeCell="A15" sqref="A15"/>
    </sheetView>
  </sheetViews>
  <sheetFormatPr defaultColWidth="8.81640625" defaultRowHeight="18.5" x14ac:dyDescent="0.35"/>
  <cols>
    <col min="1" max="1" width="21.7265625" style="62" bestFit="1" customWidth="1"/>
    <col min="2" max="2" width="8.81640625" style="62"/>
    <col min="3" max="3" width="10.81640625" style="62" bestFit="1" customWidth="1"/>
    <col min="4" max="4" width="8.7265625" style="62" bestFit="1" customWidth="1"/>
    <col min="5" max="5" width="10.81640625" style="62" bestFit="1" customWidth="1"/>
    <col min="6" max="6" width="9.26953125" style="62" bestFit="1" customWidth="1"/>
    <col min="7" max="7" width="10.81640625" style="62" bestFit="1" customWidth="1"/>
    <col min="8" max="8" width="8.7265625" style="62" bestFit="1" customWidth="1"/>
    <col min="9" max="9" width="10.81640625" style="62" bestFit="1" customWidth="1"/>
    <col min="10" max="10" width="8.7265625" style="62" bestFit="1" customWidth="1"/>
    <col min="11" max="12" width="8.81640625" style="62"/>
    <col min="13" max="13" width="5.54296875" style="62" bestFit="1" customWidth="1"/>
    <col min="14" max="14" width="10.26953125" style="62" bestFit="1" customWidth="1"/>
    <col min="15" max="15" width="11.453125" style="62" bestFit="1" customWidth="1"/>
    <col min="16" max="16" width="6" style="62" bestFit="1" customWidth="1"/>
    <col min="17" max="17" width="25.26953125" style="62" bestFit="1" customWidth="1"/>
    <col min="18" max="18" width="8" style="62" bestFit="1" customWidth="1"/>
    <col min="19" max="19" width="8.453125" style="62" bestFit="1" customWidth="1"/>
    <col min="20" max="20" width="8.26953125" style="62" bestFit="1" customWidth="1"/>
    <col min="21" max="21" width="9.81640625" style="62" bestFit="1" customWidth="1"/>
    <col min="22" max="22" width="8.81640625" style="62" customWidth="1"/>
    <col min="23" max="23" width="10" style="62" bestFit="1" customWidth="1"/>
    <col min="24" max="24" width="20.26953125" style="62" customWidth="1"/>
    <col min="25" max="25" width="14.1796875" style="62" bestFit="1" customWidth="1"/>
    <col min="26" max="26" width="13.26953125" style="62" bestFit="1" customWidth="1"/>
    <col min="27" max="27" width="13.1796875" style="62" bestFit="1" customWidth="1"/>
    <col min="28" max="28" width="12.7265625" style="62" bestFit="1" customWidth="1"/>
    <col min="29" max="30" width="8.81640625" style="62"/>
    <col min="31" max="31" width="25.26953125" style="62" bestFit="1" customWidth="1"/>
    <col min="32" max="32" width="12" style="62" bestFit="1" customWidth="1"/>
    <col min="33" max="33" width="11" style="62" bestFit="1" customWidth="1"/>
    <col min="34" max="34" width="11.1796875" style="62" bestFit="1" customWidth="1"/>
    <col min="35" max="35" width="12" style="62" bestFit="1" customWidth="1"/>
    <col min="36" max="16384" width="8.81640625" style="62"/>
  </cols>
  <sheetData>
    <row r="1" spans="1:35" ht="12" customHeight="1" x14ac:dyDescent="0.35"/>
    <row r="2" spans="1:35" ht="12" customHeight="1" x14ac:dyDescent="0.35"/>
    <row r="3" spans="1:35" ht="12" customHeight="1" x14ac:dyDescent="0.35"/>
    <row r="4" spans="1:35" ht="12" customHeight="1" thickBot="1" x14ac:dyDescent="0.4"/>
    <row r="5" spans="1:35" ht="25.5" customHeight="1" x14ac:dyDescent="0.35">
      <c r="Q5" s="1201" t="s">
        <v>27</v>
      </c>
      <c r="R5" s="1202"/>
      <c r="S5" s="1202"/>
      <c r="T5" s="1202"/>
      <c r="U5" s="1203"/>
      <c r="X5" s="1201" t="s">
        <v>28</v>
      </c>
      <c r="Y5" s="1202"/>
      <c r="Z5" s="1202"/>
      <c r="AA5" s="1202"/>
      <c r="AB5" s="1203"/>
      <c r="AE5" s="1201" t="s">
        <v>29</v>
      </c>
      <c r="AF5" s="1202"/>
      <c r="AG5" s="1202"/>
      <c r="AH5" s="1202"/>
      <c r="AI5" s="1203"/>
    </row>
    <row r="6" spans="1:35" ht="20.5" thickBot="1" x14ac:dyDescent="0.4">
      <c r="A6" s="62" t="s">
        <v>30</v>
      </c>
      <c r="B6" s="62" t="s">
        <v>31</v>
      </c>
      <c r="C6" s="62" t="s">
        <v>32</v>
      </c>
      <c r="D6" s="63" t="s">
        <v>33</v>
      </c>
      <c r="E6" s="62" t="s">
        <v>34</v>
      </c>
      <c r="F6" s="62" t="s">
        <v>35</v>
      </c>
      <c r="G6" s="62" t="s">
        <v>36</v>
      </c>
      <c r="H6" s="62" t="s">
        <v>37</v>
      </c>
      <c r="I6" s="62" t="s">
        <v>38</v>
      </c>
      <c r="J6" s="62" t="s">
        <v>39</v>
      </c>
      <c r="L6" s="64"/>
      <c r="M6" s="64"/>
      <c r="N6" s="64"/>
      <c r="O6" s="64"/>
      <c r="P6" s="64"/>
      <c r="Q6" s="121" t="s">
        <v>40</v>
      </c>
      <c r="R6" s="122">
        <v>1399</v>
      </c>
      <c r="S6" s="122">
        <v>1405</v>
      </c>
      <c r="T6" s="122">
        <v>1410</v>
      </c>
      <c r="U6" s="123">
        <v>1425</v>
      </c>
      <c r="V6" s="64" t="e">
        <f>Shahrdary!#REF!</f>
        <v>#REF!</v>
      </c>
      <c r="W6" s="64"/>
      <c r="X6" s="121" t="str">
        <f>Q6</f>
        <v>سال/نام منطقه</v>
      </c>
      <c r="Y6" s="122">
        <f>R6</f>
        <v>1399</v>
      </c>
      <c r="Z6" s="122">
        <f>S6</f>
        <v>1405</v>
      </c>
      <c r="AA6" s="122">
        <f>T6</f>
        <v>1410</v>
      </c>
      <c r="AB6" s="123">
        <f>U6</f>
        <v>1425</v>
      </c>
      <c r="AE6" s="65" t="str">
        <f>Q6</f>
        <v>سال/نام منطقه</v>
      </c>
      <c r="AF6" s="68">
        <f>R6</f>
        <v>1399</v>
      </c>
      <c r="AG6" s="68">
        <f>S6</f>
        <v>1405</v>
      </c>
      <c r="AH6" s="68">
        <f>T6</f>
        <v>1410</v>
      </c>
      <c r="AI6" s="69">
        <f>U6</f>
        <v>1425</v>
      </c>
    </row>
    <row r="7" spans="1:35" ht="20" x14ac:dyDescent="0.35">
      <c r="A7" s="62" t="s">
        <v>41</v>
      </c>
      <c r="B7" s="62">
        <v>109.19999999999999</v>
      </c>
      <c r="C7" s="63">
        <f t="shared" ref="C7:C22" si="0">D7*$P$30*1000/(31*24*3600)</f>
        <v>50.07067544056153</v>
      </c>
      <c r="D7" s="63">
        <v>42.587899999999998</v>
      </c>
      <c r="E7" s="63">
        <f t="shared" ref="E7:E22" si="1">F7*$P$30*1000/(31*24*3600)</f>
        <v>55.257989844683394</v>
      </c>
      <c r="F7" s="62">
        <f>S7</f>
        <v>47</v>
      </c>
      <c r="G7" s="63">
        <f t="shared" ref="G7:G22" si="2">H7*$P$30*1000/(31*24*3600)</f>
        <v>61.136499402628438</v>
      </c>
      <c r="H7" s="62">
        <f>T7</f>
        <v>52</v>
      </c>
      <c r="I7" s="63">
        <f t="shared" ref="I7:I22" si="3">J7*$P$30*1000/(31*24*3600)</f>
        <v>83.474835722819591</v>
      </c>
      <c r="J7" s="62">
        <f>U7</f>
        <v>71</v>
      </c>
      <c r="Q7" s="70" t="s">
        <v>42</v>
      </c>
      <c r="R7" s="71">
        <f>D7</f>
        <v>42.587899999999998</v>
      </c>
      <c r="S7" s="72">
        <f>INT($D7*(1+$M$17/100)^M$21)</f>
        <v>47</v>
      </c>
      <c r="T7" s="72">
        <f>INT($D7*(1+$M$17/100)^N$21)</f>
        <v>52</v>
      </c>
      <c r="U7" s="73">
        <f>INT($D7*(1+$M$17/100)^O$21)</f>
        <v>71</v>
      </c>
      <c r="V7" s="63">
        <f>R7-Shahrdary!C34</f>
        <v>0.16489999999999583</v>
      </c>
      <c r="W7" s="128">
        <f>Y7*1000/31/24/3600-Shahrdary!Q34</f>
        <v>-232.29512393128542</v>
      </c>
      <c r="X7" s="65" t="str">
        <f t="shared" ref="X7:X22" si="4">Q7</f>
        <v>منطقه 1</v>
      </c>
      <c r="Y7" s="74">
        <f>R7*$P$30</f>
        <v>134109.2971</v>
      </c>
      <c r="Z7" s="74">
        <f t="shared" ref="Z7:AB19" si="5">S7*$P$30</f>
        <v>148003</v>
      </c>
      <c r="AA7" s="74">
        <f t="shared" si="5"/>
        <v>163748</v>
      </c>
      <c r="AB7" s="75">
        <f t="shared" si="5"/>
        <v>223579</v>
      </c>
      <c r="AE7" s="76" t="str">
        <f t="shared" ref="AE7:AE22" si="6">Q7</f>
        <v>منطقه 1</v>
      </c>
      <c r="AF7" s="77">
        <f>R7*$P$36/10^6</f>
        <v>0.57067785999999998</v>
      </c>
      <c r="AG7" s="78">
        <f t="shared" ref="AG7:AI22" si="7">S7*$P$36/10^6</f>
        <v>0.62980000000000003</v>
      </c>
      <c r="AH7" s="78">
        <f t="shared" si="7"/>
        <v>0.69679999999999997</v>
      </c>
      <c r="AI7" s="79">
        <f t="shared" si="7"/>
        <v>0.95140000000000002</v>
      </c>
    </row>
    <row r="8" spans="1:35" ht="20" x14ac:dyDescent="0.35">
      <c r="A8" s="62" t="s">
        <v>43</v>
      </c>
      <c r="B8" s="62">
        <v>253.79999999999998</v>
      </c>
      <c r="C8" s="63">
        <f t="shared" si="0"/>
        <v>147.17271931003583</v>
      </c>
      <c r="D8" s="63">
        <v>125.1786</v>
      </c>
      <c r="E8" s="63">
        <f t="shared" si="1"/>
        <v>164.59826762246118</v>
      </c>
      <c r="F8" s="62">
        <f t="shared" ref="F8:F21" si="8">S8</f>
        <v>140</v>
      </c>
      <c r="G8" s="63">
        <f t="shared" si="2"/>
        <v>182.2337962962963</v>
      </c>
      <c r="H8" s="62">
        <f t="shared" ref="H8:H21" si="9">T8</f>
        <v>155</v>
      </c>
      <c r="I8" s="63">
        <f t="shared" si="3"/>
        <v>245.72169952210274</v>
      </c>
      <c r="J8" s="62">
        <f t="shared" ref="J8:J21" si="10">U8</f>
        <v>209</v>
      </c>
      <c r="Q8" s="70" t="s">
        <v>44</v>
      </c>
      <c r="R8" s="71">
        <f t="shared" ref="R8:R22" si="11">D8</f>
        <v>125.1786</v>
      </c>
      <c r="S8" s="72">
        <f t="shared" ref="S8:U19" si="12">INT($D8*(1+$M$17/100)^M$21)</f>
        <v>140</v>
      </c>
      <c r="T8" s="72">
        <f t="shared" si="12"/>
        <v>155</v>
      </c>
      <c r="U8" s="73">
        <f t="shared" si="12"/>
        <v>209</v>
      </c>
      <c r="V8" s="63">
        <f>R8-Shahrdary!C35</f>
        <v>-3.825800000000001</v>
      </c>
      <c r="W8" s="128">
        <f>Y8*1000/31/24/3600-Shahrdary!Q35</f>
        <v>-995.97282996151569</v>
      </c>
      <c r="X8" s="65" t="str">
        <f t="shared" si="4"/>
        <v>منطقه 2</v>
      </c>
      <c r="Y8" s="74">
        <f t="shared" ref="Y8:Y19" si="13">R8*$P$30</f>
        <v>394187.41139999998</v>
      </c>
      <c r="Z8" s="74">
        <f t="shared" si="5"/>
        <v>440860</v>
      </c>
      <c r="AA8" s="74">
        <f t="shared" si="5"/>
        <v>488095</v>
      </c>
      <c r="AB8" s="75">
        <f t="shared" si="5"/>
        <v>658141</v>
      </c>
      <c r="AE8" s="76" t="str">
        <f t="shared" si="6"/>
        <v>منطقه 2</v>
      </c>
      <c r="AF8" s="80">
        <f t="shared" ref="AF8:AF22" si="14">R8*$P$36/10^6</f>
        <v>1.67739324</v>
      </c>
      <c r="AG8" s="81">
        <f t="shared" si="7"/>
        <v>1.8759999999999999</v>
      </c>
      <c r="AH8" s="81">
        <f t="shared" si="7"/>
        <v>2.077</v>
      </c>
      <c r="AI8" s="82">
        <f t="shared" si="7"/>
        <v>2.8006000000000002</v>
      </c>
    </row>
    <row r="9" spans="1:35" ht="20" x14ac:dyDescent="0.35">
      <c r="A9" s="62" t="s">
        <v>45</v>
      </c>
      <c r="B9" s="62">
        <v>199.04999999999998</v>
      </c>
      <c r="C9" s="63">
        <f t="shared" si="0"/>
        <v>122.2722933841099</v>
      </c>
      <c r="D9" s="63">
        <v>103.99939999999999</v>
      </c>
      <c r="E9" s="63">
        <f t="shared" si="1"/>
        <v>137.55712365591398</v>
      </c>
      <c r="F9" s="62">
        <f t="shared" si="8"/>
        <v>117</v>
      </c>
      <c r="G9" s="63">
        <f t="shared" si="2"/>
        <v>151.66554659498209</v>
      </c>
      <c r="H9" s="62">
        <f t="shared" si="9"/>
        <v>129</v>
      </c>
      <c r="I9" s="63">
        <f t="shared" si="3"/>
        <v>204.57213261648747</v>
      </c>
      <c r="J9" s="62">
        <f t="shared" si="10"/>
        <v>174</v>
      </c>
      <c r="Q9" s="70" t="s">
        <v>46</v>
      </c>
      <c r="R9" s="71">
        <f t="shared" si="11"/>
        <v>103.99939999999999</v>
      </c>
      <c r="S9" s="72">
        <f t="shared" si="12"/>
        <v>117</v>
      </c>
      <c r="T9" s="72">
        <f t="shared" si="12"/>
        <v>129</v>
      </c>
      <c r="U9" s="73">
        <f t="shared" si="12"/>
        <v>174</v>
      </c>
      <c r="V9" s="63">
        <f>R9-Shahrdary!C36</f>
        <v>0.3335000000000008</v>
      </c>
      <c r="W9" s="128">
        <f>Y9*1000/31/24/3600-Shahrdary!Q36</f>
        <v>-1026.3398435949148</v>
      </c>
      <c r="X9" s="65" t="str">
        <f t="shared" si="4"/>
        <v>منطقه 3</v>
      </c>
      <c r="Y9" s="74">
        <f t="shared" si="13"/>
        <v>327494.11059999996</v>
      </c>
      <c r="Z9" s="74">
        <f t="shared" si="5"/>
        <v>368433</v>
      </c>
      <c r="AA9" s="74">
        <f t="shared" si="5"/>
        <v>406221</v>
      </c>
      <c r="AB9" s="75">
        <f t="shared" si="5"/>
        <v>547926</v>
      </c>
      <c r="AE9" s="76" t="str">
        <f t="shared" si="6"/>
        <v>منطقه 3</v>
      </c>
      <c r="AF9" s="80">
        <f t="shared" si="14"/>
        <v>1.39359196</v>
      </c>
      <c r="AG9" s="81">
        <f t="shared" si="7"/>
        <v>1.5678000000000001</v>
      </c>
      <c r="AH9" s="81">
        <f t="shared" si="7"/>
        <v>1.7285999999999999</v>
      </c>
      <c r="AI9" s="82">
        <f t="shared" si="7"/>
        <v>2.3315999999999999</v>
      </c>
    </row>
    <row r="10" spans="1:35" ht="20" x14ac:dyDescent="0.35">
      <c r="A10" s="62" t="s">
        <v>47</v>
      </c>
      <c r="B10" s="62">
        <v>114.60000000000001</v>
      </c>
      <c r="C10" s="63">
        <f t="shared" si="0"/>
        <v>61.292279905913979</v>
      </c>
      <c r="D10" s="63">
        <v>52.1325</v>
      </c>
      <c r="E10" s="63">
        <f t="shared" si="1"/>
        <v>68.190710872162484</v>
      </c>
      <c r="F10" s="62">
        <f t="shared" si="8"/>
        <v>58</v>
      </c>
      <c r="G10" s="63">
        <f t="shared" si="2"/>
        <v>75.244922341696537</v>
      </c>
      <c r="H10" s="62">
        <f t="shared" si="9"/>
        <v>64</v>
      </c>
      <c r="I10" s="63">
        <f t="shared" si="3"/>
        <v>102.28606630824373</v>
      </c>
      <c r="J10" s="62">
        <f t="shared" si="10"/>
        <v>87</v>
      </c>
      <c r="Q10" s="70" t="s">
        <v>48</v>
      </c>
      <c r="R10" s="71">
        <f t="shared" si="11"/>
        <v>52.1325</v>
      </c>
      <c r="S10" s="72">
        <f t="shared" si="12"/>
        <v>58</v>
      </c>
      <c r="T10" s="72">
        <f t="shared" si="12"/>
        <v>64</v>
      </c>
      <c r="U10" s="73">
        <f t="shared" si="12"/>
        <v>87</v>
      </c>
      <c r="V10" s="63">
        <f>R10-Shahrdary!C37</f>
        <v>0.46150000000000091</v>
      </c>
      <c r="W10" s="128">
        <f>Y10*1000/31/24/3600-Shahrdary!Q37</f>
        <v>-696.24812485773191</v>
      </c>
      <c r="X10" s="65" t="str">
        <f t="shared" si="4"/>
        <v>منطقه 4</v>
      </c>
      <c r="Y10" s="74">
        <f t="shared" si="13"/>
        <v>164165.24249999999</v>
      </c>
      <c r="Z10" s="74">
        <f t="shared" si="5"/>
        <v>182642</v>
      </c>
      <c r="AA10" s="74">
        <f t="shared" si="5"/>
        <v>201536</v>
      </c>
      <c r="AB10" s="75">
        <f t="shared" si="5"/>
        <v>273963</v>
      </c>
      <c r="AE10" s="76" t="str">
        <f t="shared" si="6"/>
        <v>منطقه 4</v>
      </c>
      <c r="AF10" s="80">
        <f t="shared" si="14"/>
        <v>0.69857550000000002</v>
      </c>
      <c r="AG10" s="81">
        <f t="shared" si="7"/>
        <v>0.7772</v>
      </c>
      <c r="AH10" s="81">
        <f t="shared" si="7"/>
        <v>0.85760000000000003</v>
      </c>
      <c r="AI10" s="82">
        <f t="shared" si="7"/>
        <v>1.1657999999999999</v>
      </c>
    </row>
    <row r="11" spans="1:35" ht="20" x14ac:dyDescent="0.35">
      <c r="A11" s="62" t="s">
        <v>49</v>
      </c>
      <c r="B11" s="62">
        <v>119.25</v>
      </c>
      <c r="C11" s="63">
        <f t="shared" si="0"/>
        <v>52.530126269414581</v>
      </c>
      <c r="D11" s="63">
        <v>44.6798</v>
      </c>
      <c r="E11" s="63">
        <f t="shared" si="1"/>
        <v>58.78509557945042</v>
      </c>
      <c r="F11" s="62">
        <f t="shared" si="8"/>
        <v>50</v>
      </c>
      <c r="G11" s="63">
        <f t="shared" si="2"/>
        <v>64.663605137395464</v>
      </c>
      <c r="H11" s="62">
        <f t="shared" si="9"/>
        <v>55</v>
      </c>
      <c r="I11" s="63">
        <f t="shared" si="3"/>
        <v>87.001941457586625</v>
      </c>
      <c r="J11" s="62">
        <f t="shared" si="10"/>
        <v>74</v>
      </c>
      <c r="Q11" s="70" t="s">
        <v>50</v>
      </c>
      <c r="R11" s="71">
        <f t="shared" si="11"/>
        <v>44.6798</v>
      </c>
      <c r="S11" s="72">
        <f t="shared" si="12"/>
        <v>50</v>
      </c>
      <c r="T11" s="72">
        <f t="shared" si="12"/>
        <v>55</v>
      </c>
      <c r="U11" s="73">
        <f t="shared" si="12"/>
        <v>74</v>
      </c>
      <c r="V11" s="63">
        <f>R11-Shahrdary!C38</f>
        <v>-0.56940000000000168</v>
      </c>
      <c r="W11" s="128">
        <f>Y11*1000/31/24/3600-Shahrdary!Q38</f>
        <v>-1187.8192374609102</v>
      </c>
      <c r="X11" s="65" t="str">
        <f t="shared" si="4"/>
        <v>منطقه 5</v>
      </c>
      <c r="Y11" s="74">
        <f t="shared" si="13"/>
        <v>140696.69020000001</v>
      </c>
      <c r="Z11" s="74">
        <f t="shared" si="5"/>
        <v>157450</v>
      </c>
      <c r="AA11" s="74">
        <f t="shared" si="5"/>
        <v>173195</v>
      </c>
      <c r="AB11" s="75">
        <f t="shared" si="5"/>
        <v>233026</v>
      </c>
      <c r="AE11" s="76" t="str">
        <f t="shared" si="6"/>
        <v>منطقه 5</v>
      </c>
      <c r="AF11" s="80">
        <f t="shared" si="14"/>
        <v>0.59870931999999999</v>
      </c>
      <c r="AG11" s="81">
        <f t="shared" si="7"/>
        <v>0.67</v>
      </c>
      <c r="AH11" s="81">
        <f t="shared" si="7"/>
        <v>0.73699999999999999</v>
      </c>
      <c r="AI11" s="82">
        <f t="shared" si="7"/>
        <v>0.99160000000000004</v>
      </c>
    </row>
    <row r="12" spans="1:35" ht="20" x14ac:dyDescent="0.35">
      <c r="A12" s="62" t="s">
        <v>51</v>
      </c>
      <c r="B12" s="62">
        <v>168.60000000000002</v>
      </c>
      <c r="C12" s="63">
        <f t="shared" si="0"/>
        <v>93.701796370967742</v>
      </c>
      <c r="D12" s="63">
        <v>79.698599999999999</v>
      </c>
      <c r="E12" s="63">
        <f t="shared" si="1"/>
        <v>104.63747013142175</v>
      </c>
      <c r="F12" s="62">
        <f t="shared" si="8"/>
        <v>89</v>
      </c>
      <c r="G12" s="63">
        <f t="shared" si="2"/>
        <v>116.39448924731182</v>
      </c>
      <c r="H12" s="62">
        <f t="shared" si="9"/>
        <v>99</v>
      </c>
      <c r="I12" s="63">
        <f t="shared" si="3"/>
        <v>156.36835424133812</v>
      </c>
      <c r="J12" s="62">
        <f t="shared" si="10"/>
        <v>133</v>
      </c>
      <c r="Q12" s="70" t="s">
        <v>52</v>
      </c>
      <c r="R12" s="71">
        <f t="shared" si="11"/>
        <v>79.698599999999999</v>
      </c>
      <c r="S12" s="72">
        <f t="shared" si="12"/>
        <v>89</v>
      </c>
      <c r="T12" s="72">
        <f t="shared" si="12"/>
        <v>99</v>
      </c>
      <c r="U12" s="73">
        <f t="shared" si="12"/>
        <v>133</v>
      </c>
      <c r="V12" s="63">
        <f>R12-Shahrdary!C39</f>
        <v>1.1989999999999981</v>
      </c>
      <c r="W12" s="128">
        <f>Y12*1000/31/24/3600-Shahrdary!Q39</f>
        <v>-1103.8930719821703</v>
      </c>
      <c r="X12" s="65" t="str">
        <f t="shared" si="4"/>
        <v>منطقه 6</v>
      </c>
      <c r="Y12" s="74">
        <f t="shared" si="13"/>
        <v>250970.89139999999</v>
      </c>
      <c r="Z12" s="74">
        <f t="shared" si="5"/>
        <v>280261</v>
      </c>
      <c r="AA12" s="74">
        <f t="shared" si="5"/>
        <v>311751</v>
      </c>
      <c r="AB12" s="75">
        <f t="shared" si="5"/>
        <v>418817</v>
      </c>
      <c r="AE12" s="76" t="str">
        <f t="shared" si="6"/>
        <v>منطقه 6</v>
      </c>
      <c r="AF12" s="80">
        <f t="shared" si="14"/>
        <v>1.06796124</v>
      </c>
      <c r="AG12" s="81">
        <f t="shared" si="7"/>
        <v>1.1926000000000001</v>
      </c>
      <c r="AH12" s="81">
        <f t="shared" si="7"/>
        <v>1.3266</v>
      </c>
      <c r="AI12" s="82">
        <f t="shared" si="7"/>
        <v>1.7822</v>
      </c>
    </row>
    <row r="13" spans="1:35" ht="20" x14ac:dyDescent="0.35">
      <c r="A13" s="62" t="s">
        <v>53</v>
      </c>
      <c r="B13" s="62">
        <v>364.35</v>
      </c>
      <c r="C13" s="63">
        <f t="shared" si="0"/>
        <v>622.69499820788531</v>
      </c>
      <c r="D13" s="63">
        <v>529.63679999999999</v>
      </c>
      <c r="E13" s="63">
        <f t="shared" si="1"/>
        <v>700.71833930704895</v>
      </c>
      <c r="F13" s="62">
        <f t="shared" si="8"/>
        <v>596</v>
      </c>
      <c r="G13" s="63">
        <f t="shared" si="2"/>
        <v>773.61185782556754</v>
      </c>
      <c r="H13" s="62">
        <f t="shared" si="9"/>
        <v>658</v>
      </c>
      <c r="I13" s="63">
        <f t="shared" si="3"/>
        <v>1041.6718936678615</v>
      </c>
      <c r="J13" s="62">
        <f t="shared" si="10"/>
        <v>886</v>
      </c>
      <c r="Q13" s="70" t="s">
        <v>54</v>
      </c>
      <c r="R13" s="71">
        <f t="shared" si="11"/>
        <v>529.63679999999999</v>
      </c>
      <c r="S13" s="72">
        <f t="shared" si="12"/>
        <v>596</v>
      </c>
      <c r="T13" s="72">
        <f t="shared" si="12"/>
        <v>658</v>
      </c>
      <c r="U13" s="73">
        <f t="shared" si="12"/>
        <v>886</v>
      </c>
      <c r="V13" s="63">
        <f>R13-Shahrdary!C40</f>
        <v>77.311800000000005</v>
      </c>
      <c r="W13" s="128">
        <f>Y13*1000/31/24/3600-Shahrdary!Q40</f>
        <v>-926.95828316710492</v>
      </c>
      <c r="X13" s="65" t="str">
        <f t="shared" si="4"/>
        <v>منطقه 7</v>
      </c>
      <c r="Y13" s="74">
        <f t="shared" si="13"/>
        <v>1667826.2831999999</v>
      </c>
      <c r="Z13" s="74">
        <f t="shared" si="5"/>
        <v>1876804</v>
      </c>
      <c r="AA13" s="74">
        <f t="shared" si="5"/>
        <v>2072042</v>
      </c>
      <c r="AB13" s="75">
        <f t="shared" si="5"/>
        <v>2790014</v>
      </c>
      <c r="AE13" s="76" t="str">
        <f t="shared" si="6"/>
        <v>منطقه 7</v>
      </c>
      <c r="AF13" s="80">
        <f t="shared" si="14"/>
        <v>7.0971331200000005</v>
      </c>
      <c r="AG13" s="81">
        <f t="shared" si="7"/>
        <v>7.9863999999999997</v>
      </c>
      <c r="AH13" s="81">
        <f t="shared" si="7"/>
        <v>8.8171999999999997</v>
      </c>
      <c r="AI13" s="82">
        <f t="shared" si="7"/>
        <v>11.872400000000001</v>
      </c>
    </row>
    <row r="14" spans="1:35" ht="20" x14ac:dyDescent="0.35">
      <c r="A14" s="62" t="s">
        <v>55</v>
      </c>
      <c r="B14" s="62">
        <v>140.10000000000002</v>
      </c>
      <c r="C14" s="63">
        <f t="shared" si="0"/>
        <v>130.82364366786143</v>
      </c>
      <c r="D14" s="63">
        <v>111.2728</v>
      </c>
      <c r="E14" s="63">
        <f t="shared" si="1"/>
        <v>146.96273894862605</v>
      </c>
      <c r="F14" s="62">
        <f t="shared" si="8"/>
        <v>125</v>
      </c>
      <c r="G14" s="63">
        <f t="shared" si="2"/>
        <v>162.24686379928315</v>
      </c>
      <c r="H14" s="62">
        <f t="shared" si="9"/>
        <v>138</v>
      </c>
      <c r="I14" s="63">
        <f t="shared" si="3"/>
        <v>218.68055555555554</v>
      </c>
      <c r="J14" s="62">
        <f t="shared" si="10"/>
        <v>186</v>
      </c>
      <c r="Q14" s="70" t="s">
        <v>56</v>
      </c>
      <c r="R14" s="71">
        <f t="shared" si="11"/>
        <v>111.2728</v>
      </c>
      <c r="S14" s="72">
        <f t="shared" si="12"/>
        <v>125</v>
      </c>
      <c r="T14" s="72">
        <f t="shared" si="12"/>
        <v>138</v>
      </c>
      <c r="U14" s="73">
        <f t="shared" si="12"/>
        <v>186</v>
      </c>
      <c r="V14" s="63">
        <f>R14-Shahrdary!C41</f>
        <v>-77.660800000000009</v>
      </c>
      <c r="W14" s="128">
        <f>Y14*1000/31/24/3600-Shahrdary!Q41</f>
        <v>-816.40397329463394</v>
      </c>
      <c r="X14" s="65" t="str">
        <f t="shared" si="4"/>
        <v>منطقه 8</v>
      </c>
      <c r="Y14" s="74">
        <f t="shared" si="13"/>
        <v>350398.04720000003</v>
      </c>
      <c r="Z14" s="74">
        <f t="shared" si="5"/>
        <v>393625</v>
      </c>
      <c r="AA14" s="74">
        <f t="shared" si="5"/>
        <v>434562</v>
      </c>
      <c r="AB14" s="75">
        <f t="shared" si="5"/>
        <v>585714</v>
      </c>
      <c r="AE14" s="76" t="str">
        <f t="shared" si="6"/>
        <v>منطقه 8</v>
      </c>
      <c r="AF14" s="80">
        <f t="shared" si="14"/>
        <v>1.49105552</v>
      </c>
      <c r="AG14" s="81">
        <f t="shared" si="7"/>
        <v>1.675</v>
      </c>
      <c r="AH14" s="81">
        <f t="shared" si="7"/>
        <v>1.8492</v>
      </c>
      <c r="AI14" s="82">
        <f t="shared" si="7"/>
        <v>2.4923999999999999</v>
      </c>
    </row>
    <row r="15" spans="1:35" ht="20" x14ac:dyDescent="0.35">
      <c r="A15" s="62" t="s">
        <v>57</v>
      </c>
      <c r="B15" s="62">
        <v>462.90000000000003</v>
      </c>
      <c r="C15" s="63">
        <f t="shared" si="0"/>
        <v>462.67220971475518</v>
      </c>
      <c r="D15" s="63">
        <v>393.52850000000001</v>
      </c>
      <c r="E15" s="63">
        <f t="shared" si="1"/>
        <v>520.83594683393073</v>
      </c>
      <c r="F15" s="62">
        <f t="shared" si="8"/>
        <v>443</v>
      </c>
      <c r="G15" s="63">
        <f t="shared" si="2"/>
        <v>574.91823476702507</v>
      </c>
      <c r="H15" s="62">
        <f t="shared" si="9"/>
        <v>489</v>
      </c>
      <c r="I15" s="63">
        <f t="shared" si="3"/>
        <v>773.61185782556754</v>
      </c>
      <c r="J15" s="62">
        <f t="shared" si="10"/>
        <v>658</v>
      </c>
      <c r="N15" s="62">
        <v>1</v>
      </c>
      <c r="Q15" s="70" t="s">
        <v>58</v>
      </c>
      <c r="R15" s="71">
        <f t="shared" si="11"/>
        <v>393.52850000000001</v>
      </c>
      <c r="S15" s="72">
        <f t="shared" si="12"/>
        <v>443</v>
      </c>
      <c r="T15" s="72">
        <f t="shared" si="12"/>
        <v>489</v>
      </c>
      <c r="U15" s="73">
        <f t="shared" si="12"/>
        <v>658</v>
      </c>
      <c r="V15" s="63">
        <f>R15-Shahrdary!C42</f>
        <v>-25.059500000000014</v>
      </c>
      <c r="W15" s="128">
        <f>Y15*1000/31/24/3600-Shahrdary!Q42</f>
        <v>-1595.7835790376027</v>
      </c>
      <c r="X15" s="65" t="str">
        <f t="shared" si="4"/>
        <v>منطقه 9</v>
      </c>
      <c r="Y15" s="74">
        <f t="shared" si="13"/>
        <v>1239221.2465000001</v>
      </c>
      <c r="Z15" s="74">
        <f t="shared" si="5"/>
        <v>1395007</v>
      </c>
      <c r="AA15" s="74">
        <f t="shared" si="5"/>
        <v>1539861</v>
      </c>
      <c r="AB15" s="75">
        <f t="shared" si="5"/>
        <v>2072042</v>
      </c>
      <c r="AE15" s="76" t="str">
        <f t="shared" si="6"/>
        <v>منطقه 9</v>
      </c>
      <c r="AF15" s="80">
        <f t="shared" si="14"/>
        <v>5.2732819000000006</v>
      </c>
      <c r="AG15" s="81">
        <f t="shared" si="7"/>
        <v>5.9362000000000004</v>
      </c>
      <c r="AH15" s="81">
        <f t="shared" si="7"/>
        <v>6.5526</v>
      </c>
      <c r="AI15" s="82">
        <f t="shared" si="7"/>
        <v>8.8171999999999997</v>
      </c>
    </row>
    <row r="16" spans="1:35" ht="20" x14ac:dyDescent="0.35">
      <c r="A16" s="62" t="s">
        <v>59</v>
      </c>
      <c r="B16" s="62">
        <v>273.14999999999998</v>
      </c>
      <c r="C16" s="63">
        <f t="shared" si="0"/>
        <v>180.44849294354842</v>
      </c>
      <c r="D16" s="63">
        <v>153.48150000000001</v>
      </c>
      <c r="E16" s="63">
        <f t="shared" si="1"/>
        <v>202.22072879330943</v>
      </c>
      <c r="F16" s="62">
        <f t="shared" si="8"/>
        <v>172</v>
      </c>
      <c r="G16" s="63">
        <f t="shared" si="2"/>
        <v>223.38336320191158</v>
      </c>
      <c r="H16" s="62">
        <f t="shared" si="9"/>
        <v>190</v>
      </c>
      <c r="I16" s="63">
        <f t="shared" si="3"/>
        <v>300.97968936678615</v>
      </c>
      <c r="J16" s="62">
        <f t="shared" si="10"/>
        <v>256</v>
      </c>
      <c r="M16" s="1204" t="s">
        <v>60</v>
      </c>
      <c r="N16" s="1204"/>
      <c r="Q16" s="70" t="s">
        <v>61</v>
      </c>
      <c r="R16" s="71">
        <f t="shared" si="11"/>
        <v>153.48150000000001</v>
      </c>
      <c r="S16" s="72">
        <f t="shared" si="12"/>
        <v>172</v>
      </c>
      <c r="T16" s="72">
        <f t="shared" si="12"/>
        <v>190</v>
      </c>
      <c r="U16" s="73">
        <f t="shared" si="12"/>
        <v>256</v>
      </c>
      <c r="V16" s="63">
        <f>R16-Shahrdary!C43</f>
        <v>-3.7483999999999753</v>
      </c>
      <c r="W16" s="128">
        <f>Y16*1000/31/24/3600-Shahrdary!Q43</f>
        <v>-647.69304615596047</v>
      </c>
      <c r="X16" s="65" t="str">
        <f t="shared" si="4"/>
        <v>منطقه 10</v>
      </c>
      <c r="Y16" s="74">
        <f t="shared" si="13"/>
        <v>483313.24350000004</v>
      </c>
      <c r="Z16" s="74">
        <f t="shared" si="5"/>
        <v>541628</v>
      </c>
      <c r="AA16" s="74">
        <f t="shared" si="5"/>
        <v>598310</v>
      </c>
      <c r="AB16" s="75">
        <f t="shared" si="5"/>
        <v>806144</v>
      </c>
      <c r="AE16" s="76" t="str">
        <f t="shared" si="6"/>
        <v>منطقه 10</v>
      </c>
      <c r="AF16" s="80">
        <f t="shared" si="14"/>
        <v>2.0566521</v>
      </c>
      <c r="AG16" s="81">
        <f t="shared" si="7"/>
        <v>2.3048000000000002</v>
      </c>
      <c r="AH16" s="81">
        <f t="shared" si="7"/>
        <v>2.5459999999999998</v>
      </c>
      <c r="AI16" s="82">
        <f t="shared" si="7"/>
        <v>3.4304000000000001</v>
      </c>
    </row>
    <row r="17" spans="1:35" ht="20" x14ac:dyDescent="0.35">
      <c r="A17" s="62" t="s">
        <v>62</v>
      </c>
      <c r="B17" s="62">
        <v>243.60000000000002</v>
      </c>
      <c r="C17" s="63">
        <f t="shared" si="0"/>
        <v>125.30795571983275</v>
      </c>
      <c r="D17" s="63">
        <v>106.5814</v>
      </c>
      <c r="E17" s="63">
        <f t="shared" si="1"/>
        <v>141.084229390681</v>
      </c>
      <c r="F17" s="62">
        <f t="shared" si="8"/>
        <v>120</v>
      </c>
      <c r="G17" s="63">
        <f t="shared" si="2"/>
        <v>155.19265232974911</v>
      </c>
      <c r="H17" s="62">
        <f t="shared" si="9"/>
        <v>132</v>
      </c>
      <c r="I17" s="63">
        <f t="shared" si="3"/>
        <v>209.2749402628435</v>
      </c>
      <c r="J17" s="62">
        <f t="shared" si="10"/>
        <v>178</v>
      </c>
      <c r="M17" s="1200">
        <v>2</v>
      </c>
      <c r="N17" s="1200"/>
      <c r="Q17" s="70" t="s">
        <v>63</v>
      </c>
      <c r="R17" s="71">
        <f t="shared" si="11"/>
        <v>106.5814</v>
      </c>
      <c r="S17" s="72">
        <f t="shared" si="12"/>
        <v>120</v>
      </c>
      <c r="T17" s="72">
        <f t="shared" si="12"/>
        <v>132</v>
      </c>
      <c r="U17" s="73">
        <f t="shared" si="12"/>
        <v>178</v>
      </c>
      <c r="V17" s="63">
        <f>R17-Shahrdary!C44</f>
        <v>-3.055499999999995</v>
      </c>
      <c r="W17" s="128">
        <f>Y17*1000/31/24/3600-Shahrdary!Q44</f>
        <v>-1441.6454625705155</v>
      </c>
      <c r="X17" s="65" t="str">
        <f t="shared" si="4"/>
        <v>منطقه 11</v>
      </c>
      <c r="Y17" s="74">
        <f t="shared" si="13"/>
        <v>335624.82860000001</v>
      </c>
      <c r="Z17" s="74">
        <f t="shared" si="5"/>
        <v>377880</v>
      </c>
      <c r="AA17" s="74">
        <f t="shared" si="5"/>
        <v>415668</v>
      </c>
      <c r="AB17" s="75">
        <f t="shared" si="5"/>
        <v>560522</v>
      </c>
      <c r="AE17" s="76" t="str">
        <f t="shared" si="6"/>
        <v>منطقه 11</v>
      </c>
      <c r="AF17" s="80">
        <f t="shared" si="14"/>
        <v>1.4281907600000001</v>
      </c>
      <c r="AG17" s="81">
        <f t="shared" si="7"/>
        <v>1.6080000000000001</v>
      </c>
      <c r="AH17" s="81">
        <f t="shared" si="7"/>
        <v>1.7687999999999999</v>
      </c>
      <c r="AI17" s="82">
        <f t="shared" si="7"/>
        <v>2.3852000000000002</v>
      </c>
    </row>
    <row r="18" spans="1:35" ht="20" x14ac:dyDescent="0.35">
      <c r="A18" s="62" t="s">
        <v>64</v>
      </c>
      <c r="B18" s="62">
        <v>134.39999999999998</v>
      </c>
      <c r="C18" s="63">
        <f t="shared" si="0"/>
        <v>102.82924059139785</v>
      </c>
      <c r="D18" s="63">
        <v>87.462000000000003</v>
      </c>
      <c r="E18" s="63">
        <f t="shared" si="1"/>
        <v>115.21878733572282</v>
      </c>
      <c r="F18" s="62">
        <f t="shared" si="8"/>
        <v>98</v>
      </c>
      <c r="G18" s="63">
        <f t="shared" si="2"/>
        <v>126.9758064516129</v>
      </c>
      <c r="H18" s="62">
        <f t="shared" si="9"/>
        <v>108</v>
      </c>
      <c r="I18" s="63">
        <f t="shared" si="3"/>
        <v>171.65247909199522</v>
      </c>
      <c r="J18" s="62">
        <f t="shared" si="10"/>
        <v>146</v>
      </c>
      <c r="Q18" s="70" t="s">
        <v>65</v>
      </c>
      <c r="R18" s="71">
        <f t="shared" si="11"/>
        <v>87.462000000000003</v>
      </c>
      <c r="S18" s="72">
        <f t="shared" si="12"/>
        <v>98</v>
      </c>
      <c r="T18" s="72">
        <f t="shared" si="12"/>
        <v>108</v>
      </c>
      <c r="U18" s="73">
        <f t="shared" si="12"/>
        <v>146</v>
      </c>
      <c r="V18" s="63">
        <f>R18-Shahrdary!C45</f>
        <v>1.9407000000000068</v>
      </c>
      <c r="W18" s="128">
        <f>Y18*1000/31/24/3600-Shahrdary!Q45</f>
        <v>-2051.7657723937909</v>
      </c>
      <c r="X18" s="65" t="str">
        <f t="shared" si="4"/>
        <v>منطقه 12</v>
      </c>
      <c r="Y18" s="74">
        <f t="shared" si="13"/>
        <v>275417.83799999999</v>
      </c>
      <c r="Z18" s="74">
        <f t="shared" si="5"/>
        <v>308602</v>
      </c>
      <c r="AA18" s="74">
        <f t="shared" si="5"/>
        <v>340092</v>
      </c>
      <c r="AB18" s="75">
        <f t="shared" si="5"/>
        <v>459754</v>
      </c>
      <c r="AE18" s="76" t="str">
        <f t="shared" si="6"/>
        <v>منطقه 12</v>
      </c>
      <c r="AF18" s="80">
        <f t="shared" si="14"/>
        <v>1.1719908000000001</v>
      </c>
      <c r="AG18" s="81">
        <f t="shared" si="7"/>
        <v>1.3131999999999999</v>
      </c>
      <c r="AH18" s="81">
        <f t="shared" si="7"/>
        <v>1.4472</v>
      </c>
      <c r="AI18" s="82">
        <f t="shared" si="7"/>
        <v>1.9563999999999999</v>
      </c>
    </row>
    <row r="19" spans="1:35" ht="20" x14ac:dyDescent="0.35">
      <c r="A19" s="62" t="s">
        <v>66</v>
      </c>
      <c r="B19" s="62">
        <v>19.649999999999999</v>
      </c>
      <c r="C19" s="63">
        <f t="shared" si="0"/>
        <v>8.4929178987455192</v>
      </c>
      <c r="D19" s="63">
        <v>7.2237</v>
      </c>
      <c r="E19" s="63">
        <f t="shared" si="1"/>
        <v>9.4056152927120671</v>
      </c>
      <c r="F19" s="62">
        <f t="shared" si="8"/>
        <v>8</v>
      </c>
      <c r="G19" s="63">
        <f t="shared" si="2"/>
        <v>9.4056152927120671</v>
      </c>
      <c r="H19" s="62">
        <f t="shared" si="9"/>
        <v>8</v>
      </c>
      <c r="I19" s="63">
        <f t="shared" si="3"/>
        <v>14.108422939068101</v>
      </c>
      <c r="J19" s="62">
        <f t="shared" si="10"/>
        <v>12</v>
      </c>
      <c r="Q19" s="70" t="s">
        <v>67</v>
      </c>
      <c r="R19" s="71">
        <f t="shared" si="11"/>
        <v>7.2237</v>
      </c>
      <c r="S19" s="72">
        <f>INT($D19*(1+$M$17/100)^M$21)</f>
        <v>8</v>
      </c>
      <c r="T19" s="72">
        <f t="shared" si="12"/>
        <v>8</v>
      </c>
      <c r="U19" s="73">
        <f t="shared" si="12"/>
        <v>12</v>
      </c>
      <c r="V19" s="63">
        <f>R19-Shahrdary!C46</f>
        <v>0</v>
      </c>
      <c r="W19" s="128">
        <f>Y19*1000/31/24/3600-Shahrdary!Q46</f>
        <v>-42.502210041177605</v>
      </c>
      <c r="X19" s="65" t="str">
        <f t="shared" si="4"/>
        <v>منطقه ثامن</v>
      </c>
      <c r="Y19" s="74">
        <f t="shared" si="13"/>
        <v>22747.4313</v>
      </c>
      <c r="Z19" s="74">
        <f t="shared" si="5"/>
        <v>25192</v>
      </c>
      <c r="AA19" s="74">
        <f t="shared" si="5"/>
        <v>25192</v>
      </c>
      <c r="AB19" s="75">
        <f t="shared" si="5"/>
        <v>37788</v>
      </c>
      <c r="AE19" s="76" t="str">
        <f t="shared" si="6"/>
        <v>منطقه ثامن</v>
      </c>
      <c r="AF19" s="80">
        <f t="shared" si="14"/>
        <v>9.6797580000000008E-2</v>
      </c>
      <c r="AG19" s="81">
        <f t="shared" si="7"/>
        <v>0.1072</v>
      </c>
      <c r="AH19" s="81">
        <f t="shared" si="7"/>
        <v>0.1072</v>
      </c>
      <c r="AI19" s="82">
        <f t="shared" si="7"/>
        <v>0.1608</v>
      </c>
    </row>
    <row r="20" spans="1:35" ht="20" x14ac:dyDescent="0.35">
      <c r="A20" s="62" t="s">
        <v>68</v>
      </c>
      <c r="B20" s="62">
        <v>22.799999999999997</v>
      </c>
      <c r="C20" s="63">
        <f t="shared" si="0"/>
        <v>212.80204599761052</v>
      </c>
      <c r="D20" s="63">
        <v>181</v>
      </c>
      <c r="E20" s="63">
        <f t="shared" si="1"/>
        <v>565.51261947431306</v>
      </c>
      <c r="F20" s="62">
        <f t="shared" si="8"/>
        <v>481</v>
      </c>
      <c r="G20" s="63">
        <f t="shared" si="2"/>
        <v>859.43809737156516</v>
      </c>
      <c r="H20" s="62">
        <f t="shared" si="9"/>
        <v>731</v>
      </c>
      <c r="I20" s="63">
        <f t="shared" si="3"/>
        <v>1741.2145310633214</v>
      </c>
      <c r="J20" s="62">
        <f t="shared" si="10"/>
        <v>1481</v>
      </c>
      <c r="L20" s="83">
        <v>1399</v>
      </c>
      <c r="M20" s="83">
        <v>1405</v>
      </c>
      <c r="N20" s="83">
        <v>1410</v>
      </c>
      <c r="O20" s="83">
        <v>1425</v>
      </c>
      <c r="P20" s="83">
        <v>50</v>
      </c>
      <c r="Q20" s="70" t="s">
        <v>69</v>
      </c>
      <c r="R20" s="71">
        <f t="shared" si="11"/>
        <v>181</v>
      </c>
      <c r="S20" s="72">
        <f>INT($D20+P$20*$M21)</f>
        <v>481</v>
      </c>
      <c r="T20" s="72">
        <f>INT($D20+P$20*$N21)</f>
        <v>731</v>
      </c>
      <c r="U20" s="73">
        <f>INT($D20+P$20*$O21)</f>
        <v>1481</v>
      </c>
      <c r="V20" s="63"/>
      <c r="W20" s="128"/>
      <c r="X20" s="65" t="str">
        <f t="shared" si="4"/>
        <v>کمربند شمالی</v>
      </c>
      <c r="Y20" s="74">
        <f>R20*$P$31</f>
        <v>63802.5</v>
      </c>
      <c r="Z20" s="74">
        <f t="shared" ref="Z20:AB21" si="15">S20*$P$31</f>
        <v>169552.5</v>
      </c>
      <c r="AA20" s="74">
        <f t="shared" si="15"/>
        <v>257677.5</v>
      </c>
      <c r="AB20" s="75">
        <f t="shared" si="15"/>
        <v>522052.5</v>
      </c>
      <c r="AE20" s="76" t="str">
        <f t="shared" si="6"/>
        <v>کمربند شمالی</v>
      </c>
      <c r="AF20" s="80">
        <f t="shared" si="14"/>
        <v>2.4253999999999998</v>
      </c>
      <c r="AG20" s="81">
        <f t="shared" si="7"/>
        <v>6.4454000000000002</v>
      </c>
      <c r="AH20" s="81">
        <f t="shared" si="7"/>
        <v>9.7954000000000008</v>
      </c>
      <c r="AI20" s="82">
        <f t="shared" si="7"/>
        <v>19.845400000000001</v>
      </c>
    </row>
    <row r="21" spans="1:35" ht="20" x14ac:dyDescent="0.35">
      <c r="A21" s="62" t="s">
        <v>70</v>
      </c>
      <c r="B21" s="62">
        <v>315.14999999999998</v>
      </c>
      <c r="C21" s="63">
        <f t="shared" si="0"/>
        <v>2931.1371451239543</v>
      </c>
      <c r="D21" s="63">
        <v>2493.0954999999999</v>
      </c>
      <c r="E21" s="63">
        <f t="shared" si="1"/>
        <v>4694.5777329749108</v>
      </c>
      <c r="F21" s="62">
        <f t="shared" si="8"/>
        <v>3993</v>
      </c>
      <c r="G21" s="63">
        <f t="shared" si="2"/>
        <v>6164.2051224611705</v>
      </c>
      <c r="H21" s="62">
        <f t="shared" si="9"/>
        <v>5243</v>
      </c>
      <c r="I21" s="63">
        <f t="shared" si="3"/>
        <v>10573.087290919952</v>
      </c>
      <c r="J21" s="62">
        <f t="shared" si="10"/>
        <v>8993</v>
      </c>
      <c r="L21" s="83"/>
      <c r="M21" s="83">
        <f>M20-$L$20</f>
        <v>6</v>
      </c>
      <c r="N21" s="83">
        <f>N20-$L$20</f>
        <v>11</v>
      </c>
      <c r="O21" s="83">
        <f>O20-$L$20</f>
        <v>26</v>
      </c>
      <c r="P21" s="83">
        <v>250</v>
      </c>
      <c r="Q21" s="70" t="s">
        <v>71</v>
      </c>
      <c r="R21" s="71">
        <f t="shared" si="11"/>
        <v>2493.0954999999999</v>
      </c>
      <c r="S21" s="72">
        <f>INT($D21+P$21*$M21)</f>
        <v>3993</v>
      </c>
      <c r="T21" s="72">
        <f>INT($D21+P$21*$N21)</f>
        <v>5243</v>
      </c>
      <c r="U21" s="73">
        <f>INT($D21+P$21*$O21)</f>
        <v>8993</v>
      </c>
      <c r="V21" s="63"/>
      <c r="W21" s="128"/>
      <c r="X21" s="65" t="str">
        <f t="shared" si="4"/>
        <v>کمربند جنوبی</v>
      </c>
      <c r="Y21" s="74">
        <f>R21*$P$31</f>
        <v>878816.16374999995</v>
      </c>
      <c r="Z21" s="74">
        <f t="shared" si="15"/>
        <v>1407532.5</v>
      </c>
      <c r="AA21" s="74">
        <f t="shared" si="15"/>
        <v>1848157.5</v>
      </c>
      <c r="AB21" s="75">
        <f t="shared" si="15"/>
        <v>3170032.5</v>
      </c>
      <c r="AE21" s="76" t="str">
        <f t="shared" si="6"/>
        <v>کمربند جنوبی</v>
      </c>
      <c r="AF21" s="80">
        <f t="shared" si="14"/>
        <v>33.407479699999996</v>
      </c>
      <c r="AG21" s="81">
        <f t="shared" si="7"/>
        <v>53.5062</v>
      </c>
      <c r="AH21" s="81">
        <f t="shared" si="7"/>
        <v>70.256200000000007</v>
      </c>
      <c r="AI21" s="82">
        <f t="shared" si="7"/>
        <v>120.50620000000001</v>
      </c>
    </row>
    <row r="22" spans="1:35" ht="20.5" thickBot="1" x14ac:dyDescent="0.4">
      <c r="A22" s="62" t="s">
        <v>72</v>
      </c>
      <c r="B22" s="62">
        <v>56.849999999999994</v>
      </c>
      <c r="C22" s="63">
        <f t="shared" si="0"/>
        <v>39.578829151732378</v>
      </c>
      <c r="D22" s="63">
        <v>33.664000000000001</v>
      </c>
      <c r="E22" s="63">
        <f t="shared" si="1"/>
        <v>39.578829151732378</v>
      </c>
      <c r="F22" s="62">
        <f>S22</f>
        <v>33.664000000000001</v>
      </c>
      <c r="G22" s="63">
        <f t="shared" si="2"/>
        <v>39.578829151732378</v>
      </c>
      <c r="H22" s="62">
        <f>T22</f>
        <v>33.664000000000001</v>
      </c>
      <c r="I22" s="63">
        <f t="shared" si="3"/>
        <v>39.578829151732378</v>
      </c>
      <c r="J22" s="62">
        <f>U22</f>
        <v>33.664000000000001</v>
      </c>
      <c r="P22" s="83">
        <f>SUM(P20:P21)</f>
        <v>300</v>
      </c>
      <c r="Q22" s="70" t="s">
        <v>73</v>
      </c>
      <c r="R22" s="71">
        <f t="shared" si="11"/>
        <v>33.664000000000001</v>
      </c>
      <c r="S22" s="359">
        <f>$R22</f>
        <v>33.664000000000001</v>
      </c>
      <c r="T22" s="359">
        <f>$R22</f>
        <v>33.664000000000001</v>
      </c>
      <c r="U22" s="360">
        <f>$R22</f>
        <v>33.664000000000001</v>
      </c>
      <c r="V22" s="63"/>
      <c r="W22" s="128"/>
      <c r="X22" s="84" t="str">
        <f t="shared" si="4"/>
        <v>سازمان پارکها</v>
      </c>
      <c r="Y22" s="85">
        <f>R22*$P$30</f>
        <v>106007.936</v>
      </c>
      <c r="Z22" s="85">
        <f>S22*$P$30</f>
        <v>106007.936</v>
      </c>
      <c r="AA22" s="85">
        <f>T22*$P$30</f>
        <v>106007.936</v>
      </c>
      <c r="AB22" s="86">
        <f>U22*$P$30</f>
        <v>106007.936</v>
      </c>
      <c r="AE22" s="87" t="str">
        <f t="shared" si="6"/>
        <v>سازمان پارکها</v>
      </c>
      <c r="AF22" s="88">
        <f t="shared" si="14"/>
        <v>0.45109760000000004</v>
      </c>
      <c r="AG22" s="89">
        <f t="shared" si="7"/>
        <v>0.45109760000000004</v>
      </c>
      <c r="AH22" s="89">
        <f t="shared" si="7"/>
        <v>0.45109760000000004</v>
      </c>
      <c r="AI22" s="90">
        <f t="shared" si="7"/>
        <v>0.45109760000000004</v>
      </c>
    </row>
    <row r="23" spans="1:35" ht="19" thickBot="1" x14ac:dyDescent="0.4">
      <c r="C23" s="63">
        <f>SUM(C7:C22)</f>
        <v>5343.827369698326</v>
      </c>
      <c r="D23" s="63">
        <f t="shared" ref="D23:J23" si="16">SUM(D7:D22)</f>
        <v>4545.223</v>
      </c>
      <c r="E23" s="63">
        <f t="shared" si="16"/>
        <v>7725.1422252090788</v>
      </c>
      <c r="F23" s="63">
        <f t="shared" si="16"/>
        <v>6570.6639999999998</v>
      </c>
      <c r="G23" s="63">
        <f t="shared" si="16"/>
        <v>9740.2953016726406</v>
      </c>
      <c r="H23" s="63">
        <f t="shared" si="16"/>
        <v>8284.6640000000007</v>
      </c>
      <c r="I23" s="63">
        <f t="shared" si="16"/>
        <v>15963.285519713261</v>
      </c>
      <c r="J23" s="63">
        <f t="shared" si="16"/>
        <v>13577.664000000001</v>
      </c>
      <c r="N23" s="83" t="s">
        <v>74</v>
      </c>
      <c r="O23" s="83">
        <v>0.23499999999999999</v>
      </c>
      <c r="Q23" s="1189"/>
      <c r="R23" s="1190"/>
      <c r="S23" s="1190"/>
      <c r="T23" s="1190"/>
      <c r="U23" s="1191"/>
      <c r="W23" s="128"/>
      <c r="X23" s="1223"/>
      <c r="Y23" s="1223"/>
      <c r="Z23" s="1223"/>
      <c r="AA23" s="1223"/>
      <c r="AB23" s="1223"/>
      <c r="AE23" s="1224"/>
      <c r="AF23" s="1224"/>
      <c r="AG23" s="1224"/>
      <c r="AH23" s="1224"/>
      <c r="AI23" s="1224"/>
    </row>
    <row r="24" spans="1:35" ht="28" x14ac:dyDescent="0.35">
      <c r="Q24" s="91" t="s">
        <v>75</v>
      </c>
      <c r="R24" s="92">
        <f>SUM(R7:R19)+R22</f>
        <v>1871.1275000000001</v>
      </c>
      <c r="S24" s="93">
        <f>SUM(S7:S19)+S22</f>
        <v>2096.6640000000002</v>
      </c>
      <c r="T24" s="93">
        <f>SUM(T7:T19)+T22</f>
        <v>2310.6640000000002</v>
      </c>
      <c r="U24" s="94">
        <f>SUM(U7:U19)+U22</f>
        <v>3103.6640000000002</v>
      </c>
      <c r="W24" s="128"/>
      <c r="X24" s="1186" t="s">
        <v>76</v>
      </c>
      <c r="Y24" s="1187"/>
      <c r="Z24" s="1187"/>
      <c r="AA24" s="1187"/>
      <c r="AB24" s="1188"/>
      <c r="AE24" s="1186" t="s">
        <v>77</v>
      </c>
      <c r="AF24" s="1187"/>
      <c r="AG24" s="1187"/>
      <c r="AH24" s="1187"/>
      <c r="AI24" s="1188"/>
    </row>
    <row r="25" spans="1:35" ht="18.649999999999999" customHeight="1" x14ac:dyDescent="0.35">
      <c r="Q25" s="91" t="s">
        <v>78</v>
      </c>
      <c r="R25" s="95">
        <f>R20+R21</f>
        <v>2674.0954999999999</v>
      </c>
      <c r="S25" s="96">
        <f>S20+S21</f>
        <v>4474</v>
      </c>
      <c r="T25" s="96">
        <f>T20+T21</f>
        <v>5974</v>
      </c>
      <c r="U25" s="97">
        <f>U20+U21</f>
        <v>10474</v>
      </c>
      <c r="W25" s="128"/>
      <c r="X25" s="91" t="str">
        <f>Q30</f>
        <v>شهر (میلیون مترمکعب)</v>
      </c>
      <c r="Y25" s="98">
        <f>(SUM(Y7:Y19)+Y22)/10^6</f>
        <v>5.8921804975000009</v>
      </c>
      <c r="Z25" s="98">
        <f>(SUM(Z7:Z19)+Z22)/10^6</f>
        <v>6.6023949359999996</v>
      </c>
      <c r="AA25" s="98">
        <f>(SUM(AA7:AA19)+AA22)/10^6</f>
        <v>7.276280936</v>
      </c>
      <c r="AB25" s="99">
        <f>(SUM(AB7:AB19)+AB22)/10^6</f>
        <v>9.7734379360000005</v>
      </c>
      <c r="AE25" s="91" t="str">
        <f>Q36</f>
        <v>شهر (میلیون مترمکعب)</v>
      </c>
      <c r="AF25" s="98">
        <f t="shared" ref="AF25:AI26" si="17">(SUM(AF7:AF19)+AF22)</f>
        <v>25.073108500000004</v>
      </c>
      <c r="AG25" s="98">
        <f t="shared" si="17"/>
        <v>28.095297599999999</v>
      </c>
      <c r="AH25" s="98">
        <f t="shared" si="17"/>
        <v>30.962897599999998</v>
      </c>
      <c r="AI25" s="99">
        <f t="shared" si="17"/>
        <v>41.589097600000002</v>
      </c>
    </row>
    <row r="26" spans="1:35" ht="18.649999999999999" customHeight="1" x14ac:dyDescent="0.35">
      <c r="Q26" s="1192" t="s">
        <v>79</v>
      </c>
      <c r="R26" s="1194">
        <f>SUM(R7:R22)</f>
        <v>4545.223</v>
      </c>
      <c r="S26" s="1194">
        <f>SUM(S7:S22)</f>
        <v>6570.6639999999998</v>
      </c>
      <c r="T26" s="1196">
        <f>SUM(T7:T22)</f>
        <v>8284.6640000000007</v>
      </c>
      <c r="U26" s="1198">
        <f>SUM(U7:U22)</f>
        <v>13577.664000000001</v>
      </c>
      <c r="W26" s="128"/>
      <c r="X26" s="91" t="str">
        <f>Q31</f>
        <v>کمربند (میلیون مترمکعب)</v>
      </c>
      <c r="Y26" s="98">
        <f>SUM(Y20:Y21)/10^6</f>
        <v>0.94261866374999992</v>
      </c>
      <c r="Z26" s="98">
        <f>SUM(Z20:Z21)/10^6</f>
        <v>1.5770850000000001</v>
      </c>
      <c r="AA26" s="98">
        <f>SUM(AA20:AA21)/10^6</f>
        <v>2.1058349999999999</v>
      </c>
      <c r="AB26" s="99">
        <f>SUM(AB20:AB21)/10^6</f>
        <v>3.6920850000000001</v>
      </c>
      <c r="AE26" s="91" t="str">
        <f>Q37</f>
        <v>کمربند (میلیون مترمکعب)</v>
      </c>
      <c r="AF26" s="98">
        <f t="shared" si="17"/>
        <v>26.476733039999999</v>
      </c>
      <c r="AG26" s="98">
        <f t="shared" si="17"/>
        <v>33.459800000000001</v>
      </c>
      <c r="AH26" s="98">
        <f t="shared" si="17"/>
        <v>39.610399999999998</v>
      </c>
      <c r="AI26" s="99">
        <f t="shared" si="17"/>
        <v>60.031999999999996</v>
      </c>
    </row>
    <row r="27" spans="1:35" ht="19.149999999999999" customHeight="1" thickBot="1" x14ac:dyDescent="0.4">
      <c r="Q27" s="1205"/>
      <c r="R27" s="1206"/>
      <c r="S27" s="1206"/>
      <c r="T27" s="1225"/>
      <c r="U27" s="1226"/>
      <c r="W27" s="128"/>
      <c r="X27" s="91" t="str">
        <f>Q32</f>
        <v>مجموع کل (میلیون مترمکعب)</v>
      </c>
      <c r="Y27" s="100">
        <f>SUM(Y25:Y26)</f>
        <v>6.8347991612500012</v>
      </c>
      <c r="Z27" s="100">
        <f>SUM(Z25:Z26)</f>
        <v>8.1794799359999999</v>
      </c>
      <c r="AA27" s="100">
        <f>SUM(AA25:AA26)</f>
        <v>9.3821159359999999</v>
      </c>
      <c r="AB27" s="101">
        <f>SUM(AB25:AB26)</f>
        <v>13.465522936000001</v>
      </c>
      <c r="AE27" s="102" t="str">
        <f>Q38</f>
        <v>مجموع کل (میلیون مترمکعب)</v>
      </c>
      <c r="AF27" s="100">
        <f>SUM(AF25:AF26)</f>
        <v>51.549841540000003</v>
      </c>
      <c r="AG27" s="100">
        <f>SUM(AG25:AG26)</f>
        <v>61.555097599999996</v>
      </c>
      <c r="AH27" s="100">
        <f>SUM(AH25:AH26)</f>
        <v>70.573297599999989</v>
      </c>
      <c r="AI27" s="101">
        <f>SUM(AI25:AI26)</f>
        <v>101.6210976</v>
      </c>
    </row>
    <row r="28" spans="1:35" ht="28" x14ac:dyDescent="0.35">
      <c r="M28" s="1211" t="s">
        <v>13</v>
      </c>
      <c r="N28" s="1212"/>
      <c r="O28" s="1212"/>
      <c r="P28" s="1213"/>
      <c r="Q28" s="1186" t="s">
        <v>76</v>
      </c>
      <c r="R28" s="1187"/>
      <c r="S28" s="1187"/>
      <c r="T28" s="1187"/>
      <c r="U28" s="1188"/>
      <c r="W28" s="128"/>
    </row>
    <row r="29" spans="1:35" ht="24" x14ac:dyDescent="0.35">
      <c r="M29" s="1214"/>
      <c r="N29" s="1215"/>
      <c r="O29" s="1215"/>
      <c r="P29" s="1216"/>
      <c r="Q29" s="91" t="s">
        <v>80</v>
      </c>
      <c r="R29" s="103">
        <f>R6</f>
        <v>1399</v>
      </c>
      <c r="S29" s="103">
        <f>S6</f>
        <v>1405</v>
      </c>
      <c r="T29" s="103">
        <f>T6</f>
        <v>1410</v>
      </c>
      <c r="U29" s="104">
        <f>U6</f>
        <v>1425</v>
      </c>
      <c r="W29" s="128"/>
    </row>
    <row r="30" spans="1:35" ht="24" x14ac:dyDescent="0.35">
      <c r="M30" s="1214" t="s">
        <v>81</v>
      </c>
      <c r="N30" s="1215"/>
      <c r="O30" s="105" t="s">
        <v>82</v>
      </c>
      <c r="P30" s="106">
        <f>P36*$O$23</f>
        <v>3149</v>
      </c>
      <c r="Q30" s="91" t="s">
        <v>83</v>
      </c>
      <c r="R30" s="107">
        <f>R24*$P$30/1000000</f>
        <v>5.8921804975000009</v>
      </c>
      <c r="S30" s="107">
        <f>S24*$P$30/1000000</f>
        <v>6.6023949360000005</v>
      </c>
      <c r="T30" s="107">
        <f>T24*$P$30/1000000</f>
        <v>7.2762809360000009</v>
      </c>
      <c r="U30" s="108">
        <f>U24*$P$30/1000000</f>
        <v>9.7734379360000005</v>
      </c>
      <c r="W30" s="128"/>
    </row>
    <row r="31" spans="1:35" ht="24.5" thickBot="1" x14ac:dyDescent="0.4">
      <c r="M31" s="1217" t="s">
        <v>81</v>
      </c>
      <c r="N31" s="1218"/>
      <c r="O31" s="109" t="s">
        <v>84</v>
      </c>
      <c r="P31" s="110">
        <f>P37*$O$23</f>
        <v>352.5</v>
      </c>
      <c r="Q31" s="91" t="s">
        <v>85</v>
      </c>
      <c r="R31" s="107">
        <f>R25*$P$31/1000000</f>
        <v>0.94261866374999992</v>
      </c>
      <c r="S31" s="107">
        <f>S25*$P$31/1000000</f>
        <v>1.5770850000000001</v>
      </c>
      <c r="T31" s="107">
        <f>T25*$P$31/1000000</f>
        <v>2.1058349999999999</v>
      </c>
      <c r="U31" s="108">
        <f>U25*$P$31/1000000</f>
        <v>3.6920850000000001</v>
      </c>
      <c r="W31" s="128"/>
      <c r="X31" s="111"/>
    </row>
    <row r="32" spans="1:35" ht="24" x14ac:dyDescent="0.35">
      <c r="Q32" s="91" t="s">
        <v>86</v>
      </c>
      <c r="R32" s="107">
        <f>SUM(R30:R31)</f>
        <v>6.8347991612500012</v>
      </c>
      <c r="S32" s="107">
        <f>SUM(S30:S31)</f>
        <v>8.1794799359999999</v>
      </c>
      <c r="T32" s="107">
        <f>SUM(T30:T31)</f>
        <v>9.3821159360000017</v>
      </c>
      <c r="U32" s="108">
        <f>SUM(U30:U31)</f>
        <v>13.465522936000001</v>
      </c>
      <c r="W32" s="128"/>
    </row>
    <row r="33" spans="13:23" ht="24.5" thickBot="1" x14ac:dyDescent="0.4">
      <c r="Q33" s="112" t="s">
        <v>87</v>
      </c>
      <c r="R33" s="113">
        <f>R32*1000000*1000/(31*24*3600)</f>
        <v>2551.8216701202214</v>
      </c>
      <c r="S33" s="113">
        <f>S32*1000000*1000/(31*24*3600)</f>
        <v>3053.8679569892474</v>
      </c>
      <c r="T33" s="113">
        <f>T32*1000000*1000/(31*24*3600)</f>
        <v>3502.880800477898</v>
      </c>
      <c r="U33" s="114">
        <f>U32*1000000*1000/(31*24*3600)</f>
        <v>5027.4503195937878</v>
      </c>
      <c r="W33" s="128"/>
    </row>
    <row r="34" spans="13:23" ht="28" x14ac:dyDescent="0.35">
      <c r="M34" s="1219" t="s">
        <v>14</v>
      </c>
      <c r="N34" s="1220"/>
      <c r="O34" s="1220"/>
      <c r="P34" s="1221"/>
      <c r="Q34" s="1186" t="s">
        <v>77</v>
      </c>
      <c r="R34" s="1187"/>
      <c r="S34" s="1187"/>
      <c r="T34" s="1187"/>
      <c r="U34" s="1188"/>
      <c r="W34" s="128"/>
    </row>
    <row r="35" spans="13:23" ht="24" x14ac:dyDescent="0.35">
      <c r="M35" s="1207"/>
      <c r="N35" s="1208"/>
      <c r="O35" s="1208"/>
      <c r="P35" s="1222"/>
      <c r="Q35" s="91" t="s">
        <v>80</v>
      </c>
      <c r="R35" s="103">
        <f>R29</f>
        <v>1399</v>
      </c>
      <c r="S35" s="103">
        <f>S29</f>
        <v>1405</v>
      </c>
      <c r="T35" s="103">
        <f>T29</f>
        <v>1410</v>
      </c>
      <c r="U35" s="104">
        <f>U29</f>
        <v>1425</v>
      </c>
      <c r="W35" s="128"/>
    </row>
    <row r="36" spans="13:23" ht="24" x14ac:dyDescent="0.35">
      <c r="M36" s="1207" t="s">
        <v>81</v>
      </c>
      <c r="N36" s="1208"/>
      <c r="O36" s="115" t="s">
        <v>82</v>
      </c>
      <c r="P36" s="106">
        <v>13400</v>
      </c>
      <c r="Q36" s="91" t="str">
        <f>Q30</f>
        <v>شهر (میلیون مترمکعب)</v>
      </c>
      <c r="R36" s="116">
        <f>R24*$P$36/1000000</f>
        <v>25.0731085</v>
      </c>
      <c r="S36" s="116">
        <f>S24*$P$36/1000000</f>
        <v>28.095297600000002</v>
      </c>
      <c r="T36" s="116">
        <f>T24*$P$36/1000000</f>
        <v>30.962897600000002</v>
      </c>
      <c r="U36" s="117">
        <f>U24*$P$36/1000000</f>
        <v>41.589097600000002</v>
      </c>
      <c r="W36" s="128"/>
    </row>
    <row r="37" spans="13:23" ht="24.5" thickBot="1" x14ac:dyDescent="0.4">
      <c r="M37" s="1209" t="s">
        <v>81</v>
      </c>
      <c r="N37" s="1210"/>
      <c r="O37" s="118" t="s">
        <v>84</v>
      </c>
      <c r="P37" s="110">
        <v>1500</v>
      </c>
      <c r="Q37" s="91" t="str">
        <f>Q31</f>
        <v>کمربند (میلیون مترمکعب)</v>
      </c>
      <c r="R37" s="116">
        <f>R25*$P$37/1000000</f>
        <v>4.0111432499999999</v>
      </c>
      <c r="S37" s="116">
        <f>S25*$P$37/1000000</f>
        <v>6.7110000000000003</v>
      </c>
      <c r="T37" s="116">
        <f>T25*$P$37/1000000</f>
        <v>8.9610000000000003</v>
      </c>
      <c r="U37" s="117">
        <f>U25*$P$37/1000000</f>
        <v>15.711</v>
      </c>
      <c r="W37" s="128"/>
    </row>
    <row r="38" spans="13:23" ht="24.5" thickBot="1" x14ac:dyDescent="0.4">
      <c r="Q38" s="102" t="str">
        <f>Q32</f>
        <v>مجموع کل (میلیون مترمکعب)</v>
      </c>
      <c r="R38" s="119">
        <f>SUM(R36:R37)</f>
        <v>29.08425175</v>
      </c>
      <c r="S38" s="119">
        <f>SUM(S36:S37)</f>
        <v>34.806297600000001</v>
      </c>
      <c r="T38" s="119">
        <f>SUM(T36:T37)</f>
        <v>39.923897600000004</v>
      </c>
      <c r="U38" s="120">
        <f>SUM(U36:U37)</f>
        <v>57.300097600000001</v>
      </c>
    </row>
  </sheetData>
  <customSheetViews>
    <customSheetView guid="{26361B95-E0F4-4392-817A-319F68EF6AA9}" scale="85" topLeftCell="L1">
      <selection activeCell="W25" sqref="W20:W25"/>
      <pageMargins left="0.7" right="0.7" top="0.75" bottom="0.75" header="0.3" footer="0.3"/>
      <pageSetup orientation="portrait" r:id="rId1"/>
    </customSheetView>
    <customSheetView guid="{467F609B-6BAD-4DEC-B1AB-339F329A87DF}" scale="85">
      <selection activeCell="G8" sqref="G8"/>
      <pageMargins left="0.7" right="0.7" top="0.75" bottom="0.75" header="0.3" footer="0.3"/>
      <pageSetup orientation="portrait" r:id="rId2"/>
    </customSheetView>
  </customSheetViews>
  <mergeCells count="23">
    <mergeCell ref="M16:N16"/>
    <mergeCell ref="M17:N17"/>
    <mergeCell ref="T26:T27"/>
    <mergeCell ref="U26:U27"/>
    <mergeCell ref="Q5:U5"/>
    <mergeCell ref="X5:AB5"/>
    <mergeCell ref="AE5:AI5"/>
    <mergeCell ref="Q23:U23"/>
    <mergeCell ref="X23:AB23"/>
    <mergeCell ref="AE23:AI23"/>
    <mergeCell ref="M36:N36"/>
    <mergeCell ref="M37:N37"/>
    <mergeCell ref="M28:P29"/>
    <mergeCell ref="Q28:U28"/>
    <mergeCell ref="M30:N30"/>
    <mergeCell ref="M31:N31"/>
    <mergeCell ref="M34:P35"/>
    <mergeCell ref="Q34:U34"/>
    <mergeCell ref="X24:AB24"/>
    <mergeCell ref="AE24:AI24"/>
    <mergeCell ref="Q26:Q27"/>
    <mergeCell ref="R26:R27"/>
    <mergeCell ref="S26:S27"/>
  </mergeCells>
  <conditionalFormatting sqref="V7:V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3"/>
  <ignoredErrors>
    <ignoredError sqref="F7 H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Shahrdary</vt:lpstr>
      <vt:lpstr>HydroM.</vt:lpstr>
      <vt:lpstr>16</vt:lpstr>
      <vt:lpstr>Abs (2)</vt:lpstr>
      <vt:lpstr>TreeQ</vt:lpstr>
      <vt:lpstr>Shading</vt:lpstr>
      <vt:lpstr>9&amp;11</vt:lpstr>
      <vt:lpstr>کمربند</vt:lpstr>
      <vt:lpstr>Demands (2)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hydrotech toos</dc:creator>
  <cp:lastModifiedBy>Pooya Shirazi</cp:lastModifiedBy>
  <cp:lastPrinted>2020-11-28T07:40:08Z</cp:lastPrinted>
  <dcterms:created xsi:type="dcterms:W3CDTF">2020-11-17T08:29:36Z</dcterms:created>
  <dcterms:modified xsi:type="dcterms:W3CDTF">2020-12-30T09:03:50Z</dcterms:modified>
</cp:coreProperties>
</file>