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D670BB40-60E6-4632-AEDA-C7F978904A48}" xr6:coauthVersionLast="46" xr6:coauthVersionMax="46" xr10:uidLastSave="{00000000-0000-0000-0000-000000000000}"/>
  <bookViews>
    <workbookView xWindow="-110" yWindow="-110" windowWidth="21820" windowHeight="14160" tabRatio="798" activeTab="1" xr2:uid="{6211F9D4-4977-41FC-BEE6-7FEF3FDDBB48}"/>
  </bookViews>
  <sheets>
    <sheet name="مساحت - پیمان" sheetId="1" r:id="rId1"/>
    <sheet name="مساحت - منطقه" sheetId="3" r:id="rId2"/>
    <sheet name="گونه - منطقه" sheetId="4" r:id="rId3"/>
    <sheet name="لکه - منطقه" sheetId="5" r:id="rId4"/>
    <sheet name="آبیاری درخت - منطقه" sheetId="7" r:id="rId5"/>
    <sheet name="آبیاری غیردرخت - منطقه" sheetId="9" r:id="rId6"/>
    <sheet name="درخت و درختچه اصله" sheetId="10" r:id="rId7"/>
    <sheet name="مساحت موجود تفصیلی توسعه" sheetId="11" r:id="rId8"/>
  </sheets>
  <definedNames>
    <definedName name="CODE" localSheetId="4">'آبیاری درخت - منطقه'!$N$2:INDEX('آبیاری درخت - منطقه'!$N$2:$N$15,COUNTIF('آبیاری درخت - منطقه'!$N$2:$N$15,"&lt;&gt; "))</definedName>
    <definedName name="CODE" localSheetId="5">'آبیاری غیردرخت - منطقه'!$N$2:INDEX('آبیاری غیردرخت - منطقه'!$N$2:$N$15,COUNTIF('آبیاری غیردرخت - منطقه'!$N$2:$N$15,"&lt;&gt; "))</definedName>
    <definedName name="CODE" localSheetId="2">'گونه - منطقه'!$O$2:INDEX('گونه - منطقه'!$O$2:$O$15,COUNTIF('گونه - منطقه'!$O$2:$O$15,"&lt;&gt; "))</definedName>
    <definedName name="CODE" localSheetId="3">'لکه - منطقه'!$U$2:INDEX('لکه - منطقه'!$U$2:$U$15,COUNTIF('لکه - منطقه'!$U$2:$U$15,"&lt;&gt; "))</definedName>
    <definedName name="CODE">'مساحت - پیمان'!$P$2:INDEX('مساحت - پیمان'!$P$2:$P$16,COUNTIF('مساحت - پیمان'!$P$2:$P$16,"&lt;&gt; "))</definedName>
    <definedName name="VALUE1" localSheetId="4">'آبیاری درخت - منطقه'!$P$2:INDEX('آبیاری درخت - منطقه'!$P$2:$P$15,COUNTIF('آبیاری درخت - منطقه'!$N$2:$N$15,"&lt;&gt; "))</definedName>
    <definedName name="VALUE1" localSheetId="5">'آبیاری غیردرخت - منطقه'!$P$2:INDEX('آبیاری غیردرخت - منطقه'!$P$2:$P$15,COUNTIF('آبیاری غیردرخت - منطقه'!$N$2:$N$15,"&lt;&gt; "))</definedName>
    <definedName name="VALUE1" localSheetId="2">'گونه - منطقه'!$R$2:INDEX('گونه - منطقه'!$R$2:$R$15,COUNTIF('گونه - منطقه'!$O$2:$O$15,"&lt;&gt; "))</definedName>
    <definedName name="VALUE1" localSheetId="3">'لکه - منطقه'!$AD$2:INDEX('لکه - منطقه'!$AD$2:$AD$15,COUNTIF('لکه - منطقه'!$U$2:$U$15,"&lt;&gt; "))</definedName>
    <definedName name="VALUE1" localSheetId="0">'مساحت - پیمان'!$Q$2:INDEX('مساحت - پیمان'!$Q$2:$Q$16,COUNTIF('مساحت - پیمان'!$P$2:$P$16,"&lt;&gt; "))</definedName>
    <definedName name="VALUE2" localSheetId="4">'آبیاری درخت - منطقه'!$Q$2:INDEX('آبیاری درخت - منطقه'!$Q$2:$Q$15,COUNTIF('آبیاری درخت - منطقه'!$N$2:$N$15,"&lt;&gt; "))</definedName>
    <definedName name="VALUE2" localSheetId="5">'آبیاری غیردرخت - منطقه'!$Q$2:INDEX('آبیاری غیردرخت - منطقه'!$Q$2:$Q$15,COUNTIF('آبیاری غیردرخت - منطقه'!$N$2:$N$15,"&lt;&gt; "))</definedName>
    <definedName name="VALUE2" localSheetId="2">'گونه - منطقه'!$S$2:INDEX('گونه - منطقه'!$S$2:$S$15,COUNTIF('گونه - منطقه'!$O$2:$O$15,"&lt;&gt; "))</definedName>
    <definedName name="VALUE2" localSheetId="3">'لکه - منطقه'!$AE$2:INDEX('لکه - منطقه'!$AE$2:$AE$15,COUNTIF('لکه - منطقه'!$U$2:$U$15,"&lt;&gt; "))</definedName>
    <definedName name="VALUE2" localSheetId="0">'مساحت - پیمان'!$R$2:INDEX('مساحت - پیمان'!$R$2:$R$16,COUNTIF('مساحت - پیمان'!$P$2:$P$16,"&lt;&gt; "))</definedName>
    <definedName name="VALUE3">'مساحت - پیمان'!$S$2:INDEX('مساحت - پیمان'!$S$2:$S$16,COUNTIF('مساحت - پیمان'!$P$2:$P$16,"&lt;&gt; "))</definedName>
    <definedName name="VV" localSheetId="4">'آبیاری درخت - منطقه'!$R$2:INDEX('آبیاری درخت - منطقه'!$R$2:$R$15,COUNTIF('آبیاری درخت - منطقه'!$N$2:$N$15,"&lt;&gt; "))</definedName>
    <definedName name="VV" localSheetId="5">'آبیاری غیردرخت - منطقه'!$R$2:INDEX('آبیاری غیردرخت - منطقه'!$R$2:$R$15,COUNTIF('آبیاری غیردرخت - منطقه'!$N$2:$N$15,"&lt;&gt; "))</definedName>
    <definedName name="VV" localSheetId="3">'لکه - منطقه'!$AF$2:INDEX('لکه - منطقه'!$AF$2:$AF$15,COUNTIF('لکه - منطقه'!$U$2:$U$15,"&lt;&gt; "))</definedName>
    <definedName name="VV">'گونه - منطقه'!$T$2:INDEX('گونه - منطقه'!$T$2:$T$15,COUNTIF('گونه - منطقه'!$O$2:$O$15,"&lt;&gt; "))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9" l="1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F2" i="9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F2" i="7"/>
  <c r="G2" i="7" s="1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N2" i="5"/>
  <c r="M2" i="5"/>
  <c r="G2" i="9" l="1"/>
  <c r="H14" i="9" s="1"/>
  <c r="G15" i="7"/>
  <c r="H5" i="7" s="1"/>
  <c r="N15" i="5"/>
  <c r="O3" i="5" s="1"/>
  <c r="H3" i="4"/>
  <c r="H5" i="4"/>
  <c r="H7" i="4"/>
  <c r="H8" i="4"/>
  <c r="H9" i="4"/>
  <c r="H10" i="4"/>
  <c r="H11" i="4"/>
  <c r="H12" i="4"/>
  <c r="H13" i="4"/>
  <c r="H14" i="4"/>
  <c r="H15" i="4"/>
  <c r="G3" i="4"/>
  <c r="G4" i="4"/>
  <c r="H4" i="4" s="1"/>
  <c r="G5" i="4"/>
  <c r="G6" i="4"/>
  <c r="H6" i="4" s="1"/>
  <c r="G7" i="4"/>
  <c r="G8" i="4"/>
  <c r="G9" i="4"/>
  <c r="G10" i="4"/>
  <c r="G11" i="4"/>
  <c r="G12" i="4"/>
  <c r="G13" i="4"/>
  <c r="G14" i="4"/>
  <c r="G15" i="4"/>
  <c r="H2" i="4"/>
  <c r="G2" i="4"/>
  <c r="I3" i="1"/>
  <c r="I4" i="1"/>
  <c r="I5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9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2" i="1"/>
  <c r="H3" i="1"/>
  <c r="H4" i="1"/>
  <c r="H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H50" i="1"/>
  <c r="I50" i="1" s="1"/>
  <c r="H51" i="1"/>
  <c r="I51" i="1" s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2" i="1"/>
  <c r="H8" i="9" l="1"/>
  <c r="H4" i="9"/>
  <c r="H15" i="9"/>
  <c r="H3" i="9"/>
  <c r="H2" i="9"/>
  <c r="H6" i="9"/>
  <c r="H13" i="9"/>
  <c r="H10" i="9"/>
  <c r="H5" i="9"/>
  <c r="H11" i="9"/>
  <c r="H12" i="9"/>
  <c r="H7" i="9"/>
  <c r="H9" i="9"/>
  <c r="H14" i="7"/>
  <c r="H3" i="7"/>
  <c r="H7" i="7"/>
  <c r="H4" i="7"/>
  <c r="H10" i="7"/>
  <c r="H12" i="7"/>
  <c r="H2" i="7"/>
  <c r="H11" i="7"/>
  <c r="H9" i="7"/>
  <c r="H8" i="7"/>
  <c r="H6" i="7"/>
  <c r="H13" i="7"/>
  <c r="H15" i="7"/>
  <c r="O5" i="5"/>
  <c r="O10" i="5"/>
  <c r="O11" i="5"/>
  <c r="O6" i="5"/>
  <c r="O9" i="5"/>
  <c r="O4" i="5"/>
  <c r="O8" i="5"/>
  <c r="O14" i="5"/>
  <c r="O13" i="5"/>
  <c r="O15" i="5"/>
  <c r="O2" i="5"/>
  <c r="O7" i="5"/>
  <c r="O12" i="5"/>
  <c r="I3" i="4"/>
  <c r="I10" i="4"/>
  <c r="I9" i="4"/>
  <c r="I15" i="4"/>
  <c r="I7" i="4"/>
  <c r="I14" i="4"/>
  <c r="I6" i="4"/>
  <c r="I13" i="4"/>
  <c r="I5" i="4"/>
  <c r="I8" i="4"/>
  <c r="I12" i="4"/>
  <c r="I4" i="4"/>
  <c r="I11" i="4"/>
  <c r="I2" i="4"/>
  <c r="J50" i="1"/>
  <c r="J3" i="1"/>
  <c r="J18" i="1"/>
  <c r="J73" i="1"/>
  <c r="J65" i="1"/>
  <c r="J57" i="1"/>
  <c r="J49" i="1"/>
  <c r="J41" i="1"/>
  <c r="J33" i="1"/>
  <c r="J25" i="1"/>
  <c r="J17" i="1"/>
  <c r="J9" i="1"/>
  <c r="J66" i="1"/>
  <c r="J10" i="1"/>
  <c r="J72" i="1"/>
  <c r="J64" i="1"/>
  <c r="J56" i="1"/>
  <c r="J48" i="1"/>
  <c r="J40" i="1"/>
  <c r="J32" i="1"/>
  <c r="J24" i="1"/>
  <c r="J16" i="1"/>
  <c r="J8" i="1"/>
  <c r="J34" i="1"/>
  <c r="J71" i="1"/>
  <c r="J63" i="1"/>
  <c r="J55" i="1"/>
  <c r="J47" i="1"/>
  <c r="J39" i="1"/>
  <c r="J31" i="1"/>
  <c r="J23" i="1"/>
  <c r="J15" i="1"/>
  <c r="J7" i="1"/>
  <c r="J42" i="1"/>
  <c r="J70" i="1"/>
  <c r="J62" i="1"/>
  <c r="J54" i="1"/>
  <c r="J46" i="1"/>
  <c r="J38" i="1"/>
  <c r="J30" i="1"/>
  <c r="J22" i="1"/>
  <c r="J14" i="1"/>
  <c r="J6" i="1"/>
  <c r="J74" i="1"/>
  <c r="J26" i="1"/>
  <c r="J69" i="1"/>
  <c r="J61" i="1"/>
  <c r="J53" i="1"/>
  <c r="J45" i="1"/>
  <c r="J37" i="1"/>
  <c r="J29" i="1"/>
  <c r="J21" i="1"/>
  <c r="J13" i="1"/>
  <c r="J5" i="1"/>
  <c r="J58" i="1"/>
  <c r="J68" i="1"/>
  <c r="J60" i="1"/>
  <c r="J52" i="1"/>
  <c r="J44" i="1"/>
  <c r="J36" i="1"/>
  <c r="J28" i="1"/>
  <c r="J20" i="1"/>
  <c r="J12" i="1"/>
  <c r="J4" i="1"/>
  <c r="J2" i="1"/>
  <c r="J67" i="1"/>
  <c r="J59" i="1"/>
  <c r="J51" i="1"/>
  <c r="J43" i="1"/>
  <c r="J35" i="1"/>
  <c r="J27" i="1"/>
  <c r="J19" i="1"/>
  <c r="J11" i="1"/>
  <c r="Q2" i="9" l="1"/>
  <c r="P2" i="9"/>
  <c r="N2" i="9"/>
  <c r="O2" i="9"/>
  <c r="R2" i="9"/>
  <c r="P2" i="7"/>
  <c r="Q2" i="7"/>
  <c r="R2" i="7"/>
  <c r="O2" i="7"/>
  <c r="N2" i="7"/>
  <c r="V2" i="5"/>
  <c r="AD2" i="5"/>
  <c r="W2" i="5"/>
  <c r="AE2" i="5"/>
  <c r="Y2" i="5"/>
  <c r="X2" i="5"/>
  <c r="AF2" i="5"/>
  <c r="Z2" i="5"/>
  <c r="AA2" i="5"/>
  <c r="AB2" i="5"/>
  <c r="AC2" i="5"/>
  <c r="U2" i="5"/>
  <c r="R2" i="4"/>
  <c r="S2" i="4"/>
  <c r="T2" i="4"/>
  <c r="P2" i="4"/>
  <c r="Q2" i="4"/>
  <c r="S12" i="1"/>
  <c r="P12" i="1"/>
  <c r="Q12" i="1"/>
  <c r="R12" i="1"/>
  <c r="S8" i="1"/>
  <c r="P8" i="1"/>
  <c r="Q8" i="1"/>
  <c r="R8" i="1"/>
  <c r="P5" i="1"/>
  <c r="Q5" i="1"/>
  <c r="R5" i="1"/>
  <c r="S5" i="1"/>
  <c r="P16" i="1"/>
  <c r="Q16" i="1"/>
  <c r="R16" i="1"/>
  <c r="S16" i="1"/>
  <c r="P10" i="1"/>
  <c r="S10" i="1"/>
  <c r="Q10" i="1"/>
  <c r="R10" i="1"/>
  <c r="P15" i="1"/>
  <c r="Q15" i="1"/>
  <c r="R15" i="1"/>
  <c r="S15" i="1"/>
  <c r="P13" i="1"/>
  <c r="Q13" i="1"/>
  <c r="R13" i="1"/>
  <c r="S13" i="1"/>
  <c r="P9" i="1"/>
  <c r="Q9" i="1"/>
  <c r="R9" i="1"/>
  <c r="S9" i="1"/>
  <c r="S6" i="1"/>
  <c r="P6" i="1"/>
  <c r="Q6" i="1"/>
  <c r="R6" i="1"/>
  <c r="P4" i="1"/>
  <c r="Q4" i="1"/>
  <c r="S4" i="1"/>
  <c r="R4" i="1"/>
  <c r="S14" i="1"/>
  <c r="P14" i="1"/>
  <c r="Q14" i="1"/>
  <c r="R14" i="1"/>
  <c r="P3" i="1"/>
  <c r="Q3" i="1"/>
  <c r="R3" i="1"/>
  <c r="S3" i="1"/>
  <c r="P11" i="1"/>
  <c r="Q11" i="1"/>
  <c r="R11" i="1"/>
  <c r="S11" i="1"/>
  <c r="S2" i="1"/>
  <c r="R2" i="1"/>
  <c r="Q2" i="1"/>
  <c r="P2" i="1"/>
  <c r="P7" i="1"/>
  <c r="Q7" i="1"/>
  <c r="R7" i="1"/>
  <c r="S7" i="1"/>
  <c r="O2" i="4" l="1"/>
</calcChain>
</file>

<file path=xl/sharedStrings.xml><?xml version="1.0" encoding="utf-8"?>
<sst xmlns="http://schemas.openxmlformats.org/spreadsheetml/2006/main" count="568" uniqueCount="123">
  <si>
    <t>منطقه</t>
  </si>
  <si>
    <t>ناحیه</t>
  </si>
  <si>
    <t>پیمان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</si>
  <si>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</si>
  <si>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</si>
  <si>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</si>
  <si>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</si>
  <si>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</si>
  <si>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</si>
  <si>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</si>
  <si>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</si>
  <si>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</si>
  <si>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</si>
  <si>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</si>
  <si>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</si>
  <si>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</si>
  <si>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16</t>
  </si>
  <si>
    <t>درخت و درختچه</t>
  </si>
  <si>
    <t>سطوح سبز غیردرخت</t>
  </si>
  <si>
    <t>غیر سبز</t>
  </si>
  <si>
    <t>کد</t>
  </si>
  <si>
    <t>0101.01</t>
  </si>
  <si>
    <t>0102.01</t>
  </si>
  <si>
    <t>0102.02</t>
  </si>
  <si>
    <t>0103.01</t>
  </si>
  <si>
    <t>0201.01</t>
  </si>
  <si>
    <t>0201.02</t>
  </si>
  <si>
    <t>0201.03</t>
  </si>
  <si>
    <t>0202.01</t>
  </si>
  <si>
    <t>0202.02</t>
  </si>
  <si>
    <t>0203.01</t>
  </si>
  <si>
    <t>0204.01</t>
  </si>
  <si>
    <t>0204.02</t>
  </si>
  <si>
    <t>0301.01</t>
  </si>
  <si>
    <t>0302.01</t>
  </si>
  <si>
    <t>0303.01</t>
  </si>
  <si>
    <t>0303.02</t>
  </si>
  <si>
    <t>0304.01</t>
  </si>
  <si>
    <t>0401.01</t>
  </si>
  <si>
    <t>0402.01</t>
  </si>
  <si>
    <t>0403.01</t>
  </si>
  <si>
    <t>0501.01</t>
  </si>
  <si>
    <t>0501.02</t>
  </si>
  <si>
    <t>0502.01</t>
  </si>
  <si>
    <t>0601.01</t>
  </si>
  <si>
    <t>0601.02</t>
  </si>
  <si>
    <t>0602.01</t>
  </si>
  <si>
    <t>0602.02</t>
  </si>
  <si>
    <t>0603.01</t>
  </si>
  <si>
    <t>0701.01</t>
  </si>
  <si>
    <t>0702.01</t>
  </si>
  <si>
    <t>0702.02</t>
  </si>
  <si>
    <t>0702.03</t>
  </si>
  <si>
    <t>0702.04</t>
  </si>
  <si>
    <t>0702.05</t>
  </si>
  <si>
    <t>0703.01</t>
  </si>
  <si>
    <t>0703.02</t>
  </si>
  <si>
    <t>0801.01</t>
  </si>
  <si>
    <t>0802.01</t>
  </si>
  <si>
    <t>0802.02</t>
  </si>
  <si>
    <t>0803.01</t>
  </si>
  <si>
    <t>0901.01</t>
  </si>
  <si>
    <t>0901.02</t>
  </si>
  <si>
    <t>0901.03</t>
  </si>
  <si>
    <t>0901.04</t>
  </si>
  <si>
    <t>0902.01</t>
  </si>
  <si>
    <t>0902.02</t>
  </si>
  <si>
    <t>0902.03</t>
  </si>
  <si>
    <t>0903.01</t>
  </si>
  <si>
    <t>0903.02</t>
  </si>
  <si>
    <t>0903.03</t>
  </si>
  <si>
    <t>1001.01</t>
  </si>
  <si>
    <t>1001.02</t>
  </si>
  <si>
    <t>1001.03</t>
  </si>
  <si>
    <t>1001.04</t>
  </si>
  <si>
    <t>1002.01</t>
  </si>
  <si>
    <t>1002.02</t>
  </si>
  <si>
    <t>1003.01</t>
  </si>
  <si>
    <t>1003.02</t>
  </si>
  <si>
    <t>1003.03</t>
  </si>
  <si>
    <t>1101.01</t>
  </si>
  <si>
    <t>1101.02</t>
  </si>
  <si>
    <t>1102.01</t>
  </si>
  <si>
    <t>1102.02</t>
  </si>
  <si>
    <t>1102.03</t>
  </si>
  <si>
    <t>1201.01</t>
  </si>
  <si>
    <t>1202.01</t>
  </si>
  <si>
    <t>1203.01</t>
  </si>
  <si>
    <t>1301.01</t>
  </si>
  <si>
    <t>1302.01</t>
  </si>
  <si>
    <t>1607.01</t>
  </si>
  <si>
    <t>1610.02</t>
  </si>
  <si>
    <t>1611.02</t>
  </si>
  <si>
    <t>1612.02</t>
  </si>
  <si>
    <t>کمکی 1</t>
  </si>
  <si>
    <t>کمکی 2</t>
  </si>
  <si>
    <t>کمکی 3</t>
  </si>
  <si>
    <t>منطقه یکتا</t>
  </si>
  <si>
    <t>انتخاب منطقه</t>
  </si>
  <si>
    <t>پرچین</t>
  </si>
  <si>
    <t>چمن</t>
  </si>
  <si>
    <t>گل دایمی</t>
  </si>
  <si>
    <t>گل فصلی</t>
  </si>
  <si>
    <t>آیلند ها</t>
  </si>
  <si>
    <t>آیلند های بزرگراه</t>
  </si>
  <si>
    <t>جنگل کاری داخل محدوده</t>
  </si>
  <si>
    <t>حاشیه معابر</t>
  </si>
  <si>
    <t>حاشیه های بزرگراه</t>
  </si>
  <si>
    <t>لچکی ها</t>
  </si>
  <si>
    <t>میادین</t>
  </si>
  <si>
    <t>پارک های بالای 10 هکتار</t>
  </si>
  <si>
    <t>پارک های بین 6 تا 10 هکتار</t>
  </si>
  <si>
    <t>پارک های زیر 6 هکتار</t>
  </si>
  <si>
    <t>کمربند سبز حفاظتی</t>
  </si>
  <si>
    <t>آبیاری تانکری</t>
  </si>
  <si>
    <t>آبیاری تحت فشار</t>
  </si>
  <si>
    <t>آبیاری ثقلی</t>
  </si>
  <si>
    <t>آبیاری شلنگی</t>
  </si>
  <si>
    <t>اصله</t>
  </si>
  <si>
    <t>لکه‏های موجود</t>
  </si>
  <si>
    <t>طرح تفصیلی</t>
  </si>
  <si>
    <t xml:space="preserve"> طرح توسعه</t>
  </si>
  <si>
    <t>اصله مستقل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</si>
</sst>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B Nazanin"/>
      <charset val="178"/>
    </font>
    <font>
      <sz val="14"/>
      <color theme="1"/>
      <name val="B Nazanin"/>
      <charset val="178"/>
    </font>
    <font>
      <sz val="8"/>
      <name val="Calibri"/>
      <family val="2"/>
      <scheme val="minor"/>
    </font>
    <font>
      <b/>
      <sz val="14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3" fillId="5" borderId="1" xfId="0" applyFont="1" applyFill="1" applyBorder="1"/>
    <xf numFmtId="0" fontId="0" fillId="2" borderId="0" xfId="0" applyFill="1" applyBorder="1"/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5" fontId="3" fillId="2" borderId="1" xfId="0" applyNumberFormat="1" applyFont="1" applyFill="1" applyBorder="1"/>
    <xf numFmtId="164" fontId="3" fillId="3" borderId="8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64" fontId="3" fillId="3" borderId="7" xfId="1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64" fontId="3" fillId="3" borderId="13" xfId="1" applyNumberFormat="1" applyFont="1" applyFill="1" applyBorder="1" applyAlignment="1">
      <alignment horizontal="center" vertical="center"/>
    </xf>
    <xf numFmtId="164" fontId="3" fillId="3" borderId="14" xfId="1" applyNumberFormat="1" applyFont="1" applyFill="1" applyBorder="1" applyAlignment="1">
      <alignment horizontal="center" vertical="center"/>
    </xf>
    <xf numFmtId="164" fontId="3" fillId="3" borderId="15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2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vertical="center"/>
    </xf>
    <xf numFmtId="165" fontId="0" fillId="2" borderId="0" xfId="0" applyNumberFormat="1" applyFill="1"/>
    <xf numFmtId="0" fontId="2" fillId="2" borderId="16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horizontal="center" vertical="center"/>
    </xf>
    <xf numFmtId="164" fontId="3" fillId="3" borderId="16" xfId="1" applyNumberFormat="1" applyFont="1" applyFill="1" applyBorder="1" applyAlignment="1">
      <alignment horizontal="center" vertical="center"/>
    </xf>
    <xf numFmtId="164" fontId="3" fillId="3" borderId="10" xfId="1" applyNumberFormat="1" applyFont="1" applyFill="1" applyBorder="1" applyAlignment="1">
      <alignment horizontal="center" vertical="center"/>
    </xf>
    <xf numFmtId="164" fontId="3" fillId="3" borderId="1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854B2"/>
      <color rgb="FFA4F250"/>
      <color rgb="FF29C7FF"/>
      <color rgb="FF2874A6"/>
      <color rgb="FF85C1E9"/>
      <color rgb="FFD6EAF8"/>
      <color rgb="FF05BEFF"/>
      <color rgb="FF79DCFF"/>
      <color rgb="FF0097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'مساحت - پیمان'!$Q$1</c:f>
              <c:strCache>
                <c:ptCount val="1"/>
                <c:pt idx="0">
                  <c:v>سطوح سبز غیردرخت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[0]!CODE</c:f>
              <c:strCache>
                <c:ptCount val="4"/>
                <c:pt idx="0">
                  <c:v>0801.01</c:v>
                </c:pt>
                <c:pt idx="1">
                  <c:v>0802.01</c:v>
                </c:pt>
                <c:pt idx="2">
                  <c:v>0802.02</c:v>
                </c:pt>
                <c:pt idx="3">
                  <c:v>0803.01</c:v>
                </c:pt>
              </c:strCache>
            </c:strRef>
          </c:cat>
          <c:val>
            <c:numRef>
              <c:f>'مساحت - پیمان'!VALUE1</c:f>
              <c:numCache>
                <c:formatCode>_(* #,##0.0_);_(* \(#,##0.0\);_(* "-"??_);_(@_)</c:formatCode>
                <c:ptCount val="4"/>
                <c:pt idx="0">
                  <c:v>4.9105999999999996</c:v>
                </c:pt>
                <c:pt idx="1">
                  <c:v>5.9165999999999999</c:v>
                </c:pt>
                <c:pt idx="2">
                  <c:v>20.411200000000001</c:v>
                </c:pt>
                <c:pt idx="3">
                  <c:v>10.345000000000001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C-4D31-A2FD-0B00F6564BC6}"/>
            </c:ext>
          </c:extLst>
        </c:ser>
        <c:ser>
          <c:idx val="1"/>
          <c:order val="1"/>
          <c:tx>
            <c:strRef>
              <c:f>'مساحت - پیمان'!$R$1</c:f>
              <c:strCache>
                <c:ptCount val="1"/>
                <c:pt idx="0">
                  <c:v>درخت و درختچه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[0]!CODE</c:f>
              <c:strCache>
                <c:ptCount val="4"/>
                <c:pt idx="0">
                  <c:v>0801.01</c:v>
                </c:pt>
                <c:pt idx="1">
                  <c:v>0802.01</c:v>
                </c:pt>
                <c:pt idx="2">
                  <c:v>0802.02</c:v>
                </c:pt>
                <c:pt idx="3">
                  <c:v>0803.01</c:v>
                </c:pt>
              </c:strCache>
            </c:strRef>
          </c:cat>
          <c:val>
            <c:numRef>
              <c:f>'مساحت - پیمان'!VALUE2</c:f>
              <c:numCache>
                <c:formatCode>_(* #,##0.0_);_(* \(#,##0.0\);_(* "-"??_);_(@_)</c:formatCode>
                <c:ptCount val="4"/>
                <c:pt idx="0">
                  <c:v>0.45069999999999999</c:v>
                </c:pt>
                <c:pt idx="1">
                  <c:v>8.3565000000000005</c:v>
                </c:pt>
                <c:pt idx="2">
                  <c:v>8.5574999999999992</c:v>
                </c:pt>
                <c:pt idx="3">
                  <c:v>52.3247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BC-4D31-A2FD-0B00F6564BC6}"/>
            </c:ext>
          </c:extLst>
        </c:ser>
        <c:ser>
          <c:idx val="2"/>
          <c:order val="2"/>
          <c:tx>
            <c:strRef>
              <c:f>'مساحت - پیمان'!$S$1</c:f>
              <c:strCache>
                <c:ptCount val="1"/>
                <c:pt idx="0">
                  <c:v>غیر سبز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[0]!CODE</c:f>
              <c:strCache>
                <c:ptCount val="4"/>
                <c:pt idx="0">
                  <c:v>0801.01</c:v>
                </c:pt>
                <c:pt idx="1">
                  <c:v>0802.01</c:v>
                </c:pt>
                <c:pt idx="2">
                  <c:v>0802.02</c:v>
                </c:pt>
                <c:pt idx="3">
                  <c:v>0803.01</c:v>
                </c:pt>
              </c:strCache>
            </c:strRef>
          </c:cat>
          <c:val>
            <c:numRef>
              <c:f>[0]!VALUE3</c:f>
              <c:numCache>
                <c:formatCode>_(* #,##0.0_);_(* \(#,##0.0\);_(* "-"??_);_(@_)</c:formatCode>
                <c:ptCount val="4"/>
                <c:pt idx="0">
                  <c:v>2.3066499999999999</c:v>
                </c:pt>
                <c:pt idx="1">
                  <c:v>1.6915</c:v>
                </c:pt>
                <c:pt idx="2">
                  <c:v>31.653500000000001</c:v>
                </c:pt>
                <c:pt idx="3">
                  <c:v>2.4731000000000001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BC-4D31-A2FD-0B00F6564B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96751296"/>
        <c:axId val="1596740480"/>
      </c:barChart>
      <c:catAx>
        <c:axId val="15967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40480"/>
        <c:crosses val="autoZero"/>
        <c:auto val="1"/>
        <c:lblAlgn val="ctr"/>
        <c:lblOffset val="100"/>
        <c:noMultiLvlLbl val="0"/>
      </c:catAx>
      <c:valAx>
        <c:axId val="1596740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r>
                  <a:rPr lang="fa-IR" sz="1600" b="1"/>
                  <a:t>هکتار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tx1"/>
                  </a:solidFill>
                  <a:latin typeface="IPT Mitra" panose="00000400000000000000" pitchFamily="2" charset="2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51296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IPT Mitra" panose="00000400000000000000" pitchFamily="2" charset="2"/>
          <a:cs typeface="B Mitra" panose="00000400000000000000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'مساحت - منطقه'!$B$1</c:f>
              <c:strCache>
                <c:ptCount val="1"/>
                <c:pt idx="0">
                  <c:v>سطوح سبز غیردرخت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400" b="0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bg1"/>
                      </a:glow>
                    </a:effectLst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- منطقه'!$A$2:$A$15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- منطقه'!$B$2:$B$15</c:f>
              <c:numCache>
                <c:formatCode>0.0</c:formatCode>
                <c:ptCount val="14"/>
                <c:pt idx="0">
                  <c:v>37.982799999999997</c:v>
                </c:pt>
                <c:pt idx="1">
                  <c:v>79.287400000000005</c:v>
                </c:pt>
                <c:pt idx="2">
                  <c:v>70.832400000000007</c:v>
                </c:pt>
                <c:pt idx="3">
                  <c:v>40.041800000000002</c:v>
                </c:pt>
                <c:pt idx="4">
                  <c:v>36.635599999999997</c:v>
                </c:pt>
                <c:pt idx="5">
                  <c:v>59.612200000000001</c:v>
                </c:pt>
                <c:pt idx="6">
                  <c:v>71.373500000000007</c:v>
                </c:pt>
                <c:pt idx="7">
                  <c:v>41.583399999999997</c:v>
                </c:pt>
                <c:pt idx="8">
                  <c:v>104.7409</c:v>
                </c:pt>
                <c:pt idx="9">
                  <c:v>85.892600000000002</c:v>
                </c:pt>
                <c:pt idx="10">
                  <c:v>87.9983</c:v>
                </c:pt>
                <c:pt idx="11">
                  <c:v>30.6539</c:v>
                </c:pt>
                <c:pt idx="12">
                  <c:v>7.0731999999999999</c:v>
                </c:pt>
                <c:pt idx="13">
                  <c:v>19.841699999999999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A-4DF5-8347-CA442139063C}"/>
            </c:ext>
          </c:extLst>
        </c:ser>
        <c:ser>
          <c:idx val="1"/>
          <c:order val="1"/>
          <c:tx>
            <c:strRef>
              <c:f>'مساحت - منطقه'!$C$1</c:f>
              <c:strCache>
                <c:ptCount val="1"/>
                <c:pt idx="0">
                  <c:v>درخت و درختچه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bg1"/>
                      </a:glow>
                    </a:effectLst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- منطقه'!$A$2:$A$15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- منطقه'!$C$2:$C$15</c:f>
              <c:numCache>
                <c:formatCode>0.0</c:formatCode>
                <c:ptCount val="14"/>
                <c:pt idx="0">
                  <c:v>4.6051000000000002</c:v>
                </c:pt>
                <c:pt idx="1">
                  <c:v>45.301200000000001</c:v>
                </c:pt>
                <c:pt idx="2">
                  <c:v>32.754100000000001</c:v>
                </c:pt>
                <c:pt idx="3">
                  <c:v>11.863200000000001</c:v>
                </c:pt>
                <c:pt idx="4">
                  <c:v>8.0442</c:v>
                </c:pt>
                <c:pt idx="5">
                  <c:v>19.350200000000001</c:v>
                </c:pt>
                <c:pt idx="6">
                  <c:v>381.32459999999998</c:v>
                </c:pt>
                <c:pt idx="7">
                  <c:v>69.689400000000006</c:v>
                </c:pt>
                <c:pt idx="8">
                  <c:v>281.61020000000002</c:v>
                </c:pt>
                <c:pt idx="9">
                  <c:v>66.831400000000002</c:v>
                </c:pt>
                <c:pt idx="10">
                  <c:v>18.380800000000001</c:v>
                </c:pt>
                <c:pt idx="11">
                  <c:v>54.385399999999997</c:v>
                </c:pt>
                <c:pt idx="12">
                  <c:v>0.15049999999999999</c:v>
                </c:pt>
                <c:pt idx="13">
                  <c:v>13.8223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A-4DF5-8347-CA442139063C}"/>
            </c:ext>
          </c:extLst>
        </c:ser>
        <c:ser>
          <c:idx val="2"/>
          <c:order val="2"/>
          <c:tx>
            <c:strRef>
              <c:f>'مساحت - منطقه'!$D$1</c:f>
              <c:strCache>
                <c:ptCount val="1"/>
                <c:pt idx="0">
                  <c:v>غیر سبز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400" b="0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bg1"/>
                      </a:glow>
                    </a:effectLst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- منطقه'!$A$2:$A$15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- منطقه'!$D$2:$D$15</c:f>
              <c:numCache>
                <c:formatCode>0.0</c:formatCode>
                <c:ptCount val="14"/>
                <c:pt idx="0">
                  <c:v>6.5491000000000001</c:v>
                </c:pt>
                <c:pt idx="1">
                  <c:v>40.392499999999998</c:v>
                </c:pt>
                <c:pt idx="2">
                  <c:v>41.245024000000001</c:v>
                </c:pt>
                <c:pt idx="3">
                  <c:v>21.1265</c:v>
                </c:pt>
                <c:pt idx="4">
                  <c:v>22.527249999999999</c:v>
                </c:pt>
                <c:pt idx="5">
                  <c:v>27.0749</c:v>
                </c:pt>
                <c:pt idx="6">
                  <c:v>43.98368</c:v>
                </c:pt>
                <c:pt idx="7">
                  <c:v>38.124749999999999</c:v>
                </c:pt>
                <c:pt idx="8">
                  <c:v>67.255700000000004</c:v>
                </c:pt>
                <c:pt idx="9">
                  <c:v>42.487949999999998</c:v>
                </c:pt>
                <c:pt idx="10">
                  <c:v>39.689599999999999</c:v>
                </c:pt>
                <c:pt idx="11">
                  <c:v>11.22465</c:v>
                </c:pt>
                <c:pt idx="12">
                  <c:v>1.9483700000000002</c:v>
                </c:pt>
                <c:pt idx="13">
                  <c:v>7.0189000000000004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A-4DF5-8347-CA44213906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96751296"/>
        <c:axId val="1596740480"/>
      </c:barChart>
      <c:catAx>
        <c:axId val="15967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40480"/>
        <c:crosses val="autoZero"/>
        <c:auto val="1"/>
        <c:lblAlgn val="ctr"/>
        <c:lblOffset val="100"/>
        <c:noMultiLvlLbl val="0"/>
      </c:catAx>
      <c:valAx>
        <c:axId val="1596740480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r>
                  <a:rPr lang="fa-IR" sz="1600" b="1"/>
                  <a:t>هکتار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tx1"/>
                  </a:solidFill>
                  <a:latin typeface="IPT Mitra" panose="00000400000000000000" pitchFamily="2" charset="2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51296"/>
        <c:crosses val="autoZero"/>
        <c:crossBetween val="between"/>
        <c:majorUnit val="50"/>
      </c:valAx>
      <c:spPr>
        <a:solidFill>
          <a:schemeClr val="lt1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IPT Mitra" panose="00000400000000000000" pitchFamily="2" charset="2"/>
          <a:cs typeface="B Mitra" panose="00000400000000000000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>
                <a:cs typeface="B Mitra" panose="00000400000000000000" pitchFamily="2" charset="-78"/>
              </a:defRPr>
            </a:pPr>
            <a:r>
              <a:rPr lang="fa-IR" sz="1800">
                <a:latin typeface="+mn-lt"/>
                <a:cs typeface="B Mitra" panose="00000400000000000000" pitchFamily="2" charset="-78"/>
              </a:rPr>
              <a:t>مساحت</a:t>
            </a:r>
            <a:r>
              <a:rPr lang="fa-IR" sz="1800" baseline="0">
                <a:latin typeface="+mn-lt"/>
                <a:cs typeface="B Mitra" panose="00000400000000000000" pitchFamily="2" charset="-78"/>
              </a:rPr>
              <a:t> (هکتار)</a:t>
            </a:r>
            <a:endParaRPr lang="en-US" sz="1800">
              <a:latin typeface="+mn-lt"/>
              <a:cs typeface="B Mitra" panose="00000400000000000000" pitchFamily="2" charset="-78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A-485F-BAC7-E325D0741FD7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A-485F-BAC7-E325D0741FD7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626-402A-A63A-1620C680898C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A-485F-BAC7-E325D0741FD7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A-485F-BAC7-E325D0741FD7}"/>
              </c:ext>
            </c:extLst>
          </c:dPt>
          <c:dLbls>
            <c:dLbl>
              <c:idx val="1"/>
              <c:layout>
                <c:manualLayout>
                  <c:x val="-0.17426910177894431"/>
                  <c:y val="-0.17153597987751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2A-485F-BAC7-E325D0741FD7}"/>
                </c:ext>
              </c:extLst>
            </c:dLbl>
            <c:dLbl>
              <c:idx val="2"/>
              <c:layout>
                <c:manualLayout>
                  <c:x val="1.6034740449110529E-2"/>
                  <c:y val="-0.112974081364829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26-402A-A63A-1620C68089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0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'گونه - منطقه'!$P$1:$T$1</c:f>
              <c:strCache>
                <c:ptCount val="5"/>
                <c:pt idx="0">
                  <c:v>چمن</c:v>
                </c:pt>
                <c:pt idx="1">
                  <c:v>گل دایمی</c:v>
                </c:pt>
                <c:pt idx="2">
                  <c:v>گل فصلی</c:v>
                </c:pt>
                <c:pt idx="3">
                  <c:v>پرچین</c:v>
                </c:pt>
                <c:pt idx="4">
                  <c:v>درخت و درختچه</c:v>
                </c:pt>
              </c:strCache>
            </c:strRef>
          </c:cat>
          <c:val>
            <c:numRef>
              <c:f>'گونه - منطقه'!$P$2:$T$2</c:f>
              <c:numCache>
                <c:formatCode>_(* #,##0.0_);_(* \(#,##0.0\);_(* "-"??_);_(@_)</c:formatCode>
                <c:ptCount val="5"/>
                <c:pt idx="0">
                  <c:v>11.5116</c:v>
                </c:pt>
                <c:pt idx="1">
                  <c:v>4.8398000000000003</c:v>
                </c:pt>
                <c:pt idx="2">
                  <c:v>1.5863</c:v>
                </c:pt>
                <c:pt idx="3">
                  <c:v>1.9039999999999999</c:v>
                </c:pt>
                <c:pt idx="4">
                  <c:v>13.8223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6-402A-A63A-1620C68089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IPT Mitra" panose="00000400000000000000" pitchFamily="2" charset="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>
                <a:cs typeface="B Mitra" panose="00000400000000000000" pitchFamily="2" charset="-78"/>
              </a:defRPr>
            </a:pPr>
            <a:r>
              <a:rPr lang="fa-IR" sz="1800">
                <a:latin typeface="+mn-lt"/>
                <a:cs typeface="B Mitra" panose="00000400000000000000" pitchFamily="2" charset="-78"/>
              </a:rPr>
              <a:t>مساحت</a:t>
            </a:r>
            <a:r>
              <a:rPr lang="fa-IR" sz="1800" baseline="0">
                <a:latin typeface="+mn-lt"/>
                <a:cs typeface="B Mitra" panose="00000400000000000000" pitchFamily="2" charset="-78"/>
              </a:rPr>
              <a:t> (هکتار)</a:t>
            </a:r>
            <a:endParaRPr lang="en-US" sz="1800">
              <a:latin typeface="+mn-lt"/>
              <a:cs typeface="B Mitra" panose="00000400000000000000" pitchFamily="2" charset="-78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1A-45AF-9D68-9486DC37DB55}"/>
              </c:ext>
            </c:extLst>
          </c:dPt>
          <c:dPt>
            <c:idx val="1"/>
            <c:bubble3D val="0"/>
            <c:spPr>
              <a:solidFill>
                <a:srgbClr val="85DFFF"/>
              </a:solidFill>
            </c:spPr>
            <c:extLst>
              <c:ext xmlns:c16="http://schemas.microsoft.com/office/drawing/2014/chart" uri="{C3380CC4-5D6E-409C-BE32-E72D297353CC}">
                <c16:uniqueId val="{00000003-911A-45AF-9D68-9486DC37DB55}"/>
              </c:ext>
            </c:extLst>
          </c:dPt>
          <c:dPt>
            <c:idx val="2"/>
            <c:bubble3D val="0"/>
            <c:spPr>
              <a:solidFill>
                <a:srgbClr val="CCCC99"/>
              </a:solidFill>
            </c:spPr>
            <c:extLst>
              <c:ext xmlns:c16="http://schemas.microsoft.com/office/drawing/2014/chart" uri="{C3380CC4-5D6E-409C-BE32-E72D297353CC}">
                <c16:uniqueId val="{00000005-911A-45AF-9D68-9486DC37DB55}"/>
              </c:ext>
            </c:extLst>
          </c:dPt>
          <c:dPt>
            <c:idx val="3"/>
            <c:bubble3D val="0"/>
            <c:spPr>
              <a:solidFill>
                <a:srgbClr val="CCCC00"/>
              </a:solidFill>
            </c:spPr>
            <c:extLst>
              <c:ext xmlns:c16="http://schemas.microsoft.com/office/drawing/2014/chart" uri="{C3380CC4-5D6E-409C-BE32-E72D297353CC}">
                <c16:uniqueId val="{00000007-911A-45AF-9D68-9486DC37DB55}"/>
              </c:ext>
            </c:extLst>
          </c:dPt>
          <c:dPt>
            <c:idx val="4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09-911A-45AF-9D68-9486DC37DB55}"/>
              </c:ext>
            </c:extLst>
          </c:dPt>
          <c:dPt>
            <c:idx val="5"/>
            <c:bubble3D val="0"/>
            <c:spPr>
              <a:solidFill>
                <a:srgbClr val="FFFF66"/>
              </a:solidFill>
            </c:spPr>
            <c:extLst>
              <c:ext xmlns:c16="http://schemas.microsoft.com/office/drawing/2014/chart" uri="{C3380CC4-5D6E-409C-BE32-E72D297353CC}">
                <c16:uniqueId val="{0000000C-911A-45AF-9D68-9486DC37DB55}"/>
              </c:ext>
            </c:extLst>
          </c:dPt>
          <c:dPt>
            <c:idx val="6"/>
            <c:bubble3D val="0"/>
            <c:spPr>
              <a:solidFill>
                <a:srgbClr val="FE1E4E"/>
              </a:solidFill>
            </c:spPr>
            <c:extLst>
              <c:ext xmlns:c16="http://schemas.microsoft.com/office/drawing/2014/chart" uri="{C3380CC4-5D6E-409C-BE32-E72D297353CC}">
                <c16:uniqueId val="{0000000D-911A-45AF-9D68-9486DC37DB55}"/>
              </c:ext>
            </c:extLst>
          </c:dPt>
          <c:dPt>
            <c:idx val="7"/>
            <c:bubble3D val="0"/>
            <c:spPr>
              <a:solidFill>
                <a:srgbClr val="FE58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A7-45F9-96BB-5229CFAAFAE0}"/>
              </c:ext>
            </c:extLst>
          </c:dPt>
          <c:dPt>
            <c:idx val="8"/>
            <c:bubble3D val="0"/>
            <c:spPr>
              <a:solidFill>
                <a:srgbClr val="FE98A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A7-45F9-96BB-5229CFAAFAE0}"/>
              </c:ext>
            </c:extLst>
          </c:dPt>
          <c:dPt>
            <c:idx val="9"/>
            <c:bubble3D val="0"/>
            <c:spPr>
              <a:solidFill>
                <a:srgbClr val="99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A7-45F9-96BB-5229CFAAFAE0}"/>
              </c:ext>
            </c:extLst>
          </c:dPt>
          <c:dPt>
            <c:idx val="10"/>
            <c:bubble3D val="0"/>
            <c:spPr>
              <a:solidFill>
                <a:srgbClr val="00C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7A7-45F9-96BB-5229CFAAFAE0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0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'لکه - منطقه'!$V$1:$AF$1</c:f>
              <c:strCache>
                <c:ptCount val="11"/>
                <c:pt idx="0">
                  <c:v>میادین</c:v>
                </c:pt>
                <c:pt idx="1">
                  <c:v>لچکی ها</c:v>
                </c:pt>
                <c:pt idx="2">
                  <c:v>آیلند های بزرگراه</c:v>
                </c:pt>
                <c:pt idx="3">
                  <c:v>آیلند ها</c:v>
                </c:pt>
                <c:pt idx="4">
                  <c:v>حاشیه های بزرگراه</c:v>
                </c:pt>
                <c:pt idx="5">
                  <c:v>حاشیه معابر</c:v>
                </c:pt>
                <c:pt idx="6">
                  <c:v>پارک های زیر 6 هکتار</c:v>
                </c:pt>
                <c:pt idx="7">
                  <c:v>پارک های بین 6 تا 10 هکتار</c:v>
                </c:pt>
                <c:pt idx="8">
                  <c:v>پارک های بالای 10 هکتار</c:v>
                </c:pt>
                <c:pt idx="9">
                  <c:v>جنگل کاری داخل محدوده</c:v>
                </c:pt>
                <c:pt idx="10">
                  <c:v>کمربند سبز حفاظتی</c:v>
                </c:pt>
              </c:strCache>
            </c:strRef>
          </c:cat>
          <c:val>
            <c:numRef>
              <c:f>'لکه - منطقه'!$V$2:$AF$2</c:f>
              <c:numCache>
                <c:formatCode>_(* #,##0.0_);_(* \(#,##0.0\);_(*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8.0762</c:v>
                </c:pt>
                <c:pt idx="7">
                  <c:v>8.1110000000000007</c:v>
                </c:pt>
                <c:pt idx="8">
                  <c:v>17.476800000000001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1A-45AF-9D68-9486DC37DB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IPT Mitra" panose="00000400000000000000" pitchFamily="2" charset="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>
                <a:cs typeface="B Mitra" panose="00000400000000000000" pitchFamily="2" charset="-78"/>
              </a:defRPr>
            </a:pPr>
            <a:r>
              <a:rPr lang="fa-IR" sz="1800">
                <a:latin typeface="+mn-lt"/>
                <a:cs typeface="B Mitra" panose="00000400000000000000" pitchFamily="2" charset="-78"/>
              </a:rPr>
              <a:t>درخت و درختچه</a:t>
            </a:r>
            <a:r>
              <a:rPr lang="fa-IR" sz="1800" baseline="0">
                <a:latin typeface="+mn-lt"/>
                <a:cs typeface="B Mitra" panose="00000400000000000000" pitchFamily="2" charset="-78"/>
              </a:rPr>
              <a:t> (اصله مستقل)</a:t>
            </a:r>
            <a:endParaRPr lang="en-US" sz="1800">
              <a:latin typeface="+mn-lt"/>
              <a:cs typeface="B Mitra" panose="00000400000000000000" pitchFamily="2" charset="-78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6EAF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E-4565-87FD-A87779EC6A9E}"/>
              </c:ext>
            </c:extLst>
          </c:dPt>
          <c:dPt>
            <c:idx val="1"/>
            <c:bubble3D val="0"/>
            <c:spPr>
              <a:solidFill>
                <a:srgbClr val="85C1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E-4565-87FD-A87779EC6A9E}"/>
              </c:ext>
            </c:extLst>
          </c:dPt>
          <c:dPt>
            <c:idx val="2"/>
            <c:bubble3D val="0"/>
            <c:spPr>
              <a:solidFill>
                <a:srgbClr val="2874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E-4565-87FD-A87779EC6A9E}"/>
              </c:ext>
            </c:extLst>
          </c:dPt>
          <c:dPt>
            <c:idx val="3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E-4565-87FD-A87779EC6A9E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0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'آبیاری درخت - منطقه'!$O$1:$R$1</c:f>
              <c:strCache>
                <c:ptCount val="4"/>
                <c:pt idx="0">
                  <c:v>آبیاری ثقلی</c:v>
                </c:pt>
                <c:pt idx="1">
                  <c:v>آبیاری تانکری</c:v>
                </c:pt>
                <c:pt idx="2">
                  <c:v>آبیاری شلنگی</c:v>
                </c:pt>
                <c:pt idx="3">
                  <c:v>آبیاری تحت فشار</c:v>
                </c:pt>
              </c:strCache>
            </c:strRef>
          </c:cat>
          <c:val>
            <c:numRef>
              <c:f>'آبیاری درخت - منطقه'!$O$2:$R$2</c:f>
              <c:numCache>
                <c:formatCode>_(* #,##0.0_);_(* \(#,##0.0\);_(* "-"??_);_(@_)</c:formatCode>
                <c:ptCount val="4"/>
                <c:pt idx="0">
                  <c:v>20000</c:v>
                </c:pt>
                <c:pt idx="1">
                  <c:v>54487</c:v>
                </c:pt>
                <c:pt idx="2">
                  <c:v>33736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8E-4565-87FD-A87779EC6A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IPT Mitra" panose="00000400000000000000" pitchFamily="2" charset="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>
                <a:cs typeface="B Mitra" panose="00000400000000000000" pitchFamily="2" charset="-78"/>
              </a:defRPr>
            </a:pPr>
            <a:r>
              <a:rPr lang="fa-IR" sz="1800" baseline="0">
                <a:latin typeface="+mn-lt"/>
                <a:cs typeface="B Mitra" panose="00000400000000000000" pitchFamily="2" charset="-78"/>
              </a:rPr>
              <a:t>گونه غیر درخت و درختچه (هکتار)</a:t>
            </a:r>
            <a:endParaRPr lang="en-US" sz="1800">
              <a:latin typeface="+mn-lt"/>
              <a:cs typeface="B Mitra" panose="00000400000000000000" pitchFamily="2" charset="-78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6EAF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ED-4A61-AA90-9AFB498C5947}"/>
              </c:ext>
            </c:extLst>
          </c:dPt>
          <c:dPt>
            <c:idx val="1"/>
            <c:bubble3D val="0"/>
            <c:spPr>
              <a:solidFill>
                <a:srgbClr val="85C1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ED-4A61-AA90-9AFB498C5947}"/>
              </c:ext>
            </c:extLst>
          </c:dPt>
          <c:dPt>
            <c:idx val="2"/>
            <c:bubble3D val="0"/>
            <c:spPr>
              <a:solidFill>
                <a:srgbClr val="2874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ED-4A61-AA90-9AFB498C5947}"/>
              </c:ext>
            </c:extLst>
          </c:dPt>
          <c:dPt>
            <c:idx val="3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ED-4A61-AA90-9AFB498C5947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0" rIns="0" bIns="0" anchor="ctr" anchorCtr="0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'آبیاری غیردرخت - منطقه'!$O$1:$R$1</c:f>
              <c:strCache>
                <c:ptCount val="4"/>
                <c:pt idx="0">
                  <c:v>آبیاری ثقلی</c:v>
                </c:pt>
                <c:pt idx="1">
                  <c:v>آبیاری تانکری</c:v>
                </c:pt>
                <c:pt idx="2">
                  <c:v>آبیاری شلنگی</c:v>
                </c:pt>
                <c:pt idx="3">
                  <c:v>آبیاری تحت فشار</c:v>
                </c:pt>
              </c:strCache>
            </c:strRef>
          </c:cat>
          <c:val>
            <c:numRef>
              <c:f>'آبیاری غیردرخت - منطقه'!$O$2:$R$2</c:f>
              <c:numCache>
                <c:formatCode>_(* #,##0.0_);_(* \(#,##0.0\);_(* "-"??_);_(@_)</c:formatCode>
                <c:ptCount val="4"/>
                <c:pt idx="0">
                  <c:v>0.3</c:v>
                </c:pt>
                <c:pt idx="1">
                  <c:v>0</c:v>
                </c:pt>
                <c:pt idx="2">
                  <c:v>17.001300000000001</c:v>
                </c:pt>
                <c:pt idx="3">
                  <c:v>2.5404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ED-4A61-AA90-9AFB498C59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>
              <a:solidFill>
                <a:schemeClr val="dk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IPT Mitra" panose="00000400000000000000" pitchFamily="2" charset="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'درخت و درختچه اصله'!$B$1</c:f>
              <c:strCache>
                <c:ptCount val="1"/>
                <c:pt idx="0">
                  <c:v>اصله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'درخت و درختچه اصله'!$A$2:$A$15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'درخت و درختچه اصله'!$B$2:$B$15</c:f>
              <c:numCache>
                <c:formatCode>0.0</c:formatCode>
                <c:ptCount val="14"/>
                <c:pt idx="0">
                  <c:v>65.412999999999997</c:v>
                </c:pt>
                <c:pt idx="1">
                  <c:v>121.21299999999999</c:v>
                </c:pt>
                <c:pt idx="2">
                  <c:v>84.941999999999993</c:v>
                </c:pt>
                <c:pt idx="3">
                  <c:v>50.642000000000003</c:v>
                </c:pt>
                <c:pt idx="4">
                  <c:v>60.496000000000002</c:v>
                </c:pt>
                <c:pt idx="5">
                  <c:v>73.84</c:v>
                </c:pt>
                <c:pt idx="6">
                  <c:v>348.64699999999999</c:v>
                </c:pt>
                <c:pt idx="7">
                  <c:v>107.822</c:v>
                </c:pt>
                <c:pt idx="8">
                  <c:v>294.16800000000001</c:v>
                </c:pt>
                <c:pt idx="9">
                  <c:v>145.886</c:v>
                </c:pt>
                <c:pt idx="10">
                  <c:v>88.26</c:v>
                </c:pt>
                <c:pt idx="11">
                  <c:v>105.55200000000001</c:v>
                </c:pt>
                <c:pt idx="12">
                  <c:v>8.9090000000000007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E-45F4-A6E3-A60225E3DFA5}"/>
            </c:ext>
          </c:extLst>
        </c:ser>
        <c:ser>
          <c:idx val="1"/>
          <c:order val="1"/>
          <c:tx>
            <c:strRef>
              <c:f>'درخت و درختچه اصله'!$C$1</c:f>
              <c:strCache>
                <c:ptCount val="1"/>
                <c:pt idx="0">
                  <c:v>اصله مستقل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0.529833638504999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08-45CB-AD39-B42EF0B9871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'درخت و درختچه اصله'!$C$2:$C$15</c:f>
              <c:numCache>
                <c:formatCode>0.0</c:formatCode>
                <c:ptCount val="14"/>
                <c:pt idx="0">
                  <c:v>18.452000000000002</c:v>
                </c:pt>
                <c:pt idx="1">
                  <c:v>98.808999999999997</c:v>
                </c:pt>
                <c:pt idx="2">
                  <c:v>44.823999999999998</c:v>
                </c:pt>
                <c:pt idx="3">
                  <c:v>30.207000000000001</c:v>
                </c:pt>
                <c:pt idx="4">
                  <c:v>41.048999999999999</c:v>
                </c:pt>
                <c:pt idx="5">
                  <c:v>37.659999999999997</c:v>
                </c:pt>
                <c:pt idx="6">
                  <c:v>1635.136</c:v>
                </c:pt>
                <c:pt idx="7">
                  <c:v>71.513000000000005</c:v>
                </c:pt>
                <c:pt idx="8">
                  <c:v>309.17200000000003</c:v>
                </c:pt>
                <c:pt idx="9">
                  <c:v>115.98099999999999</c:v>
                </c:pt>
                <c:pt idx="10">
                  <c:v>40.643000000000001</c:v>
                </c:pt>
                <c:pt idx="11">
                  <c:v>138.41499999999999</c:v>
                </c:pt>
                <c:pt idx="12">
                  <c:v>2.3290000000000002</c:v>
                </c:pt>
                <c:pt idx="13">
                  <c:v>138.22300000000001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8-45CB-AD39-B42EF0B987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1596751296"/>
        <c:axId val="1596740480"/>
      </c:barChart>
      <c:catAx>
        <c:axId val="15967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40480"/>
        <c:crosses val="autoZero"/>
        <c:auto val="1"/>
        <c:lblAlgn val="ctr"/>
        <c:lblOffset val="100"/>
        <c:noMultiLvlLbl val="0"/>
      </c:catAx>
      <c:valAx>
        <c:axId val="1596740480"/>
        <c:scaling>
          <c:orientation val="minMax"/>
          <c:max val="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all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r>
                  <a:rPr lang="fa-IR" sz="1800"/>
                  <a:t>هزار اصله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all" baseline="0">
                  <a:solidFill>
                    <a:schemeClr val="tx1"/>
                  </a:solidFill>
                  <a:latin typeface="IPT Mitra" panose="00000400000000000000" pitchFamily="2" charset="2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51296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IPT Mitra" panose="00000400000000000000" pitchFamily="2" charset="2"/>
          <a:cs typeface="B Mitra" panose="00000400000000000000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'مساحت موجود تفصیلی توسعه'!$B$1</c:f>
              <c:strCache>
                <c:ptCount val="1"/>
                <c:pt idx="0">
                  <c:v>لکه‏های موجود</c:v>
                </c:pt>
              </c:strCache>
            </c:strRef>
          </c:tx>
          <c:spPr>
            <a:solidFill>
              <a:srgbClr val="A4F2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موجود تفصیلی توسعه'!$A$2:$A$15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موجود تفصیلی توسعه'!$B$2:$B$15</c:f>
              <c:numCache>
                <c:formatCode>0.0</c:formatCode>
                <c:ptCount val="14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78.962400000000002</c:v>
                </c:pt>
                <c:pt idx="6">
                  <c:v>452.69810000000001</c:v>
                </c:pt>
                <c:pt idx="7">
                  <c:v>111.2728</c:v>
                </c:pt>
                <c:pt idx="8">
                  <c:v>386.35109999999997</c:v>
                </c:pt>
                <c:pt idx="9">
                  <c:v>152.72399999999999</c:v>
                </c:pt>
                <c:pt idx="10">
                  <c:v>106.37909999999999</c:v>
                </c:pt>
                <c:pt idx="11">
                  <c:v>85.039299999999997</c:v>
                </c:pt>
                <c:pt idx="12">
                  <c:v>7.2237</c:v>
                </c:pt>
                <c:pt idx="13">
                  <c:v>33.664000000000001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2-44EA-A8D4-C5844FC947C6}"/>
            </c:ext>
          </c:extLst>
        </c:ser>
        <c:ser>
          <c:idx val="1"/>
          <c:order val="1"/>
          <c:tx>
            <c:strRef>
              <c:f>'مساحت موجود تفصیلی توسعه'!$C$1</c:f>
              <c:strCache>
                <c:ptCount val="1"/>
                <c:pt idx="0">
                  <c:v>طرح تفصیلی</c:v>
                </c:pt>
              </c:strCache>
            </c:strRef>
          </c:tx>
          <c:spPr>
            <a:pattFill prst="lgConfetti">
              <a:fgClr>
                <a:srgbClr val="E854B2"/>
              </a:fgClr>
              <a:bgClr>
                <a:schemeClr val="bg1"/>
              </a:bgClr>
            </a:pattFill>
            <a:ln>
              <a:solidFill>
                <a:srgbClr val="E854B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موجود تفصیلی توسعه'!$A$2:$A$15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موجود تفصیلی توسعه'!$C$2:$C$15</c:f>
              <c:numCache>
                <c:formatCode>0.0</c:formatCode>
                <c:ptCount val="14"/>
                <c:pt idx="0">
                  <c:v>10.386438</c:v>
                </c:pt>
                <c:pt idx="1">
                  <c:v>112.97669599999999</c:v>
                </c:pt>
                <c:pt idx="2">
                  <c:v>147.784863</c:v>
                </c:pt>
                <c:pt idx="3">
                  <c:v>67.013599999999997</c:v>
                </c:pt>
                <c:pt idx="4">
                  <c:v>46.409067999999998</c:v>
                </c:pt>
                <c:pt idx="5">
                  <c:v>150.22808899999998</c:v>
                </c:pt>
                <c:pt idx="6">
                  <c:v>285.43950599999999</c:v>
                </c:pt>
                <c:pt idx="7">
                  <c:v>204.81214700000001</c:v>
                </c:pt>
                <c:pt idx="8">
                  <c:v>357.86856899999998</c:v>
                </c:pt>
                <c:pt idx="9">
                  <c:v>39.023783999999999</c:v>
                </c:pt>
                <c:pt idx="10">
                  <c:v>160.71250000000001</c:v>
                </c:pt>
                <c:pt idx="11">
                  <c:v>344.33337699999998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2-44EA-A8D4-C5844FC947C6}"/>
            </c:ext>
          </c:extLst>
        </c:ser>
        <c:ser>
          <c:idx val="2"/>
          <c:order val="2"/>
          <c:tx>
            <c:strRef>
              <c:f>'مساحت موجود تفصیلی توسعه'!$D$1</c:f>
              <c:strCache>
                <c:ptCount val="1"/>
                <c:pt idx="0">
                  <c:v> طرح توسعه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C00000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'مساحت موجود تفصیلی توسعه'!$A$2:$A$15</c:f>
              <c:strCache>
                <c:ptCount val="14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</c:strCache>
            </c:strRef>
          </c:cat>
          <c:val>
            <c:numRef>
              <c:f>'مساحت موجود تفصیلی توسعه'!$D$2:$D$15</c:f>
              <c:numCache>
                <c:formatCode>0.0</c:formatCode>
                <c:ptCount val="14"/>
                <c:pt idx="0">
                  <c:v>1.15334</c:v>
                </c:pt>
                <c:pt idx="1">
                  <c:v>23.272729999999999</c:v>
                </c:pt>
                <c:pt idx="2">
                  <c:v>0</c:v>
                </c:pt>
                <c:pt idx="3">
                  <c:v>12.292321000000001</c:v>
                </c:pt>
                <c:pt idx="4">
                  <c:v>65.252418999999989</c:v>
                </c:pt>
                <c:pt idx="5">
                  <c:v>5.1571319999999998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56.337606999999991</c:v>
                </c:pt>
                <c:pt idx="12">
                  <c:v>1.2316750000000001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2-44EA-A8D4-C5844FC947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96751296"/>
        <c:axId val="1596740480"/>
      </c:barChart>
      <c:catAx>
        <c:axId val="15967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40480"/>
        <c:crosses val="autoZero"/>
        <c:auto val="1"/>
        <c:lblAlgn val="ctr"/>
        <c:lblOffset val="100"/>
        <c:noMultiLvlLbl val="0"/>
      </c:catAx>
      <c:valAx>
        <c:axId val="1596740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IPT Mitra" panose="00000400000000000000" pitchFamily="2" charset="2"/>
                    <a:ea typeface="+mn-ea"/>
                    <a:cs typeface="B Mitra" panose="00000400000000000000" pitchFamily="2" charset="-78"/>
                  </a:defRPr>
                </a:pPr>
                <a:r>
                  <a:rPr lang="fa-IR"/>
                  <a:t>هکتار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IPT Mitra" panose="00000400000000000000" pitchFamily="2" charset="2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IPT Mitra" panose="00000400000000000000" pitchFamily="2" charset="2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1596751296"/>
        <c:crosses val="autoZero"/>
        <c:crossBetween val="between"/>
        <c:majorUnit val="50"/>
      </c:valAx>
      <c:spPr>
        <a:solidFill>
          <a:schemeClr val="lt1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IPT Mitra" panose="00000400000000000000" pitchFamily="2" charset="2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IPT Mitra" panose="00000400000000000000" pitchFamily="2" charset="2"/>
          <a:cs typeface="B Mitra" panose="00000400000000000000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269875</xdr:colOff>
      <xdr:row>4</xdr:row>
      <xdr:rowOff>20637</xdr:rowOff>
    </xdr:from>
    <xdr:to>
      <xdr:col>18</xdr:col>
      <xdr:colOff>663575</xdr:colOff>
      <xdr:row>22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EB191-A3E4-4C4C-8115-7A7992A59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271938</xdr:colOff>
      <xdr:row>0</xdr:row>
      <xdr:rowOff>373936</xdr:rowOff>
    </xdr:from>
    <xdr:to>
      <xdr:col>18</xdr:col>
      <xdr:colOff>121443</xdr:colOff>
      <xdr:row>18</xdr:row>
      <xdr:rowOff>66357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74C31-1A64-408A-BC80-FDDBB16E2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533401</xdr:colOff>
      <xdr:row>2</xdr:row>
      <xdr:rowOff>108583</xdr:rowOff>
    </xdr:from>
    <xdr:to>
      <xdr:col>18</xdr:col>
      <xdr:colOff>381001</xdr:colOff>
      <xdr:row>23</xdr:row>
      <xdr:rowOff>108583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818780-131F-4CE7-8CCB-C5E270B21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33058</xdr:colOff>
      <xdr:row>2</xdr:row>
      <xdr:rowOff>91213</xdr:rowOff>
    </xdr:from>
    <xdr:to>
      <xdr:col>30</xdr:col>
      <xdr:colOff>604558</xdr:colOff>
      <xdr:row>33</xdr:row>
      <xdr:rowOff>44148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416BA-7B6D-4DEC-BFC9-CA4C8677E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472328</xdr:colOff>
      <xdr:row>3</xdr:row>
      <xdr:rowOff>124830</xdr:rowOff>
    </xdr:from>
    <xdr:to>
      <xdr:col>19</xdr:col>
      <xdr:colOff>604557</xdr:colOff>
      <xdr:row>34</xdr:row>
      <xdr:rowOff>189824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A6CCA-46C8-4A78-A521-37E403F86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483535</xdr:colOff>
      <xdr:row>3</xdr:row>
      <xdr:rowOff>102418</xdr:rowOff>
    </xdr:from>
    <xdr:to>
      <xdr:col>20</xdr:col>
      <xdr:colOff>10646</xdr:colOff>
      <xdr:row>34</xdr:row>
      <xdr:rowOff>167412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A3E97-CF2A-46C7-8D82-CD895BF5E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360230</xdr:colOff>
      <xdr:row>1</xdr:row>
      <xdr:rowOff>248259</xdr:rowOff>
    </xdr:from>
    <xdr:to>
      <xdr:col>19</xdr:col>
      <xdr:colOff>247121</xdr:colOff>
      <xdr:row>19</xdr:row>
      <xdr:rowOff>210953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4EC3C-06BC-4453-A75B-CA5EF46E4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234553</xdr:colOff>
      <xdr:row>0</xdr:row>
      <xdr:rowOff>373936</xdr:rowOff>
    </xdr:from>
    <xdr:to>
      <xdr:col>18</xdr:col>
      <xdr:colOff>121443</xdr:colOff>
      <xdr:row>18</xdr:row>
      <xdr:rowOff>26273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1FE5D-6160-4B11-B285-A546825B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4D97-A2BF-4CD2-889F-A11B3F09123E}">
  <dimension ref="A1:S74"/>
  <sheetViews>
    <sheetView rightToLeft="1" workbookViewId="0">
      <selection activeCell="N2" sqref="N2"/>
    </sheetView>
  </sheetViews>
  <sheetFormatPr defaultColWidth="9.1796875" defaultRowHeight="14.5" x14ac:dyDescent="0.35"/>
  <cols>
    <col min="1" max="3" width="7.26953125" style="4" customWidth="1"/>
    <col min="4" max="10" width="14.26953125" style="4" customWidth="1"/>
    <col min="11" max="15" width="9.1796875" style="4"/>
    <col min="16" max="19" width="14.26953125" style="4" customWidth="1"/>
    <col min="20" max="16384" width="9.1796875" style="4"/>
  </cols>
  <sheetData>
    <row r="1" spans="1:19" s="2" customFormat="1" ht="46.5" thickBot="1" x14ac:dyDescent="0.4">
      <c r="A1" s="1" t="s">
        <v>0</v>
      </c>
      <c r="B1" s="1" t="s">
        <v>1</v>
      </c>
      <c r="C1" s="1" t="s">
        <v>2</v>
      </c>
      <c r="D1" s="1" t="s">
        <v>20</v>
      </c>
      <c r="E1" s="1" t="s">
        <v>18</v>
      </c>
      <c r="F1" s="1" t="s">
        <v>17</v>
      </c>
      <c r="G1" s="1" t="s">
        <v>19</v>
      </c>
      <c r="H1" s="1" t="s">
        <v>94</v>
      </c>
      <c r="I1" s="1" t="s">
        <v>95</v>
      </c>
      <c r="J1" s="1" t="s">
        <v>96</v>
      </c>
      <c r="L1" s="1" t="s">
        <v>97</v>
      </c>
      <c r="N1" s="7" t="s">
        <v>98</v>
      </c>
      <c r="P1" s="10" t="s">
        <v>20</v>
      </c>
      <c r="Q1" s="11" t="s">
        <v>18</v>
      </c>
      <c r="R1" s="11" t="s">
        <v>17</v>
      </c>
      <c r="S1" s="12" t="s">
        <v>19</v>
      </c>
    </row>
    <row r="2" spans="1:19" ht="23.5" thickBot="1" x14ac:dyDescent="0.8">
      <c r="A2" s="3" t="s">
        <v>3</v>
      </c>
      <c r="B2" s="3" t="s">
        <v>3</v>
      </c>
      <c r="C2" s="3" t="s">
        <v>3</v>
      </c>
      <c r="D2" s="3" t="s">
        <v>21</v>
      </c>
      <c r="E2" s="15">
        <v>9.6096000000000004</v>
      </c>
      <c r="F2" s="15">
        <v>0.64610000000000001</v>
      </c>
      <c r="G2" s="15">
        <v>1.9289000000000001</v>
      </c>
      <c r="H2" s="8">
        <f>ROWS($A$2:A2)</f>
        <v>1</v>
      </c>
      <c r="I2" s="8" t="str">
        <f>IF(A2=$N$2,H2,"")</f>
        <v/>
      </c>
      <c r="J2" s="8">
        <f>IFERROR(SMALL($I$2:$I$74,H2),"")</f>
        <v>37</v>
      </c>
      <c r="L2" s="3" t="s">
        <v>3</v>
      </c>
      <c r="N2" s="6" t="s">
        <v>10</v>
      </c>
      <c r="P2" s="21" t="str">
        <f>IFERROR(INDEX($D$2:$G$74,$J2,COLUMNS($P$1:P1))," ")</f>
        <v>0801.01</v>
      </c>
      <c r="Q2" s="22">
        <f>IFERROR(INDEX($D$2:$G$74,$J2,COLUMNS($P$1:Q1))," ")</f>
        <v>4.9105999999999996</v>
      </c>
      <c r="R2" s="22">
        <f>IFERROR(INDEX($D$2:$G$74,$J2,COLUMNS($P$1:R1))," ")</f>
        <v>0.45069999999999999</v>
      </c>
      <c r="S2" s="23">
        <f>IFERROR(INDEX($D$2:$G$74,$J2,COLUMNS($P$1:S1))," ")</f>
        <v>2.3066499999999999</v>
      </c>
    </row>
    <row r="3" spans="1:19" ht="23" x14ac:dyDescent="0.75">
      <c r="A3" s="3" t="s">
        <v>3</v>
      </c>
      <c r="B3" s="3" t="s">
        <v>4</v>
      </c>
      <c r="C3" s="3" t="s">
        <v>3</v>
      </c>
      <c r="D3" s="3" t="s">
        <v>22</v>
      </c>
      <c r="E3" s="15">
        <v>13.838100000000001</v>
      </c>
      <c r="F3" s="15">
        <v>2.2199</v>
      </c>
      <c r="G3" s="15">
        <v>1.7541</v>
      </c>
      <c r="H3" s="8">
        <f>ROWS($A$2:A3)</f>
        <v>2</v>
      </c>
      <c r="I3" s="8" t="str">
        <f t="shared" ref="I3:I66" si="0">IF(A3=$N$2,H3,"")</f>
        <v/>
      </c>
      <c r="J3" s="8">
        <f t="shared" ref="J3:J66" si="1">IFERROR(SMALL($I$2:$I$74,H3),"")</f>
        <v>38</v>
      </c>
      <c r="L3" s="3" t="s">
        <v>4</v>
      </c>
      <c r="P3" s="13" t="str">
        <f>IFERROR(INDEX($D$2:$G$74,$J3,COLUMNS($P$1:P2))," ")</f>
        <v>0802.01</v>
      </c>
      <c r="Q3" s="16">
        <f>IFERROR(INDEX($D$2:$G$74,$J3,COLUMNS($P$1:Q2))," ")</f>
        <v>5.9165999999999999</v>
      </c>
      <c r="R3" s="17">
        <f>IFERROR(INDEX($D$2:$G$74,$J3,COLUMNS($P$1:R2))," ")</f>
        <v>8.3565000000000005</v>
      </c>
      <c r="S3" s="18">
        <f>IFERROR(INDEX($D$2:$G$74,$J3,COLUMNS($P$1:S2))," ")</f>
        <v>1.6915</v>
      </c>
    </row>
    <row r="4" spans="1:19" ht="23" x14ac:dyDescent="0.75">
      <c r="A4" s="3" t="s">
        <v>3</v>
      </c>
      <c r="B4" s="3" t="s">
        <v>4</v>
      </c>
      <c r="C4" s="3" t="s">
        <v>4</v>
      </c>
      <c r="D4" s="3" t="s">
        <v>23</v>
      </c>
      <c r="E4" s="15">
        <v>8.7513000000000005</v>
      </c>
      <c r="F4" s="15">
        <v>0.1205</v>
      </c>
      <c r="G4" s="15">
        <v>2.2351000000000001</v>
      </c>
      <c r="H4" s="8">
        <f>ROWS($A$2:A4)</f>
        <v>3</v>
      </c>
      <c r="I4" s="8" t="str">
        <f t="shared" si="0"/>
        <v/>
      </c>
      <c r="J4" s="8">
        <f t="shared" si="1"/>
        <v>39</v>
      </c>
      <c r="L4" s="3" t="s">
        <v>5</v>
      </c>
      <c r="P4" s="13" t="str">
        <f>IFERROR(INDEX($D$2:$G$74,$J4,COLUMNS($P$1:P3))," ")</f>
        <v>0802.02</v>
      </c>
      <c r="Q4" s="16">
        <f>IFERROR(INDEX($D$2:$G$74,$J4,COLUMNS($P$1:Q3))," ")</f>
        <v>20.411200000000001</v>
      </c>
      <c r="R4" s="17">
        <f>IFERROR(INDEX($D$2:$G$74,$J4,COLUMNS($P$1:R3))," ")</f>
        <v>8.5574999999999992</v>
      </c>
      <c r="S4" s="18">
        <f>IFERROR(INDEX($D$2:$G$74,$J4,COLUMNS($P$1:S3))," ")</f>
        <v>31.653500000000001</v>
      </c>
    </row>
    <row r="5" spans="1:19" ht="23" x14ac:dyDescent="0.75">
      <c r="A5" s="3" t="s">
        <v>3</v>
      </c>
      <c r="B5" s="3" t="s">
        <v>5</v>
      </c>
      <c r="C5" s="3" t="s">
        <v>3</v>
      </c>
      <c r="D5" s="3" t="s">
        <v>24</v>
      </c>
      <c r="E5" s="15">
        <v>5.7838000000000003</v>
      </c>
      <c r="F5" s="15">
        <v>1.6186</v>
      </c>
      <c r="G5" s="15">
        <v>0.63100000000000001</v>
      </c>
      <c r="H5" s="8">
        <f>ROWS($A$2:A5)</f>
        <v>4</v>
      </c>
      <c r="I5" s="8" t="str">
        <f t="shared" si="0"/>
        <v/>
      </c>
      <c r="J5" s="8">
        <f t="shared" si="1"/>
        <v>40</v>
      </c>
      <c r="L5" s="3" t="s">
        <v>6</v>
      </c>
      <c r="P5" s="13" t="str">
        <f>IFERROR(INDEX($D$2:$G$74,$J5,COLUMNS($P$1:P4))," ")</f>
        <v>0803.01</v>
      </c>
      <c r="Q5" s="16">
        <f>IFERROR(INDEX($D$2:$G$74,$J5,COLUMNS($P$1:Q4))," ")</f>
        <v>10.345000000000001</v>
      </c>
      <c r="R5" s="17">
        <f>IFERROR(INDEX($D$2:$G$74,$J5,COLUMNS($P$1:R4))," ")</f>
        <v>52.3247</v>
      </c>
      <c r="S5" s="18">
        <f>IFERROR(INDEX($D$2:$G$74,$J5,COLUMNS($P$1:S4))," ")</f>
        <v>2.4731000000000001</v>
      </c>
    </row>
    <row r="6" spans="1:19" ht="23" x14ac:dyDescent="0.75">
      <c r="A6" s="3" t="s">
        <v>4</v>
      </c>
      <c r="B6" s="3" t="s">
        <v>3</v>
      </c>
      <c r="C6" s="3" t="s">
        <v>3</v>
      </c>
      <c r="D6" s="3" t="s">
        <v>25</v>
      </c>
      <c r="E6" s="15">
        <v>5.3430999999999997</v>
      </c>
      <c r="F6" s="15">
        <v>0.17929999999999999</v>
      </c>
      <c r="G6" s="15">
        <v>2.1869000000000001</v>
      </c>
      <c r="H6" s="8">
        <f>ROWS($A$2:A6)</f>
        <v>5</v>
      </c>
      <c r="I6" s="8" t="str">
        <f t="shared" si="0"/>
        <v/>
      </c>
      <c r="J6" s="8" t="str">
        <f t="shared" si="1"/>
        <v/>
      </c>
      <c r="L6" s="3" t="s">
        <v>7</v>
      </c>
      <c r="P6" s="13" t="str">
        <f>IFERROR(INDEX($D$2:$G$74,$J6,COLUMNS($P$1:P5))," ")</f>
        <v xml:space="preserve"> </v>
      </c>
      <c r="Q6" s="16" t="str">
        <f>IFERROR(INDEX($D$2:$G$74,$J6,COLUMNS($P$1:Q5))," ")</f>
        <v xml:space="preserve"> </v>
      </c>
      <c r="R6" s="17" t="str">
        <f>IFERROR(INDEX($D$2:$G$74,$J6,COLUMNS($P$1:R5))," ")</f>
        <v xml:space="preserve"> </v>
      </c>
      <c r="S6" s="18" t="str">
        <f>IFERROR(INDEX($D$2:$G$74,$J6,COLUMNS($P$1:S5))," ")</f>
        <v xml:space="preserve"> </v>
      </c>
    </row>
    <row r="7" spans="1:19" ht="23" x14ac:dyDescent="0.75">
      <c r="A7" s="3" t="s">
        <v>4</v>
      </c>
      <c r="B7" s="3" t="s">
        <v>3</v>
      </c>
      <c r="C7" s="3" t="s">
        <v>4</v>
      </c>
      <c r="D7" s="3" t="s">
        <v>26</v>
      </c>
      <c r="E7" s="15">
        <v>9.2370000000000001</v>
      </c>
      <c r="F7" s="15">
        <v>3.0278999999999998</v>
      </c>
      <c r="G7" s="15">
        <v>4.3990999999999998</v>
      </c>
      <c r="H7" s="8">
        <f>ROWS($A$2:A7)</f>
        <v>6</v>
      </c>
      <c r="I7" s="8" t="str">
        <f t="shared" si="0"/>
        <v/>
      </c>
      <c r="J7" s="8" t="str">
        <f t="shared" si="1"/>
        <v/>
      </c>
      <c r="L7" s="3" t="s">
        <v>8</v>
      </c>
      <c r="P7" s="13" t="str">
        <f>IFERROR(INDEX($D$2:$G$74,$J7,COLUMNS($P$1:P6))," ")</f>
        <v xml:space="preserve"> </v>
      </c>
      <c r="Q7" s="16" t="str">
        <f>IFERROR(INDEX($D$2:$G$74,$J7,COLUMNS($P$1:Q6))," ")</f>
        <v xml:space="preserve"> </v>
      </c>
      <c r="R7" s="17" t="str">
        <f>IFERROR(INDEX($D$2:$G$74,$J7,COLUMNS($P$1:R6))," ")</f>
        <v xml:space="preserve"> </v>
      </c>
      <c r="S7" s="18" t="str">
        <f>IFERROR(INDEX($D$2:$G$74,$J7,COLUMNS($P$1:S6))," ")</f>
        <v xml:space="preserve"> </v>
      </c>
    </row>
    <row r="8" spans="1:19" ht="23" x14ac:dyDescent="0.75">
      <c r="A8" s="3" t="s">
        <v>4</v>
      </c>
      <c r="B8" s="3" t="s">
        <v>3</v>
      </c>
      <c r="C8" s="3" t="s">
        <v>5</v>
      </c>
      <c r="D8" s="3" t="s">
        <v>27</v>
      </c>
      <c r="E8" s="15">
        <v>12.494899999999999</v>
      </c>
      <c r="F8" s="15">
        <v>3.9742000000000002</v>
      </c>
      <c r="G8" s="15">
        <v>3.2970000000000002</v>
      </c>
      <c r="H8" s="8">
        <f>ROWS($A$2:A8)</f>
        <v>7</v>
      </c>
      <c r="I8" s="8" t="str">
        <f t="shared" si="0"/>
        <v/>
      </c>
      <c r="J8" s="8" t="str">
        <f t="shared" si="1"/>
        <v/>
      </c>
      <c r="L8" s="3" t="s">
        <v>9</v>
      </c>
      <c r="P8" s="13" t="str">
        <f>IFERROR(INDEX($D$2:$G$74,$J8,COLUMNS($P$1:P7))," ")</f>
        <v xml:space="preserve"> </v>
      </c>
      <c r="Q8" s="16" t="str">
        <f>IFERROR(INDEX($D$2:$G$74,$J8,COLUMNS($P$1:Q7))," ")</f>
        <v xml:space="preserve"> </v>
      </c>
      <c r="R8" s="17" t="str">
        <f>IFERROR(INDEX($D$2:$G$74,$J8,COLUMNS($P$1:R7))," ")</f>
        <v xml:space="preserve"> </v>
      </c>
      <c r="S8" s="18" t="str">
        <f>IFERROR(INDEX($D$2:$G$74,$J8,COLUMNS($P$1:S7))," ")</f>
        <v xml:space="preserve"> </v>
      </c>
    </row>
    <row r="9" spans="1:19" ht="23" x14ac:dyDescent="0.75">
      <c r="A9" s="3" t="s">
        <v>4</v>
      </c>
      <c r="B9" s="3" t="s">
        <v>4</v>
      </c>
      <c r="C9" s="3" t="s">
        <v>3</v>
      </c>
      <c r="D9" s="3" t="s">
        <v>28</v>
      </c>
      <c r="E9" s="15">
        <v>6.1607000000000003</v>
      </c>
      <c r="F9" s="15">
        <v>27.994199999999999</v>
      </c>
      <c r="G9" s="15">
        <v>4.1768999999999998</v>
      </c>
      <c r="H9" s="8">
        <f>ROWS($A$2:A9)</f>
        <v>8</v>
      </c>
      <c r="I9" s="8" t="str">
        <f t="shared" si="0"/>
        <v/>
      </c>
      <c r="J9" s="8" t="str">
        <f t="shared" si="1"/>
        <v/>
      </c>
      <c r="L9" s="3" t="s">
        <v>10</v>
      </c>
      <c r="P9" s="13" t="str">
        <f>IFERROR(INDEX($D$2:$G$74,$J9,COLUMNS($P$1:P8))," ")</f>
        <v xml:space="preserve"> </v>
      </c>
      <c r="Q9" s="16" t="str">
        <f>IFERROR(INDEX($D$2:$G$74,$J9,COLUMNS($P$1:Q8))," ")</f>
        <v xml:space="preserve"> </v>
      </c>
      <c r="R9" s="17" t="str">
        <f>IFERROR(INDEX($D$2:$G$74,$J9,COLUMNS($P$1:R8))," ")</f>
        <v xml:space="preserve"> </v>
      </c>
      <c r="S9" s="18" t="str">
        <f>IFERROR(INDEX($D$2:$G$74,$J9,COLUMNS($P$1:S8))," ")</f>
        <v xml:space="preserve"> </v>
      </c>
    </row>
    <row r="10" spans="1:19" ht="23" x14ac:dyDescent="0.75">
      <c r="A10" s="3" t="s">
        <v>4</v>
      </c>
      <c r="B10" s="3" t="s">
        <v>4</v>
      </c>
      <c r="C10" s="3" t="s">
        <v>4</v>
      </c>
      <c r="D10" s="3" t="s">
        <v>29</v>
      </c>
      <c r="E10" s="15">
        <v>12.530799999999999</v>
      </c>
      <c r="F10" s="15">
        <v>3.0714000000000001</v>
      </c>
      <c r="G10" s="15">
        <v>6.1654</v>
      </c>
      <c r="H10" s="8">
        <f>ROWS($A$2:A10)</f>
        <v>9</v>
      </c>
      <c r="I10" s="8" t="str">
        <f t="shared" si="0"/>
        <v/>
      </c>
      <c r="J10" s="8" t="str">
        <f t="shared" si="1"/>
        <v/>
      </c>
      <c r="L10" s="3" t="s">
        <v>11</v>
      </c>
      <c r="P10" s="13" t="str">
        <f>IFERROR(INDEX($D$2:$G$74,$J10,COLUMNS($P$1:P9))," ")</f>
        <v xml:space="preserve"> </v>
      </c>
      <c r="Q10" s="16" t="str">
        <f>IFERROR(INDEX($D$2:$G$74,$J10,COLUMNS($P$1:Q9))," ")</f>
        <v xml:space="preserve"> </v>
      </c>
      <c r="R10" s="17" t="str">
        <f>IFERROR(INDEX($D$2:$G$74,$J10,COLUMNS($P$1:R9))," ")</f>
        <v xml:space="preserve"> </v>
      </c>
      <c r="S10" s="18" t="str">
        <f>IFERROR(INDEX($D$2:$G$74,$J10,COLUMNS($P$1:S9))," ")</f>
        <v xml:space="preserve"> </v>
      </c>
    </row>
    <row r="11" spans="1:19" ht="23" x14ac:dyDescent="0.75">
      <c r="A11" s="3" t="s">
        <v>4</v>
      </c>
      <c r="B11" s="3" t="s">
        <v>5</v>
      </c>
      <c r="C11" s="3" t="s">
        <v>3</v>
      </c>
      <c r="D11" s="3" t="s">
        <v>30</v>
      </c>
      <c r="E11" s="15">
        <v>6.9287000000000001</v>
      </c>
      <c r="F11" s="15">
        <v>4.0145</v>
      </c>
      <c r="G11" s="15">
        <v>2.4746999999999999</v>
      </c>
      <c r="H11" s="8">
        <f>ROWS($A$2:A11)</f>
        <v>10</v>
      </c>
      <c r="I11" s="8" t="str">
        <f t="shared" si="0"/>
        <v/>
      </c>
      <c r="J11" s="8" t="str">
        <f t="shared" si="1"/>
        <v/>
      </c>
      <c r="L11" s="3" t="s">
        <v>12</v>
      </c>
      <c r="P11" s="13" t="str">
        <f>IFERROR(INDEX($D$2:$G$74,$J11,COLUMNS($P$1:P10))," ")</f>
        <v xml:space="preserve"> </v>
      </c>
      <c r="Q11" s="16" t="str">
        <f>IFERROR(INDEX($D$2:$G$74,$J11,COLUMNS($P$1:Q10))," ")</f>
        <v xml:space="preserve"> </v>
      </c>
      <c r="R11" s="17" t="str">
        <f>IFERROR(INDEX($D$2:$G$74,$J11,COLUMNS($P$1:R10))," ")</f>
        <v xml:space="preserve"> </v>
      </c>
      <c r="S11" s="18" t="str">
        <f>IFERROR(INDEX($D$2:$G$74,$J11,COLUMNS($P$1:S10))," ")</f>
        <v xml:space="preserve"> </v>
      </c>
    </row>
    <row r="12" spans="1:19" ht="23" x14ac:dyDescent="0.75">
      <c r="A12" s="3" t="s">
        <v>4</v>
      </c>
      <c r="B12" s="3" t="s">
        <v>6</v>
      </c>
      <c r="C12" s="3" t="s">
        <v>3</v>
      </c>
      <c r="D12" s="3" t="s">
        <v>31</v>
      </c>
      <c r="E12" s="15">
        <v>12.691700000000001</v>
      </c>
      <c r="F12" s="15">
        <v>2.4380999999999999</v>
      </c>
      <c r="G12" s="15">
        <v>5.0612000000000004</v>
      </c>
      <c r="H12" s="8">
        <f>ROWS($A$2:A12)</f>
        <v>11</v>
      </c>
      <c r="I12" s="8" t="str">
        <f t="shared" si="0"/>
        <v/>
      </c>
      <c r="J12" s="8" t="str">
        <f t="shared" si="1"/>
        <v/>
      </c>
      <c r="L12" s="3" t="s">
        <v>13</v>
      </c>
      <c r="P12" s="13" t="str">
        <f>IFERROR(INDEX($D$2:$G$74,$J12,COLUMNS($P$1:P11))," ")</f>
        <v xml:space="preserve"> </v>
      </c>
      <c r="Q12" s="16" t="str">
        <f>IFERROR(INDEX($D$2:$G$74,$J12,COLUMNS($P$1:Q11))," ")</f>
        <v xml:space="preserve"> </v>
      </c>
      <c r="R12" s="17" t="str">
        <f>IFERROR(INDEX($D$2:$G$74,$J12,COLUMNS($P$1:R11))," ")</f>
        <v xml:space="preserve"> </v>
      </c>
      <c r="S12" s="18" t="str">
        <f>IFERROR(INDEX($D$2:$G$74,$J12,COLUMNS($P$1:S11))," ")</f>
        <v xml:space="preserve"> </v>
      </c>
    </row>
    <row r="13" spans="1:19" ht="23" x14ac:dyDescent="0.75">
      <c r="A13" s="3" t="s">
        <v>4</v>
      </c>
      <c r="B13" s="3" t="s">
        <v>6</v>
      </c>
      <c r="C13" s="3" t="s">
        <v>4</v>
      </c>
      <c r="D13" s="3" t="s">
        <v>32</v>
      </c>
      <c r="E13" s="15">
        <v>13.900499999999999</v>
      </c>
      <c r="F13" s="15">
        <v>0.60160000000000002</v>
      </c>
      <c r="G13" s="15">
        <v>12.6313</v>
      </c>
      <c r="H13" s="8">
        <f>ROWS($A$2:A13)</f>
        <v>12</v>
      </c>
      <c r="I13" s="8" t="str">
        <f t="shared" si="0"/>
        <v/>
      </c>
      <c r="J13" s="8" t="str">
        <f t="shared" si="1"/>
        <v/>
      </c>
      <c r="L13" s="3" t="s">
        <v>14</v>
      </c>
      <c r="P13" s="13" t="str">
        <f>IFERROR(INDEX($D$2:$G$74,$J13,COLUMNS($P$1:P12))," ")</f>
        <v xml:space="preserve"> </v>
      </c>
      <c r="Q13" s="16" t="str">
        <f>IFERROR(INDEX($D$2:$G$74,$J13,COLUMNS($P$1:Q12))," ")</f>
        <v xml:space="preserve"> </v>
      </c>
      <c r="R13" s="17" t="str">
        <f>IFERROR(INDEX($D$2:$G$74,$J13,COLUMNS($P$1:R12))," ")</f>
        <v xml:space="preserve"> </v>
      </c>
      <c r="S13" s="18" t="str">
        <f>IFERROR(INDEX($D$2:$G$74,$J13,COLUMNS($P$1:S12))," ")</f>
        <v xml:space="preserve"> </v>
      </c>
    </row>
    <row r="14" spans="1:19" ht="23" x14ac:dyDescent="0.75">
      <c r="A14" s="3" t="s">
        <v>5</v>
      </c>
      <c r="B14" s="3" t="s">
        <v>3</v>
      </c>
      <c r="C14" s="3" t="s">
        <v>3</v>
      </c>
      <c r="D14" s="3" t="s">
        <v>33</v>
      </c>
      <c r="E14" s="15">
        <v>9.5955999999999992</v>
      </c>
      <c r="F14" s="15">
        <v>1.1040000000000001</v>
      </c>
      <c r="G14" s="15">
        <v>5.1639999999999997</v>
      </c>
      <c r="H14" s="8">
        <f>ROWS($A$2:A14)</f>
        <v>13</v>
      </c>
      <c r="I14" s="8" t="str">
        <f t="shared" si="0"/>
        <v/>
      </c>
      <c r="J14" s="8" t="str">
        <f t="shared" si="1"/>
        <v/>
      </c>
      <c r="L14" s="3" t="s">
        <v>15</v>
      </c>
      <c r="P14" s="13" t="str">
        <f>IFERROR(INDEX($D$2:$G$74,$J14,COLUMNS($P$1:P13))," ")</f>
        <v xml:space="preserve"> </v>
      </c>
      <c r="Q14" s="16" t="str">
        <f>IFERROR(INDEX($D$2:$G$74,$J14,COLUMNS($P$1:Q13))," ")</f>
        <v xml:space="preserve"> </v>
      </c>
      <c r="R14" s="17" t="str">
        <f>IFERROR(INDEX($D$2:$G$74,$J14,COLUMNS($P$1:R13))," ")</f>
        <v xml:space="preserve"> </v>
      </c>
      <c r="S14" s="18" t="str">
        <f>IFERROR(INDEX($D$2:$G$74,$J14,COLUMNS($P$1:S13))," ")</f>
        <v xml:space="preserve"> </v>
      </c>
    </row>
    <row r="15" spans="1:19" ht="23" x14ac:dyDescent="0.75">
      <c r="A15" s="3" t="s">
        <v>5</v>
      </c>
      <c r="B15" s="3" t="s">
        <v>4</v>
      </c>
      <c r="C15" s="3" t="s">
        <v>3</v>
      </c>
      <c r="D15" s="3" t="s">
        <v>34</v>
      </c>
      <c r="E15" s="15">
        <v>14.8508</v>
      </c>
      <c r="F15" s="15">
        <v>3.4460000000000002</v>
      </c>
      <c r="G15" s="15">
        <v>7.0189000000000004</v>
      </c>
      <c r="H15" s="8">
        <f>ROWS($A$2:A15)</f>
        <v>14</v>
      </c>
      <c r="I15" s="8" t="str">
        <f t="shared" si="0"/>
        <v/>
      </c>
      <c r="J15" s="8" t="str">
        <f t="shared" si="1"/>
        <v/>
      </c>
      <c r="L15" s="1" t="s">
        <v>16</v>
      </c>
      <c r="P15" s="13" t="str">
        <f>IFERROR(INDEX($D$2:$G$74,$J15,COLUMNS($P$1:P14))," ")</f>
        <v xml:space="preserve"> </v>
      </c>
      <c r="Q15" s="16" t="str">
        <f>IFERROR(INDEX($D$2:$G$74,$J15,COLUMNS($P$1:Q14))," ")</f>
        <v xml:space="preserve"> </v>
      </c>
      <c r="R15" s="17" t="str">
        <f>IFERROR(INDEX($D$2:$G$74,$J15,COLUMNS($P$1:R14))," ")</f>
        <v xml:space="preserve"> </v>
      </c>
      <c r="S15" s="18" t="str">
        <f>IFERROR(INDEX($D$2:$G$74,$J15,COLUMNS($P$1:S14))," ")</f>
        <v xml:space="preserve"> </v>
      </c>
    </row>
    <row r="16" spans="1:19" ht="23.5" thickBot="1" x14ac:dyDescent="0.8">
      <c r="A16" s="3" t="s">
        <v>5</v>
      </c>
      <c r="B16" s="3" t="s">
        <v>5</v>
      </c>
      <c r="C16" s="3" t="s">
        <v>3</v>
      </c>
      <c r="D16" s="3" t="s">
        <v>35</v>
      </c>
      <c r="E16" s="15">
        <v>22.1844</v>
      </c>
      <c r="F16" s="15">
        <v>5.0117000000000003</v>
      </c>
      <c r="G16" s="15">
        <v>12.0665</v>
      </c>
      <c r="H16" s="8">
        <f>ROWS($A$2:A16)</f>
        <v>15</v>
      </c>
      <c r="I16" s="8" t="str">
        <f t="shared" si="0"/>
        <v/>
      </c>
      <c r="J16" s="8" t="str">
        <f t="shared" si="1"/>
        <v/>
      </c>
      <c r="P16" s="14" t="str">
        <f>IFERROR(INDEX($D$2:$G$74,$J16,COLUMNS($P$1:P15))," ")</f>
        <v xml:space="preserve"> </v>
      </c>
      <c r="Q16" s="24" t="str">
        <f>IFERROR(INDEX($D$2:$G$74,$J16,COLUMNS($P$1:Q15))," ")</f>
        <v xml:space="preserve"> </v>
      </c>
      <c r="R16" s="19" t="str">
        <f>IFERROR(INDEX($D$2:$G$74,$J16,COLUMNS($P$1:R15))," ")</f>
        <v xml:space="preserve"> </v>
      </c>
      <c r="S16" s="20" t="str">
        <f>IFERROR(INDEX($D$2:$G$74,$J16,COLUMNS($P$1:S15))," ")</f>
        <v xml:space="preserve"> </v>
      </c>
    </row>
    <row r="17" spans="1:10" ht="23" x14ac:dyDescent="0.75">
      <c r="A17" s="3" t="s">
        <v>5</v>
      </c>
      <c r="B17" s="3" t="s">
        <v>5</v>
      </c>
      <c r="C17" s="3" t="s">
        <v>4</v>
      </c>
      <c r="D17" s="3" t="s">
        <v>36</v>
      </c>
      <c r="E17" s="15">
        <v>21.2363</v>
      </c>
      <c r="F17" s="15">
        <v>21.690300000000001</v>
      </c>
      <c r="G17" s="15">
        <v>15.590423999999999</v>
      </c>
      <c r="H17" s="8">
        <f>ROWS($A$2:A17)</f>
        <v>16</v>
      </c>
      <c r="I17" s="8" t="str">
        <f t="shared" si="0"/>
        <v/>
      </c>
      <c r="J17" s="8" t="str">
        <f t="shared" si="1"/>
        <v/>
      </c>
    </row>
    <row r="18" spans="1:10" ht="23" x14ac:dyDescent="0.75">
      <c r="A18" s="3" t="s">
        <v>5</v>
      </c>
      <c r="B18" s="3" t="s">
        <v>6</v>
      </c>
      <c r="C18" s="3" t="s">
        <v>3</v>
      </c>
      <c r="D18" s="3" t="s">
        <v>37</v>
      </c>
      <c r="E18" s="15">
        <v>2.9653</v>
      </c>
      <c r="F18" s="15">
        <v>1.5021</v>
      </c>
      <c r="G18" s="15">
        <v>1.4052</v>
      </c>
      <c r="H18" s="8">
        <f>ROWS($A$2:A18)</f>
        <v>17</v>
      </c>
      <c r="I18" s="8" t="str">
        <f t="shared" si="0"/>
        <v/>
      </c>
      <c r="J18" s="8" t="str">
        <f t="shared" si="1"/>
        <v/>
      </c>
    </row>
    <row r="19" spans="1:10" ht="23" x14ac:dyDescent="0.75">
      <c r="A19" s="3" t="s">
        <v>6</v>
      </c>
      <c r="B19" s="3" t="s">
        <v>3</v>
      </c>
      <c r="C19" s="3" t="s">
        <v>3</v>
      </c>
      <c r="D19" s="3" t="s">
        <v>38</v>
      </c>
      <c r="E19" s="15">
        <v>11.122199999999999</v>
      </c>
      <c r="F19" s="15">
        <v>2.0434999999999999</v>
      </c>
      <c r="G19" s="15">
        <v>5.9558999999999997</v>
      </c>
      <c r="H19" s="8">
        <f>ROWS($A$2:A19)</f>
        <v>18</v>
      </c>
      <c r="I19" s="8" t="str">
        <f t="shared" si="0"/>
        <v/>
      </c>
      <c r="J19" s="8" t="str">
        <f t="shared" si="1"/>
        <v/>
      </c>
    </row>
    <row r="20" spans="1:10" ht="23" x14ac:dyDescent="0.75">
      <c r="A20" s="3" t="s">
        <v>6</v>
      </c>
      <c r="B20" s="3" t="s">
        <v>4</v>
      </c>
      <c r="C20" s="3" t="s">
        <v>3</v>
      </c>
      <c r="D20" s="3" t="s">
        <v>39</v>
      </c>
      <c r="E20" s="15">
        <v>15.6144</v>
      </c>
      <c r="F20" s="15">
        <v>3.7572000000000001</v>
      </c>
      <c r="G20" s="15">
        <v>5.8433999999999999</v>
      </c>
      <c r="H20" s="8">
        <f>ROWS($A$2:A20)</f>
        <v>19</v>
      </c>
      <c r="I20" s="8" t="str">
        <f t="shared" si="0"/>
        <v/>
      </c>
      <c r="J20" s="8" t="str">
        <f t="shared" si="1"/>
        <v/>
      </c>
    </row>
    <row r="21" spans="1:10" ht="23" x14ac:dyDescent="0.75">
      <c r="A21" s="3" t="s">
        <v>6</v>
      </c>
      <c r="B21" s="3" t="s">
        <v>5</v>
      </c>
      <c r="C21" s="3" t="s">
        <v>3</v>
      </c>
      <c r="D21" s="3" t="s">
        <v>40</v>
      </c>
      <c r="E21" s="15">
        <v>13.305199999999999</v>
      </c>
      <c r="F21" s="15">
        <v>6.0625</v>
      </c>
      <c r="G21" s="15">
        <v>9.3271999999999995</v>
      </c>
      <c r="H21" s="8">
        <f>ROWS($A$2:A21)</f>
        <v>20</v>
      </c>
      <c r="I21" s="8" t="str">
        <f t="shared" si="0"/>
        <v/>
      </c>
      <c r="J21" s="8" t="str">
        <f t="shared" si="1"/>
        <v/>
      </c>
    </row>
    <row r="22" spans="1:10" ht="23" x14ac:dyDescent="0.75">
      <c r="A22" s="3" t="s">
        <v>7</v>
      </c>
      <c r="B22" s="3" t="s">
        <v>3</v>
      </c>
      <c r="C22" s="3" t="s">
        <v>3</v>
      </c>
      <c r="D22" s="3" t="s">
        <v>41</v>
      </c>
      <c r="E22" s="15">
        <v>7.0728</v>
      </c>
      <c r="F22" s="15">
        <v>0.77439999999999998</v>
      </c>
      <c r="G22" s="15">
        <v>7.2009999999999996</v>
      </c>
      <c r="H22" s="8">
        <f>ROWS($A$2:A22)</f>
        <v>21</v>
      </c>
      <c r="I22" s="8" t="str">
        <f t="shared" si="0"/>
        <v/>
      </c>
      <c r="J22" s="8" t="str">
        <f t="shared" si="1"/>
        <v/>
      </c>
    </row>
    <row r="23" spans="1:10" ht="23" x14ac:dyDescent="0.75">
      <c r="A23" s="3" t="s">
        <v>7</v>
      </c>
      <c r="B23" s="3" t="s">
        <v>3</v>
      </c>
      <c r="C23" s="3" t="s">
        <v>4</v>
      </c>
      <c r="D23" s="3" t="s">
        <v>42</v>
      </c>
      <c r="E23" s="15">
        <v>16.959099999999999</v>
      </c>
      <c r="F23" s="15">
        <v>2.5287000000000002</v>
      </c>
      <c r="G23" s="15">
        <v>5.4310999999999998</v>
      </c>
      <c r="H23" s="8">
        <f>ROWS($A$2:A23)</f>
        <v>22</v>
      </c>
      <c r="I23" s="8" t="str">
        <f t="shared" si="0"/>
        <v/>
      </c>
      <c r="J23" s="8" t="str">
        <f t="shared" si="1"/>
        <v/>
      </c>
    </row>
    <row r="24" spans="1:10" ht="23" x14ac:dyDescent="0.75">
      <c r="A24" s="3" t="s">
        <v>7</v>
      </c>
      <c r="B24" s="3" t="s">
        <v>4</v>
      </c>
      <c r="C24" s="3" t="s">
        <v>3</v>
      </c>
      <c r="D24" s="3" t="s">
        <v>43</v>
      </c>
      <c r="E24" s="15">
        <v>12.6037</v>
      </c>
      <c r="F24" s="15">
        <v>4.7411000000000003</v>
      </c>
      <c r="G24" s="15">
        <v>9.8951499999999992</v>
      </c>
      <c r="H24" s="8">
        <f>ROWS($A$2:A24)</f>
        <v>23</v>
      </c>
      <c r="I24" s="8" t="str">
        <f t="shared" si="0"/>
        <v/>
      </c>
      <c r="J24" s="8" t="str">
        <f t="shared" si="1"/>
        <v/>
      </c>
    </row>
    <row r="25" spans="1:10" ht="23" x14ac:dyDescent="0.75">
      <c r="A25" s="3" t="s">
        <v>8</v>
      </c>
      <c r="B25" s="3" t="s">
        <v>3</v>
      </c>
      <c r="C25" s="3" t="s">
        <v>3</v>
      </c>
      <c r="D25" s="3" t="s">
        <v>44</v>
      </c>
      <c r="E25" s="15">
        <v>9.7659000000000002</v>
      </c>
      <c r="F25" s="15">
        <v>0.1825</v>
      </c>
      <c r="G25" s="15">
        <v>2.2353000000000001</v>
      </c>
      <c r="H25" s="8">
        <f>ROWS($A$2:A25)</f>
        <v>24</v>
      </c>
      <c r="I25" s="8" t="str">
        <f t="shared" si="0"/>
        <v/>
      </c>
      <c r="J25" s="8" t="str">
        <f t="shared" si="1"/>
        <v/>
      </c>
    </row>
    <row r="26" spans="1:10" ht="23" x14ac:dyDescent="0.75">
      <c r="A26" s="3" t="s">
        <v>8</v>
      </c>
      <c r="B26" s="3" t="s">
        <v>3</v>
      </c>
      <c r="C26" s="3" t="s">
        <v>4</v>
      </c>
      <c r="D26" s="3" t="s">
        <v>45</v>
      </c>
      <c r="E26" s="15">
        <v>15.367800000000001</v>
      </c>
      <c r="F26" s="15">
        <v>3.4670999999999998</v>
      </c>
      <c r="G26" s="15">
        <v>5.7110000000000003</v>
      </c>
      <c r="H26" s="8">
        <f>ROWS($A$2:A26)</f>
        <v>25</v>
      </c>
      <c r="I26" s="8" t="str">
        <f t="shared" si="0"/>
        <v/>
      </c>
      <c r="J26" s="8" t="str">
        <f t="shared" si="1"/>
        <v/>
      </c>
    </row>
    <row r="27" spans="1:10" ht="23" x14ac:dyDescent="0.75">
      <c r="A27" s="3" t="s">
        <v>8</v>
      </c>
      <c r="B27" s="3" t="s">
        <v>4</v>
      </c>
      <c r="C27" s="3" t="s">
        <v>3</v>
      </c>
      <c r="D27" s="3" t="s">
        <v>46</v>
      </c>
      <c r="E27" s="15">
        <v>15.7841</v>
      </c>
      <c r="F27" s="15">
        <v>10.5421</v>
      </c>
      <c r="G27" s="15">
        <v>3.1587000000000001</v>
      </c>
      <c r="H27" s="8">
        <f>ROWS($A$2:A27)</f>
        <v>26</v>
      </c>
      <c r="I27" s="8" t="str">
        <f t="shared" si="0"/>
        <v/>
      </c>
      <c r="J27" s="8" t="str">
        <f t="shared" si="1"/>
        <v/>
      </c>
    </row>
    <row r="28" spans="1:10" ht="23" x14ac:dyDescent="0.75">
      <c r="A28" s="3" t="s">
        <v>8</v>
      </c>
      <c r="B28" s="3" t="s">
        <v>4</v>
      </c>
      <c r="C28" s="3" t="s">
        <v>4</v>
      </c>
      <c r="D28" s="3" t="s">
        <v>47</v>
      </c>
      <c r="E28" s="15">
        <v>9.4977999999999998</v>
      </c>
      <c r="F28" s="15">
        <v>1.181</v>
      </c>
      <c r="G28" s="15">
        <v>6.6234000000000002</v>
      </c>
      <c r="H28" s="8">
        <f>ROWS($A$2:A28)</f>
        <v>27</v>
      </c>
      <c r="I28" s="8" t="str">
        <f t="shared" si="0"/>
        <v/>
      </c>
      <c r="J28" s="8" t="str">
        <f t="shared" si="1"/>
        <v/>
      </c>
    </row>
    <row r="29" spans="1:10" ht="23" x14ac:dyDescent="0.75">
      <c r="A29" s="3" t="s">
        <v>8</v>
      </c>
      <c r="B29" s="3" t="s">
        <v>5</v>
      </c>
      <c r="C29" s="3" t="s">
        <v>3</v>
      </c>
      <c r="D29" s="3" t="s">
        <v>48</v>
      </c>
      <c r="E29" s="15">
        <v>9.1966000000000001</v>
      </c>
      <c r="F29" s="15">
        <v>3.9775</v>
      </c>
      <c r="G29" s="15">
        <v>9.3465000000000007</v>
      </c>
      <c r="H29" s="8">
        <f>ROWS($A$2:A29)</f>
        <v>28</v>
      </c>
      <c r="I29" s="8" t="str">
        <f t="shared" si="0"/>
        <v/>
      </c>
      <c r="J29" s="8" t="str">
        <f t="shared" si="1"/>
        <v/>
      </c>
    </row>
    <row r="30" spans="1:10" ht="23" x14ac:dyDescent="0.75">
      <c r="A30" s="3" t="s">
        <v>9</v>
      </c>
      <c r="B30" s="3" t="s">
        <v>3</v>
      </c>
      <c r="C30" s="3" t="s">
        <v>3</v>
      </c>
      <c r="D30" s="3" t="s">
        <v>49</v>
      </c>
      <c r="E30" s="15">
        <v>22.4192</v>
      </c>
      <c r="F30" s="15">
        <v>16.906300000000002</v>
      </c>
      <c r="G30" s="15">
        <v>6.9073000000000002</v>
      </c>
      <c r="H30" s="8">
        <f>ROWS($A$2:A30)</f>
        <v>29</v>
      </c>
      <c r="I30" s="8" t="str">
        <f t="shared" si="0"/>
        <v/>
      </c>
      <c r="J30" s="8" t="str">
        <f t="shared" si="1"/>
        <v/>
      </c>
    </row>
    <row r="31" spans="1:10" ht="23" x14ac:dyDescent="0.75">
      <c r="A31" s="3" t="s">
        <v>9</v>
      </c>
      <c r="B31" s="3" t="s">
        <v>4</v>
      </c>
      <c r="C31" s="3" t="s">
        <v>3</v>
      </c>
      <c r="D31" s="3" t="s">
        <v>50</v>
      </c>
      <c r="E31" s="15">
        <v>16.6342</v>
      </c>
      <c r="F31" s="15">
        <v>21.3566</v>
      </c>
      <c r="G31" s="15">
        <v>5.9302000000000001</v>
      </c>
      <c r="H31" s="8">
        <f>ROWS($A$2:A31)</f>
        <v>30</v>
      </c>
      <c r="I31" s="8" t="str">
        <f t="shared" si="0"/>
        <v/>
      </c>
      <c r="J31" s="8" t="str">
        <f t="shared" si="1"/>
        <v/>
      </c>
    </row>
    <row r="32" spans="1:10" ht="23" x14ac:dyDescent="0.75">
      <c r="A32" s="3" t="s">
        <v>9</v>
      </c>
      <c r="B32" s="3" t="s">
        <v>4</v>
      </c>
      <c r="C32" s="3" t="s">
        <v>4</v>
      </c>
      <c r="D32" s="3" t="s">
        <v>51</v>
      </c>
      <c r="E32" s="15">
        <v>11.312200000000001</v>
      </c>
      <c r="F32" s="15">
        <v>5.9398999999999997</v>
      </c>
      <c r="G32" s="15">
        <v>4.9554999999999998</v>
      </c>
      <c r="H32" s="8">
        <f>ROWS($A$2:A32)</f>
        <v>31</v>
      </c>
      <c r="I32" s="8" t="str">
        <f t="shared" si="0"/>
        <v/>
      </c>
      <c r="J32" s="8" t="str">
        <f t="shared" si="1"/>
        <v/>
      </c>
    </row>
    <row r="33" spans="1:10" ht="23" x14ac:dyDescent="0.75">
      <c r="A33" s="3" t="s">
        <v>9</v>
      </c>
      <c r="B33" s="3" t="s">
        <v>4</v>
      </c>
      <c r="C33" s="3" t="s">
        <v>5</v>
      </c>
      <c r="D33" s="3" t="s">
        <v>52</v>
      </c>
      <c r="E33" s="15">
        <v>11.3955</v>
      </c>
      <c r="F33" s="15">
        <v>35.1967</v>
      </c>
      <c r="G33" s="15">
        <v>1.2862</v>
      </c>
      <c r="H33" s="8">
        <f>ROWS($A$2:A33)</f>
        <v>32</v>
      </c>
      <c r="I33" s="8" t="str">
        <f t="shared" si="0"/>
        <v/>
      </c>
      <c r="J33" s="8" t="str">
        <f t="shared" si="1"/>
        <v/>
      </c>
    </row>
    <row r="34" spans="1:10" ht="23" x14ac:dyDescent="0.75">
      <c r="A34" s="3" t="s">
        <v>9</v>
      </c>
      <c r="B34" s="3" t="s">
        <v>4</v>
      </c>
      <c r="C34" s="3" t="s">
        <v>6</v>
      </c>
      <c r="D34" s="3" t="s">
        <v>53</v>
      </c>
      <c r="E34" s="15">
        <v>3.4087999999999998</v>
      </c>
      <c r="F34" s="15">
        <v>76.139499999999998</v>
      </c>
      <c r="G34" s="15">
        <v>15.9232</v>
      </c>
      <c r="H34" s="8">
        <f>ROWS($A$2:A34)</f>
        <v>33</v>
      </c>
      <c r="I34" s="8" t="str">
        <f t="shared" si="0"/>
        <v/>
      </c>
      <c r="J34" s="8" t="str">
        <f t="shared" si="1"/>
        <v/>
      </c>
    </row>
    <row r="35" spans="1:10" ht="23" x14ac:dyDescent="0.75">
      <c r="A35" s="3" t="s">
        <v>9</v>
      </c>
      <c r="B35" s="3" t="s">
        <v>4</v>
      </c>
      <c r="C35" s="3" t="s">
        <v>7</v>
      </c>
      <c r="D35" s="3" t="s">
        <v>54</v>
      </c>
      <c r="E35" s="15">
        <v>1.2243999999999999</v>
      </c>
      <c r="F35" s="15">
        <v>77.912999999999997</v>
      </c>
      <c r="G35" s="15">
        <v>6.1304800000000004</v>
      </c>
      <c r="H35" s="8">
        <f>ROWS($A$2:A35)</f>
        <v>34</v>
      </c>
      <c r="I35" s="8" t="str">
        <f t="shared" si="0"/>
        <v/>
      </c>
      <c r="J35" s="8" t="str">
        <f t="shared" si="1"/>
        <v/>
      </c>
    </row>
    <row r="36" spans="1:10" ht="23" x14ac:dyDescent="0.75">
      <c r="A36" s="3" t="s">
        <v>9</v>
      </c>
      <c r="B36" s="3" t="s">
        <v>5</v>
      </c>
      <c r="C36" s="3" t="s">
        <v>3</v>
      </c>
      <c r="D36" s="3" t="s">
        <v>55</v>
      </c>
      <c r="E36" s="15">
        <v>4.2347999999999999</v>
      </c>
      <c r="F36" s="15">
        <v>5.6528999999999998</v>
      </c>
      <c r="G36" s="15">
        <v>2.1793</v>
      </c>
      <c r="H36" s="8">
        <f>ROWS($A$2:A36)</f>
        <v>35</v>
      </c>
      <c r="I36" s="8" t="str">
        <f t="shared" si="0"/>
        <v/>
      </c>
      <c r="J36" s="8" t="str">
        <f t="shared" si="1"/>
        <v/>
      </c>
    </row>
    <row r="37" spans="1:10" ht="23" x14ac:dyDescent="0.75">
      <c r="A37" s="3" t="s">
        <v>9</v>
      </c>
      <c r="B37" s="3" t="s">
        <v>5</v>
      </c>
      <c r="C37" s="3" t="s">
        <v>4</v>
      </c>
      <c r="D37" s="3" t="s">
        <v>56</v>
      </c>
      <c r="E37" s="15">
        <v>0.74439999999999995</v>
      </c>
      <c r="F37" s="15">
        <v>142.21969999999999</v>
      </c>
      <c r="G37" s="15">
        <v>0.67149999999999999</v>
      </c>
      <c r="H37" s="8">
        <f>ROWS($A$2:A37)</f>
        <v>36</v>
      </c>
      <c r="I37" s="8" t="str">
        <f t="shared" si="0"/>
        <v/>
      </c>
      <c r="J37" s="8" t="str">
        <f t="shared" si="1"/>
        <v/>
      </c>
    </row>
    <row r="38" spans="1:10" ht="23" x14ac:dyDescent="0.75">
      <c r="A38" s="3" t="s">
        <v>10</v>
      </c>
      <c r="B38" s="3" t="s">
        <v>3</v>
      </c>
      <c r="C38" s="3" t="s">
        <v>3</v>
      </c>
      <c r="D38" s="3" t="s">
        <v>57</v>
      </c>
      <c r="E38" s="15">
        <v>4.9105999999999996</v>
      </c>
      <c r="F38" s="15">
        <v>0.45069999999999999</v>
      </c>
      <c r="G38" s="15">
        <v>2.3066499999999999</v>
      </c>
      <c r="H38" s="8">
        <f>ROWS($A$2:A38)</f>
        <v>37</v>
      </c>
      <c r="I38" s="8">
        <f t="shared" si="0"/>
        <v>37</v>
      </c>
      <c r="J38" s="8" t="str">
        <f t="shared" si="1"/>
        <v/>
      </c>
    </row>
    <row r="39" spans="1:10" ht="23" x14ac:dyDescent="0.75">
      <c r="A39" s="3" t="s">
        <v>10</v>
      </c>
      <c r="B39" s="3" t="s">
        <v>4</v>
      </c>
      <c r="C39" s="3" t="s">
        <v>3</v>
      </c>
      <c r="D39" s="3" t="s">
        <v>58</v>
      </c>
      <c r="E39" s="15">
        <v>5.9165999999999999</v>
      </c>
      <c r="F39" s="15">
        <v>8.3565000000000005</v>
      </c>
      <c r="G39" s="15">
        <v>1.6915</v>
      </c>
      <c r="H39" s="8">
        <f>ROWS($A$2:A39)</f>
        <v>38</v>
      </c>
      <c r="I39" s="8">
        <f t="shared" si="0"/>
        <v>38</v>
      </c>
      <c r="J39" s="8" t="str">
        <f t="shared" si="1"/>
        <v/>
      </c>
    </row>
    <row r="40" spans="1:10" ht="23" x14ac:dyDescent="0.75">
      <c r="A40" s="3" t="s">
        <v>10</v>
      </c>
      <c r="B40" s="3" t="s">
        <v>4</v>
      </c>
      <c r="C40" s="3" t="s">
        <v>4</v>
      </c>
      <c r="D40" s="3" t="s">
        <v>59</v>
      </c>
      <c r="E40" s="15">
        <v>20.411200000000001</v>
      </c>
      <c r="F40" s="15">
        <v>8.5574999999999992</v>
      </c>
      <c r="G40" s="15">
        <v>31.653500000000001</v>
      </c>
      <c r="H40" s="8">
        <f>ROWS($A$2:A40)</f>
        <v>39</v>
      </c>
      <c r="I40" s="8">
        <f t="shared" si="0"/>
        <v>39</v>
      </c>
      <c r="J40" s="8" t="str">
        <f t="shared" si="1"/>
        <v/>
      </c>
    </row>
    <row r="41" spans="1:10" ht="23" x14ac:dyDescent="0.75">
      <c r="A41" s="3" t="s">
        <v>10</v>
      </c>
      <c r="B41" s="3" t="s">
        <v>5</v>
      </c>
      <c r="C41" s="3" t="s">
        <v>3</v>
      </c>
      <c r="D41" s="3" t="s">
        <v>60</v>
      </c>
      <c r="E41" s="15">
        <v>10.345000000000001</v>
      </c>
      <c r="F41" s="15">
        <v>52.3247</v>
      </c>
      <c r="G41" s="15">
        <v>2.4731000000000001</v>
      </c>
      <c r="H41" s="8">
        <f>ROWS($A$2:A41)</f>
        <v>40</v>
      </c>
      <c r="I41" s="8">
        <f t="shared" si="0"/>
        <v>40</v>
      </c>
      <c r="J41" s="8" t="str">
        <f t="shared" si="1"/>
        <v/>
      </c>
    </row>
    <row r="42" spans="1:10" ht="23" x14ac:dyDescent="0.75">
      <c r="A42" s="3" t="s">
        <v>11</v>
      </c>
      <c r="B42" s="3" t="s">
        <v>3</v>
      </c>
      <c r="C42" s="3" t="s">
        <v>3</v>
      </c>
      <c r="D42" s="3" t="s">
        <v>61</v>
      </c>
      <c r="E42" s="15">
        <v>17.459099999999999</v>
      </c>
      <c r="F42" s="15">
        <v>5.4566999999999997</v>
      </c>
      <c r="G42" s="15">
        <v>4.7686999999999999</v>
      </c>
      <c r="H42" s="8">
        <f>ROWS($A$2:A42)</f>
        <v>41</v>
      </c>
      <c r="I42" s="8" t="str">
        <f t="shared" si="0"/>
        <v/>
      </c>
      <c r="J42" s="8" t="str">
        <f t="shared" si="1"/>
        <v/>
      </c>
    </row>
    <row r="43" spans="1:10" ht="23" x14ac:dyDescent="0.75">
      <c r="A43" s="3" t="s">
        <v>11</v>
      </c>
      <c r="B43" s="3" t="s">
        <v>3</v>
      </c>
      <c r="C43" s="3" t="s">
        <v>4</v>
      </c>
      <c r="D43" s="3" t="s">
        <v>62</v>
      </c>
      <c r="E43" s="15">
        <v>19.705200000000001</v>
      </c>
      <c r="F43" s="15">
        <v>2.2303000000000002</v>
      </c>
      <c r="G43" s="15">
        <v>10.1</v>
      </c>
      <c r="H43" s="8">
        <f>ROWS($A$2:A43)</f>
        <v>42</v>
      </c>
      <c r="I43" s="8" t="str">
        <f t="shared" si="0"/>
        <v/>
      </c>
      <c r="J43" s="8" t="str">
        <f t="shared" si="1"/>
        <v/>
      </c>
    </row>
    <row r="44" spans="1:10" ht="23" x14ac:dyDescent="0.75">
      <c r="A44" s="3" t="s">
        <v>11</v>
      </c>
      <c r="B44" s="3" t="s">
        <v>3</v>
      </c>
      <c r="C44" s="3" t="s">
        <v>5</v>
      </c>
      <c r="D44" s="3" t="s">
        <v>63</v>
      </c>
      <c r="E44" s="15">
        <v>0.34010000000000001</v>
      </c>
      <c r="F44" s="15">
        <v>35.9497</v>
      </c>
      <c r="G44" s="15">
        <v>2.9121000000000001</v>
      </c>
      <c r="H44" s="8">
        <f>ROWS($A$2:A44)</f>
        <v>43</v>
      </c>
      <c r="I44" s="8" t="str">
        <f t="shared" si="0"/>
        <v/>
      </c>
      <c r="J44" s="8" t="str">
        <f t="shared" si="1"/>
        <v/>
      </c>
    </row>
    <row r="45" spans="1:10" ht="23" x14ac:dyDescent="0.75">
      <c r="A45" s="3" t="s">
        <v>11</v>
      </c>
      <c r="B45" s="3" t="s">
        <v>3</v>
      </c>
      <c r="C45" s="3" t="s">
        <v>6</v>
      </c>
      <c r="D45" s="3" t="s">
        <v>64</v>
      </c>
      <c r="E45" s="15">
        <v>12.738200000000001</v>
      </c>
      <c r="F45" s="15">
        <v>9.5908999999999995</v>
      </c>
      <c r="G45" s="15">
        <v>9.6831999999999994</v>
      </c>
      <c r="H45" s="8">
        <f>ROWS($A$2:A45)</f>
        <v>44</v>
      </c>
      <c r="I45" s="8" t="str">
        <f t="shared" si="0"/>
        <v/>
      </c>
      <c r="J45" s="8" t="str">
        <f t="shared" si="1"/>
        <v/>
      </c>
    </row>
    <row r="46" spans="1:10" ht="23" x14ac:dyDescent="0.75">
      <c r="A46" s="3" t="s">
        <v>11</v>
      </c>
      <c r="B46" s="3" t="s">
        <v>4</v>
      </c>
      <c r="C46" s="3" t="s">
        <v>3</v>
      </c>
      <c r="D46" s="3" t="s">
        <v>65</v>
      </c>
      <c r="E46" s="15">
        <v>9.2630999999999997</v>
      </c>
      <c r="F46" s="15">
        <v>5.5792999999999999</v>
      </c>
      <c r="G46" s="15">
        <v>4.0303000000000004</v>
      </c>
      <c r="H46" s="8">
        <f>ROWS($A$2:A46)</f>
        <v>45</v>
      </c>
      <c r="I46" s="8" t="str">
        <f t="shared" si="0"/>
        <v/>
      </c>
      <c r="J46" s="8" t="str">
        <f t="shared" si="1"/>
        <v/>
      </c>
    </row>
    <row r="47" spans="1:10" ht="23" x14ac:dyDescent="0.75">
      <c r="A47" s="3" t="s">
        <v>11</v>
      </c>
      <c r="B47" s="3" t="s">
        <v>4</v>
      </c>
      <c r="C47" s="3" t="s">
        <v>4</v>
      </c>
      <c r="D47" s="3" t="s">
        <v>66</v>
      </c>
      <c r="E47" s="15">
        <v>10.2834</v>
      </c>
      <c r="F47" s="15">
        <v>3.9716999999999998</v>
      </c>
      <c r="G47" s="15">
        <v>2.3936999999999999</v>
      </c>
      <c r="H47" s="8">
        <f>ROWS($A$2:A47)</f>
        <v>46</v>
      </c>
      <c r="I47" s="8" t="str">
        <f t="shared" si="0"/>
        <v/>
      </c>
      <c r="J47" s="8" t="str">
        <f t="shared" si="1"/>
        <v/>
      </c>
    </row>
    <row r="48" spans="1:10" ht="23" x14ac:dyDescent="0.75">
      <c r="A48" s="3" t="s">
        <v>11</v>
      </c>
      <c r="B48" s="3" t="s">
        <v>4</v>
      </c>
      <c r="C48" s="3" t="s">
        <v>5</v>
      </c>
      <c r="D48" s="3" t="s">
        <v>67</v>
      </c>
      <c r="E48" s="15">
        <v>1.1775</v>
      </c>
      <c r="F48" s="15">
        <v>167.75819999999999</v>
      </c>
      <c r="G48" s="15">
        <v>5.8715999999999999</v>
      </c>
      <c r="H48" s="8">
        <f>ROWS($A$2:A48)</f>
        <v>47</v>
      </c>
      <c r="I48" s="8" t="str">
        <f t="shared" si="0"/>
        <v/>
      </c>
      <c r="J48" s="8" t="str">
        <f t="shared" si="1"/>
        <v/>
      </c>
    </row>
    <row r="49" spans="1:10" ht="23" x14ac:dyDescent="0.75">
      <c r="A49" s="3" t="s">
        <v>11</v>
      </c>
      <c r="B49" s="3" t="s">
        <v>5</v>
      </c>
      <c r="C49" s="3" t="s">
        <v>3</v>
      </c>
      <c r="D49" s="3" t="s">
        <v>68</v>
      </c>
      <c r="E49" s="15">
        <v>15.564399999999999</v>
      </c>
      <c r="F49" s="15">
        <v>7.6627999999999998</v>
      </c>
      <c r="G49" s="15">
        <v>5.3762999999999996</v>
      </c>
      <c r="H49" s="8">
        <f>ROWS($A$2:A49)</f>
        <v>48</v>
      </c>
      <c r="I49" s="8" t="str">
        <f t="shared" si="0"/>
        <v/>
      </c>
      <c r="J49" s="8" t="str">
        <f t="shared" si="1"/>
        <v/>
      </c>
    </row>
    <row r="50" spans="1:10" ht="23" x14ac:dyDescent="0.75">
      <c r="A50" s="3" t="s">
        <v>11</v>
      </c>
      <c r="B50" s="3" t="s">
        <v>5</v>
      </c>
      <c r="C50" s="3" t="s">
        <v>4</v>
      </c>
      <c r="D50" s="3" t="s">
        <v>69</v>
      </c>
      <c r="E50" s="15">
        <v>8.2080000000000002</v>
      </c>
      <c r="F50" s="15">
        <v>36.205199999999998</v>
      </c>
      <c r="G50" s="15">
        <v>19.474699999999999</v>
      </c>
      <c r="H50" s="8">
        <f>ROWS($A$2:A50)</f>
        <v>49</v>
      </c>
      <c r="I50" s="8" t="str">
        <f t="shared" si="0"/>
        <v/>
      </c>
      <c r="J50" s="8" t="str">
        <f t="shared" si="1"/>
        <v/>
      </c>
    </row>
    <row r="51" spans="1:10" ht="23" x14ac:dyDescent="0.75">
      <c r="A51" s="3" t="s">
        <v>11</v>
      </c>
      <c r="B51" s="3" t="s">
        <v>5</v>
      </c>
      <c r="C51" s="3" t="s">
        <v>5</v>
      </c>
      <c r="D51" s="3" t="s">
        <v>70</v>
      </c>
      <c r="E51" s="15">
        <v>10.001899999999999</v>
      </c>
      <c r="F51" s="15">
        <v>7.2054</v>
      </c>
      <c r="G51" s="15">
        <v>2.6450999999999998</v>
      </c>
      <c r="H51" s="8">
        <f>ROWS($A$2:A51)</f>
        <v>50</v>
      </c>
      <c r="I51" s="8" t="str">
        <f t="shared" si="0"/>
        <v/>
      </c>
      <c r="J51" s="8" t="str">
        <f t="shared" si="1"/>
        <v/>
      </c>
    </row>
    <row r="52" spans="1:10" ht="23" x14ac:dyDescent="0.75">
      <c r="A52" s="3" t="s">
        <v>12</v>
      </c>
      <c r="B52" s="3" t="s">
        <v>3</v>
      </c>
      <c r="C52" s="3" t="s">
        <v>3</v>
      </c>
      <c r="D52" s="3" t="s">
        <v>71</v>
      </c>
      <c r="E52" s="15">
        <v>8.2885000000000009</v>
      </c>
      <c r="F52" s="15">
        <v>3.4632000000000001</v>
      </c>
      <c r="G52" s="15">
        <v>2.4031500000000001</v>
      </c>
      <c r="H52" s="8">
        <f>ROWS($A$2:A52)</f>
        <v>51</v>
      </c>
      <c r="I52" s="8" t="str">
        <f t="shared" si="0"/>
        <v/>
      </c>
      <c r="J52" s="8" t="str">
        <f t="shared" si="1"/>
        <v/>
      </c>
    </row>
    <row r="53" spans="1:10" ht="23" x14ac:dyDescent="0.75">
      <c r="A53" s="3" t="s">
        <v>12</v>
      </c>
      <c r="B53" s="3" t="s">
        <v>3</v>
      </c>
      <c r="C53" s="3" t="s">
        <v>4</v>
      </c>
      <c r="D53" s="3" t="s">
        <v>72</v>
      </c>
      <c r="E53" s="15">
        <v>7.5754000000000001</v>
      </c>
      <c r="F53" s="15">
        <v>12.071999999999999</v>
      </c>
      <c r="G53" s="15">
        <v>1.1999999999999999E-3</v>
      </c>
      <c r="H53" s="8">
        <f>ROWS($A$2:A53)</f>
        <v>52</v>
      </c>
      <c r="I53" s="8" t="str">
        <f t="shared" si="0"/>
        <v/>
      </c>
      <c r="J53" s="8" t="str">
        <f t="shared" si="1"/>
        <v/>
      </c>
    </row>
    <row r="54" spans="1:10" ht="23" x14ac:dyDescent="0.75">
      <c r="A54" s="3" t="s">
        <v>12</v>
      </c>
      <c r="B54" s="3" t="s">
        <v>3</v>
      </c>
      <c r="C54" s="3" t="s">
        <v>5</v>
      </c>
      <c r="D54" s="3" t="s">
        <v>73</v>
      </c>
      <c r="E54" s="15">
        <v>8.4709000000000003</v>
      </c>
      <c r="F54" s="15">
        <v>4.0861999999999998</v>
      </c>
      <c r="G54" s="15">
        <v>3.8066</v>
      </c>
      <c r="H54" s="8">
        <f>ROWS($A$2:A54)</f>
        <v>53</v>
      </c>
      <c r="I54" s="8" t="str">
        <f t="shared" si="0"/>
        <v/>
      </c>
      <c r="J54" s="8" t="str">
        <f t="shared" si="1"/>
        <v/>
      </c>
    </row>
    <row r="55" spans="1:10" ht="23" x14ac:dyDescent="0.75">
      <c r="A55" s="3" t="s">
        <v>12</v>
      </c>
      <c r="B55" s="3" t="s">
        <v>3</v>
      </c>
      <c r="C55" s="3" t="s">
        <v>6</v>
      </c>
      <c r="D55" s="3" t="s">
        <v>74</v>
      </c>
      <c r="E55" s="15">
        <v>9.3073999999999995</v>
      </c>
      <c r="F55" s="15">
        <v>10.593500000000001</v>
      </c>
      <c r="G55" s="15">
        <v>3.0745</v>
      </c>
      <c r="H55" s="8">
        <f>ROWS($A$2:A55)</f>
        <v>54</v>
      </c>
      <c r="I55" s="8" t="str">
        <f t="shared" si="0"/>
        <v/>
      </c>
      <c r="J55" s="8" t="str">
        <f t="shared" si="1"/>
        <v/>
      </c>
    </row>
    <row r="56" spans="1:10" ht="23" x14ac:dyDescent="0.75">
      <c r="A56" s="3" t="s">
        <v>12</v>
      </c>
      <c r="B56" s="3" t="s">
        <v>4</v>
      </c>
      <c r="C56" s="3" t="s">
        <v>3</v>
      </c>
      <c r="D56" s="3" t="s">
        <v>75</v>
      </c>
      <c r="E56" s="15">
        <v>13.523999999999999</v>
      </c>
      <c r="F56" s="15">
        <v>4.3257000000000003</v>
      </c>
      <c r="G56" s="15">
        <v>8.3772000000000002</v>
      </c>
      <c r="H56" s="8">
        <f>ROWS($A$2:A56)</f>
        <v>55</v>
      </c>
      <c r="I56" s="8" t="str">
        <f t="shared" si="0"/>
        <v/>
      </c>
      <c r="J56" s="8" t="str">
        <f t="shared" si="1"/>
        <v/>
      </c>
    </row>
    <row r="57" spans="1:10" ht="23" x14ac:dyDescent="0.75">
      <c r="A57" s="3" t="s">
        <v>12</v>
      </c>
      <c r="B57" s="3" t="s">
        <v>4</v>
      </c>
      <c r="C57" s="3" t="s">
        <v>4</v>
      </c>
      <c r="D57" s="3" t="s">
        <v>76</v>
      </c>
      <c r="E57" s="15">
        <v>13.723100000000001</v>
      </c>
      <c r="F57" s="15">
        <v>10.1942</v>
      </c>
      <c r="G57" s="15">
        <v>6.9729000000000001</v>
      </c>
      <c r="H57" s="8">
        <f>ROWS($A$2:A57)</f>
        <v>56</v>
      </c>
      <c r="I57" s="8" t="str">
        <f t="shared" si="0"/>
        <v/>
      </c>
      <c r="J57" s="8" t="str">
        <f t="shared" si="1"/>
        <v/>
      </c>
    </row>
    <row r="58" spans="1:10" ht="23" x14ac:dyDescent="0.75">
      <c r="A58" s="3" t="s">
        <v>12</v>
      </c>
      <c r="B58" s="3" t="s">
        <v>5</v>
      </c>
      <c r="C58" s="3" t="s">
        <v>3</v>
      </c>
      <c r="D58" s="3" t="s">
        <v>77</v>
      </c>
      <c r="E58" s="15">
        <v>8.5290999999999997</v>
      </c>
      <c r="F58" s="15">
        <v>3.2437</v>
      </c>
      <c r="G58" s="15">
        <v>7.8082000000000003</v>
      </c>
      <c r="H58" s="8">
        <f>ROWS($A$2:A58)</f>
        <v>57</v>
      </c>
      <c r="I58" s="8" t="str">
        <f t="shared" si="0"/>
        <v/>
      </c>
      <c r="J58" s="8" t="str">
        <f t="shared" si="1"/>
        <v/>
      </c>
    </row>
    <row r="59" spans="1:10" ht="23" x14ac:dyDescent="0.75">
      <c r="A59" s="3" t="s">
        <v>12</v>
      </c>
      <c r="B59" s="3" t="s">
        <v>5</v>
      </c>
      <c r="C59" s="3" t="s">
        <v>4</v>
      </c>
      <c r="D59" s="3" t="s">
        <v>78</v>
      </c>
      <c r="E59" s="15">
        <v>6.1902999999999997</v>
      </c>
      <c r="F59" s="15">
        <v>16.3002</v>
      </c>
      <c r="G59" s="15">
        <v>2.6919</v>
      </c>
      <c r="H59" s="8">
        <f>ROWS($A$2:A59)</f>
        <v>58</v>
      </c>
      <c r="I59" s="8" t="str">
        <f t="shared" si="0"/>
        <v/>
      </c>
      <c r="J59" s="8" t="str">
        <f t="shared" si="1"/>
        <v/>
      </c>
    </row>
    <row r="60" spans="1:10" ht="23" x14ac:dyDescent="0.75">
      <c r="A60" s="3" t="s">
        <v>12</v>
      </c>
      <c r="B60" s="3" t="s">
        <v>5</v>
      </c>
      <c r="C60" s="3" t="s">
        <v>5</v>
      </c>
      <c r="D60" s="3" t="s">
        <v>79</v>
      </c>
      <c r="E60" s="15">
        <v>10.283899999999999</v>
      </c>
      <c r="F60" s="15">
        <v>2.5527000000000002</v>
      </c>
      <c r="G60" s="15">
        <v>7.3522999999999996</v>
      </c>
      <c r="H60" s="8">
        <f>ROWS($A$2:A60)</f>
        <v>59</v>
      </c>
      <c r="I60" s="8" t="str">
        <f t="shared" si="0"/>
        <v/>
      </c>
      <c r="J60" s="8" t="str">
        <f t="shared" si="1"/>
        <v/>
      </c>
    </row>
    <row r="61" spans="1:10" ht="23" x14ac:dyDescent="0.75">
      <c r="A61" s="3" t="s">
        <v>13</v>
      </c>
      <c r="B61" s="3" t="s">
        <v>3</v>
      </c>
      <c r="C61" s="3" t="s">
        <v>3</v>
      </c>
      <c r="D61" s="3" t="s">
        <v>80</v>
      </c>
      <c r="E61" s="15">
        <v>25.422499999999999</v>
      </c>
      <c r="F61" s="15">
        <v>2.5367000000000002</v>
      </c>
      <c r="G61" s="15">
        <v>6.9157999999999999</v>
      </c>
      <c r="H61" s="8">
        <f>ROWS($A$2:A61)</f>
        <v>60</v>
      </c>
      <c r="I61" s="8" t="str">
        <f t="shared" si="0"/>
        <v/>
      </c>
      <c r="J61" s="8" t="str">
        <f t="shared" si="1"/>
        <v/>
      </c>
    </row>
    <row r="62" spans="1:10" ht="23" x14ac:dyDescent="0.75">
      <c r="A62" s="3" t="s">
        <v>13</v>
      </c>
      <c r="B62" s="3" t="s">
        <v>3</v>
      </c>
      <c r="C62" s="3" t="s">
        <v>4</v>
      </c>
      <c r="D62" s="3" t="s">
        <v>81</v>
      </c>
      <c r="E62" s="15">
        <v>39.139400000000002</v>
      </c>
      <c r="F62" s="15">
        <v>0.61060000000000003</v>
      </c>
      <c r="G62" s="15">
        <v>19.446100000000001</v>
      </c>
      <c r="H62" s="8">
        <f>ROWS($A$2:A62)</f>
        <v>61</v>
      </c>
      <c r="I62" s="8" t="str">
        <f t="shared" si="0"/>
        <v/>
      </c>
      <c r="J62" s="8" t="str">
        <f t="shared" si="1"/>
        <v/>
      </c>
    </row>
    <row r="63" spans="1:10" ht="23" x14ac:dyDescent="0.75">
      <c r="A63" s="3" t="s">
        <v>13</v>
      </c>
      <c r="B63" s="3" t="s">
        <v>4</v>
      </c>
      <c r="C63" s="3" t="s">
        <v>3</v>
      </c>
      <c r="D63" s="3" t="s">
        <v>82</v>
      </c>
      <c r="E63" s="15">
        <v>11.2973</v>
      </c>
      <c r="F63" s="15">
        <v>9.7810000000000006</v>
      </c>
      <c r="G63" s="15">
        <v>4.9631999999999996</v>
      </c>
      <c r="H63" s="8">
        <f>ROWS($A$2:A63)</f>
        <v>62</v>
      </c>
      <c r="I63" s="8" t="str">
        <f t="shared" si="0"/>
        <v/>
      </c>
      <c r="J63" s="8" t="str">
        <f t="shared" si="1"/>
        <v/>
      </c>
    </row>
    <row r="64" spans="1:10" ht="23" x14ac:dyDescent="0.75">
      <c r="A64" s="3" t="s">
        <v>13</v>
      </c>
      <c r="B64" s="3" t="s">
        <v>4</v>
      </c>
      <c r="C64" s="3" t="s">
        <v>4</v>
      </c>
      <c r="D64" s="3" t="s">
        <v>83</v>
      </c>
      <c r="E64" s="15">
        <v>7.7412999999999998</v>
      </c>
      <c r="F64" s="15">
        <v>3.7248000000000001</v>
      </c>
      <c r="G64" s="15">
        <v>3.0834999999999999</v>
      </c>
      <c r="H64" s="8">
        <f>ROWS($A$2:A64)</f>
        <v>63</v>
      </c>
      <c r="I64" s="8" t="str">
        <f t="shared" si="0"/>
        <v/>
      </c>
      <c r="J64" s="8" t="str">
        <f t="shared" si="1"/>
        <v/>
      </c>
    </row>
    <row r="65" spans="1:10" ht="23" x14ac:dyDescent="0.75">
      <c r="A65" s="3" t="s">
        <v>13</v>
      </c>
      <c r="B65" s="3" t="s">
        <v>4</v>
      </c>
      <c r="C65" s="3" t="s">
        <v>5</v>
      </c>
      <c r="D65" s="3" t="s">
        <v>84</v>
      </c>
      <c r="E65" s="15">
        <v>4.3978000000000002</v>
      </c>
      <c r="F65" s="15">
        <v>1.7277</v>
      </c>
      <c r="G65" s="15">
        <v>5.2809999999999997</v>
      </c>
      <c r="H65" s="8">
        <f>ROWS($A$2:A65)</f>
        <v>64</v>
      </c>
      <c r="I65" s="8" t="str">
        <f t="shared" si="0"/>
        <v/>
      </c>
      <c r="J65" s="8" t="str">
        <f t="shared" si="1"/>
        <v/>
      </c>
    </row>
    <row r="66" spans="1:10" ht="23" x14ac:dyDescent="0.75">
      <c r="A66" s="3" t="s">
        <v>14</v>
      </c>
      <c r="B66" s="3" t="s">
        <v>3</v>
      </c>
      <c r="C66" s="3" t="s">
        <v>3</v>
      </c>
      <c r="D66" s="3" t="s">
        <v>85</v>
      </c>
      <c r="E66" s="15">
        <v>12.155099999999999</v>
      </c>
      <c r="F66" s="15">
        <v>16.6494</v>
      </c>
      <c r="G66" s="15">
        <v>5.4662499999999996</v>
      </c>
      <c r="H66" s="8">
        <f>ROWS($A$2:A66)</f>
        <v>65</v>
      </c>
      <c r="I66" s="8" t="str">
        <f t="shared" si="0"/>
        <v/>
      </c>
      <c r="J66" s="8" t="str">
        <f t="shared" si="1"/>
        <v/>
      </c>
    </row>
    <row r="67" spans="1:10" ht="23" x14ac:dyDescent="0.75">
      <c r="A67" s="3" t="s">
        <v>14</v>
      </c>
      <c r="B67" s="3" t="s">
        <v>4</v>
      </c>
      <c r="C67" s="3" t="s">
        <v>3</v>
      </c>
      <c r="D67" s="3" t="s">
        <v>86</v>
      </c>
      <c r="E67" s="15">
        <v>13.040800000000001</v>
      </c>
      <c r="F67" s="15">
        <v>26.033000000000001</v>
      </c>
      <c r="G67" s="15">
        <v>4.7782</v>
      </c>
      <c r="H67" s="8">
        <f>ROWS($A$2:A67)</f>
        <v>66</v>
      </c>
      <c r="I67" s="8" t="str">
        <f t="shared" ref="I67:I74" si="2">IF(A67=$N$2,H67,"")</f>
        <v/>
      </c>
      <c r="J67" s="8" t="str">
        <f t="shared" ref="J67:J74" si="3">IFERROR(SMALL($I$2:$I$74,H67),"")</f>
        <v/>
      </c>
    </row>
    <row r="68" spans="1:10" ht="23" x14ac:dyDescent="0.75">
      <c r="A68" s="3" t="s">
        <v>14</v>
      </c>
      <c r="B68" s="3" t="s">
        <v>5</v>
      </c>
      <c r="C68" s="3" t="s">
        <v>3</v>
      </c>
      <c r="D68" s="3" t="s">
        <v>87</v>
      </c>
      <c r="E68" s="15">
        <v>5.4580000000000002</v>
      </c>
      <c r="F68" s="15">
        <v>11.702999999999999</v>
      </c>
      <c r="G68" s="15">
        <v>0.98019999999999996</v>
      </c>
      <c r="H68" s="8">
        <f>ROWS($A$2:A68)</f>
        <v>67</v>
      </c>
      <c r="I68" s="8" t="str">
        <f t="shared" si="2"/>
        <v/>
      </c>
      <c r="J68" s="8" t="str">
        <f t="shared" si="3"/>
        <v/>
      </c>
    </row>
    <row r="69" spans="1:10" ht="23" x14ac:dyDescent="0.75">
      <c r="A69" s="3" t="s">
        <v>15</v>
      </c>
      <c r="B69" s="3" t="s">
        <v>3</v>
      </c>
      <c r="C69" s="3" t="s">
        <v>3</v>
      </c>
      <c r="D69" s="3" t="s">
        <v>88</v>
      </c>
      <c r="E69" s="15">
        <v>2.9331999999999998</v>
      </c>
      <c r="F69" s="15">
        <v>5.7000000000000002E-2</v>
      </c>
      <c r="G69" s="15">
        <v>0.85609999999999997</v>
      </c>
      <c r="H69" s="8">
        <f>ROWS($A$2:A69)</f>
        <v>68</v>
      </c>
      <c r="I69" s="8" t="str">
        <f t="shared" si="2"/>
        <v/>
      </c>
      <c r="J69" s="8" t="str">
        <f t="shared" si="3"/>
        <v/>
      </c>
    </row>
    <row r="70" spans="1:10" ht="23" x14ac:dyDescent="0.75">
      <c r="A70" s="3" t="s">
        <v>15</v>
      </c>
      <c r="B70" s="3" t="s">
        <v>4</v>
      </c>
      <c r="C70" s="3" t="s">
        <v>3</v>
      </c>
      <c r="D70" s="3" t="s">
        <v>89</v>
      </c>
      <c r="E70" s="15">
        <v>4.1399999999999997</v>
      </c>
      <c r="F70" s="15">
        <v>9.35E-2</v>
      </c>
      <c r="G70" s="15">
        <v>1.0922700000000001</v>
      </c>
      <c r="H70" s="8">
        <f>ROWS($A$2:A70)</f>
        <v>69</v>
      </c>
      <c r="I70" s="8" t="str">
        <f t="shared" si="2"/>
        <v/>
      </c>
      <c r="J70" s="8" t="str">
        <f t="shared" si="3"/>
        <v/>
      </c>
    </row>
    <row r="71" spans="1:10" ht="23" x14ac:dyDescent="0.75">
      <c r="A71" s="3" t="s">
        <v>16</v>
      </c>
      <c r="B71" s="3" t="s">
        <v>9</v>
      </c>
      <c r="C71" s="3" t="s">
        <v>3</v>
      </c>
      <c r="D71" s="3" t="s">
        <v>90</v>
      </c>
      <c r="E71" s="15">
        <v>11.765499999999999</v>
      </c>
      <c r="F71" s="15">
        <v>13.8223</v>
      </c>
      <c r="G71" s="15">
        <v>0</v>
      </c>
      <c r="H71" s="8">
        <f>ROWS($A$2:A71)</f>
        <v>70</v>
      </c>
      <c r="I71" s="8" t="str">
        <f t="shared" si="2"/>
        <v/>
      </c>
      <c r="J71" s="8" t="str">
        <f t="shared" si="3"/>
        <v/>
      </c>
    </row>
    <row r="72" spans="1:10" ht="23" x14ac:dyDescent="0.75">
      <c r="A72" s="3" t="s">
        <v>16</v>
      </c>
      <c r="B72" s="3" t="s">
        <v>12</v>
      </c>
      <c r="C72" s="3" t="s">
        <v>4</v>
      </c>
      <c r="D72" s="3" t="s">
        <v>91</v>
      </c>
      <c r="E72" s="15">
        <v>1.3428</v>
      </c>
      <c r="F72" s="15">
        <v>0</v>
      </c>
      <c r="G72" s="15">
        <v>0</v>
      </c>
      <c r="H72" s="8">
        <f>ROWS($A$2:A72)</f>
        <v>71</v>
      </c>
      <c r="I72" s="8" t="str">
        <f t="shared" si="2"/>
        <v/>
      </c>
      <c r="J72" s="8" t="str">
        <f t="shared" si="3"/>
        <v/>
      </c>
    </row>
    <row r="73" spans="1:10" ht="23" x14ac:dyDescent="0.75">
      <c r="A73" s="3" t="s">
        <v>16</v>
      </c>
      <c r="B73" s="3" t="s">
        <v>13</v>
      </c>
      <c r="C73" s="3" t="s">
        <v>4</v>
      </c>
      <c r="D73" s="3" t="s">
        <v>92</v>
      </c>
      <c r="E73" s="15">
        <v>1.3333999999999999</v>
      </c>
      <c r="F73" s="15">
        <v>0</v>
      </c>
      <c r="G73" s="15">
        <v>0</v>
      </c>
      <c r="H73" s="8">
        <f>ROWS($A$2:A73)</f>
        <v>72</v>
      </c>
      <c r="I73" s="8" t="str">
        <f t="shared" si="2"/>
        <v/>
      </c>
      <c r="J73" s="8" t="str">
        <f t="shared" si="3"/>
        <v/>
      </c>
    </row>
    <row r="74" spans="1:10" ht="23" x14ac:dyDescent="0.75">
      <c r="A74" s="3" t="s">
        <v>16</v>
      </c>
      <c r="B74" s="3" t="s">
        <v>14</v>
      </c>
      <c r="C74" s="3" t="s">
        <v>4</v>
      </c>
      <c r="D74" s="3" t="s">
        <v>93</v>
      </c>
      <c r="E74" s="15">
        <v>5.4</v>
      </c>
      <c r="F74" s="15">
        <v>0</v>
      </c>
      <c r="G74" s="15">
        <v>0</v>
      </c>
      <c r="H74" s="8">
        <f>ROWS($A$2:A74)</f>
        <v>73</v>
      </c>
      <c r="I74" s="8" t="str">
        <f t="shared" si="2"/>
        <v/>
      </c>
      <c r="J74" s="8" t="str">
        <f t="shared" si="3"/>
        <v/>
      </c>
    </row>
  </sheetData>
  <phoneticPr fontId="4" type="noConversion"/>
  <dataValidations count="1">
    <dataValidation type="list" allowBlank="1" showInputMessage="1" showErrorMessage="1" sqref="N2" xr:uid="{CBA81CEF-D72D-4DEC-97A2-E8DFE780C243}">
      <formula1>$L$2:$L$15</formula1>
    </dataValidation>
  </dataValidations>
  <pageMargins left="0.7" right="0.7" top="0.75" bottom="0.75" header="0.3" footer="0.3"/>
  <ignoredErrors>
    <ignoredError sqref="A2:C74 D2:D74 L2:L1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385A-B11E-47BE-8A92-5326FB8228B5}">
  <dimension ref="A1:AE74"/>
  <sheetViews>
    <sheetView rightToLeft="1" tabSelected="1" topLeftCell="E1" zoomScale="96" zoomScaleNormal="96" workbookViewId="0">
      <selection activeCell="G21" sqref="G21"/>
    </sheetView>
  </sheetViews>
  <sheetFormatPr defaultColWidth="9.1796875" defaultRowHeight="14.5" x14ac:dyDescent="0.35"/>
  <cols>
    <col min="1" max="1" width="7.26953125" style="9" customWidth="1"/>
    <col min="2" max="4" width="14.26953125" style="9" customWidth="1"/>
    <col min="5" max="9" width="9.1796875" style="9"/>
    <col min="10" max="13" width="14.26953125" style="9" customWidth="1"/>
    <col min="14" max="16384" width="9.1796875" style="9"/>
  </cols>
  <sheetData>
    <row r="1" spans="1:31" s="2" customFormat="1" ht="46" x14ac:dyDescent="0.35">
      <c r="A1" s="1" t="s">
        <v>0</v>
      </c>
      <c r="B1" s="1" t="s">
        <v>18</v>
      </c>
      <c r="C1" s="1" t="s">
        <v>17</v>
      </c>
      <c r="D1" s="1" t="s">
        <v>19</v>
      </c>
      <c r="E1" s="25"/>
      <c r="F1" s="5"/>
      <c r="G1" s="25"/>
      <c r="H1" s="5"/>
      <c r="I1" s="25"/>
      <c r="J1" s="5"/>
      <c r="K1" s="5"/>
      <c r="L1" s="5"/>
      <c r="M1" s="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s="4" customFormat="1" ht="23" x14ac:dyDescent="0.35">
      <c r="A2" s="30" t="s">
        <v>3</v>
      </c>
      <c r="B2" s="31">
        <v>37.982799999999997</v>
      </c>
      <c r="C2" s="31">
        <v>4.6051000000000002</v>
      </c>
      <c r="D2" s="31">
        <v>6.5491000000000001</v>
      </c>
      <c r="E2" s="9"/>
      <c r="F2" s="26"/>
      <c r="G2" s="9"/>
      <c r="H2" s="26"/>
      <c r="I2" s="9"/>
      <c r="J2" s="27"/>
      <c r="K2" s="28"/>
      <c r="L2" s="28"/>
      <c r="M2" s="2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s="4" customFormat="1" ht="23" x14ac:dyDescent="0.35">
      <c r="A3" s="30" t="s">
        <v>4</v>
      </c>
      <c r="B3" s="31">
        <v>79.287400000000005</v>
      </c>
      <c r="C3" s="31">
        <v>45.301200000000001</v>
      </c>
      <c r="D3" s="31">
        <v>40.392499999999998</v>
      </c>
      <c r="E3" s="9"/>
      <c r="F3" s="26"/>
      <c r="G3" s="9"/>
      <c r="H3" s="9"/>
      <c r="I3" s="9"/>
      <c r="J3" s="27"/>
      <c r="K3" s="28"/>
      <c r="L3" s="28"/>
      <c r="M3" s="2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4" customFormat="1" ht="23" x14ac:dyDescent="0.35">
      <c r="A4" s="30" t="s">
        <v>5</v>
      </c>
      <c r="B4" s="31">
        <v>70.832400000000007</v>
      </c>
      <c r="C4" s="31">
        <v>32.754100000000001</v>
      </c>
      <c r="D4" s="31">
        <v>41.245024000000001</v>
      </c>
      <c r="E4" s="9"/>
      <c r="F4" s="26"/>
      <c r="G4" s="9"/>
      <c r="H4" s="9"/>
      <c r="I4" s="9"/>
      <c r="J4" s="27"/>
      <c r="K4" s="28"/>
      <c r="L4" s="28"/>
      <c r="M4" s="2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s="4" customFormat="1" ht="23" x14ac:dyDescent="0.35">
      <c r="A5" s="30" t="s">
        <v>6</v>
      </c>
      <c r="B5" s="31">
        <v>40.041800000000002</v>
      </c>
      <c r="C5" s="31">
        <v>11.863200000000001</v>
      </c>
      <c r="D5" s="31">
        <v>21.1265</v>
      </c>
      <c r="E5" s="9"/>
      <c r="F5" s="26"/>
      <c r="G5" s="9"/>
      <c r="H5" s="9"/>
      <c r="I5" s="9"/>
      <c r="J5" s="27"/>
      <c r="K5" s="28"/>
      <c r="L5" s="28"/>
      <c r="M5" s="2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s="4" customFormat="1" ht="23" x14ac:dyDescent="0.35">
      <c r="A6" s="30" t="s">
        <v>7</v>
      </c>
      <c r="B6" s="31">
        <v>36.635599999999997</v>
      </c>
      <c r="C6" s="31">
        <v>8.0442</v>
      </c>
      <c r="D6" s="31">
        <v>22.527249999999999</v>
      </c>
      <c r="E6" s="9"/>
      <c r="F6" s="26"/>
      <c r="G6" s="9"/>
      <c r="H6" s="9"/>
      <c r="I6" s="9"/>
      <c r="J6" s="27"/>
      <c r="K6" s="28"/>
      <c r="L6" s="28"/>
      <c r="M6" s="2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s="4" customFormat="1" ht="23" x14ac:dyDescent="0.35">
      <c r="A7" s="30" t="s">
        <v>8</v>
      </c>
      <c r="B7" s="31">
        <v>59.612200000000001</v>
      </c>
      <c r="C7" s="31">
        <v>19.350200000000001</v>
      </c>
      <c r="D7" s="31">
        <v>27.0749</v>
      </c>
      <c r="E7" s="9"/>
      <c r="F7" s="26"/>
      <c r="G7" s="9"/>
      <c r="H7" s="9"/>
      <c r="I7" s="9"/>
      <c r="J7" s="27"/>
      <c r="K7" s="28"/>
      <c r="L7" s="28"/>
      <c r="M7" s="2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s="4" customFormat="1" ht="23" x14ac:dyDescent="0.35">
      <c r="A8" s="30" t="s">
        <v>9</v>
      </c>
      <c r="B8" s="31">
        <v>71.373500000000007</v>
      </c>
      <c r="C8" s="31">
        <v>381.32459999999998</v>
      </c>
      <c r="D8" s="31">
        <v>43.98368</v>
      </c>
      <c r="E8" s="9"/>
      <c r="F8" s="26"/>
      <c r="G8" s="9"/>
      <c r="H8" s="9"/>
      <c r="I8" s="9"/>
      <c r="J8" s="27"/>
      <c r="K8" s="28"/>
      <c r="L8" s="28"/>
      <c r="M8" s="2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s="4" customFormat="1" ht="23" x14ac:dyDescent="0.35">
      <c r="A9" s="30" t="s">
        <v>10</v>
      </c>
      <c r="B9" s="31">
        <v>41.583399999999997</v>
      </c>
      <c r="C9" s="31">
        <v>69.689400000000006</v>
      </c>
      <c r="D9" s="31">
        <v>38.124749999999999</v>
      </c>
      <c r="E9" s="9"/>
      <c r="F9" s="26"/>
      <c r="G9" s="9"/>
      <c r="H9" s="9"/>
      <c r="I9" s="9"/>
      <c r="J9" s="27"/>
      <c r="K9" s="28"/>
      <c r="L9" s="28"/>
      <c r="M9" s="2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s="4" customFormat="1" ht="23" x14ac:dyDescent="0.35">
      <c r="A10" s="30" t="s">
        <v>11</v>
      </c>
      <c r="B10" s="31">
        <v>104.7409</v>
      </c>
      <c r="C10" s="31">
        <v>281.61020000000002</v>
      </c>
      <c r="D10" s="31">
        <v>67.255700000000004</v>
      </c>
      <c r="E10" s="9"/>
      <c r="F10" s="26"/>
      <c r="G10" s="9"/>
      <c r="H10" s="9"/>
      <c r="I10" s="9"/>
      <c r="J10" s="27"/>
      <c r="K10" s="28"/>
      <c r="L10" s="28"/>
      <c r="M10" s="2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s="4" customFormat="1" ht="23" x14ac:dyDescent="0.35">
      <c r="A11" s="30" t="s">
        <v>12</v>
      </c>
      <c r="B11" s="31">
        <v>85.892600000000002</v>
      </c>
      <c r="C11" s="31">
        <v>66.831400000000002</v>
      </c>
      <c r="D11" s="31">
        <v>42.487949999999998</v>
      </c>
      <c r="E11" s="9"/>
      <c r="F11" s="26"/>
      <c r="G11" s="9"/>
      <c r="H11" s="9"/>
      <c r="I11" s="9"/>
      <c r="J11" s="27"/>
      <c r="K11" s="28"/>
      <c r="L11" s="28"/>
      <c r="M11" s="2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s="4" customFormat="1" ht="23" x14ac:dyDescent="0.35">
      <c r="A12" s="30" t="s">
        <v>13</v>
      </c>
      <c r="B12" s="31">
        <v>87.9983</v>
      </c>
      <c r="C12" s="31">
        <v>18.380800000000001</v>
      </c>
      <c r="D12" s="31">
        <v>39.689599999999999</v>
      </c>
      <c r="E12" s="9"/>
      <c r="F12" s="26"/>
      <c r="G12" s="9"/>
      <c r="H12" s="9"/>
      <c r="I12" s="9"/>
      <c r="J12" s="27"/>
      <c r="K12" s="28"/>
      <c r="L12" s="28"/>
      <c r="M12" s="2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s="4" customFormat="1" ht="23" x14ac:dyDescent="0.35">
      <c r="A13" s="30" t="s">
        <v>14</v>
      </c>
      <c r="B13" s="31">
        <v>30.6539</v>
      </c>
      <c r="C13" s="31">
        <v>54.385399999999997</v>
      </c>
      <c r="D13" s="31">
        <v>11.22465</v>
      </c>
      <c r="E13" s="9"/>
      <c r="F13" s="26"/>
      <c r="G13" s="9"/>
      <c r="H13" s="9"/>
      <c r="I13" s="9"/>
      <c r="J13" s="27"/>
      <c r="K13" s="28"/>
      <c r="L13" s="28"/>
      <c r="M13" s="2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s="4" customFormat="1" ht="23" x14ac:dyDescent="0.35">
      <c r="A14" s="30" t="s">
        <v>15</v>
      </c>
      <c r="B14" s="31">
        <v>7.0731999999999999</v>
      </c>
      <c r="C14" s="31">
        <v>0.15049999999999999</v>
      </c>
      <c r="D14" s="31">
        <v>1.9483700000000002</v>
      </c>
      <c r="E14" s="9"/>
      <c r="F14" s="26"/>
      <c r="G14" s="9"/>
      <c r="H14" s="9"/>
      <c r="I14" s="9"/>
      <c r="J14" s="27"/>
      <c r="K14" s="28"/>
      <c r="L14" s="28"/>
      <c r="M14" s="2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s="4" customFormat="1" ht="23" x14ac:dyDescent="0.35">
      <c r="A15" s="30" t="s">
        <v>16</v>
      </c>
      <c r="B15" s="31">
        <v>19.841699999999999</v>
      </c>
      <c r="C15" s="31">
        <v>13.8223</v>
      </c>
      <c r="D15" s="31">
        <v>7.0189000000000004</v>
      </c>
      <c r="E15" s="9"/>
      <c r="F15" s="5"/>
      <c r="G15" s="9"/>
      <c r="H15" s="9"/>
      <c r="I15" s="9"/>
      <c r="J15" s="27"/>
      <c r="K15" s="28"/>
      <c r="L15" s="28"/>
      <c r="M15" s="2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ht="23" x14ac:dyDescent="0.75">
      <c r="A16" s="26"/>
      <c r="B16" s="29"/>
      <c r="C16" s="29"/>
      <c r="D16" s="29"/>
      <c r="J16" s="27"/>
      <c r="K16" s="28"/>
      <c r="L16" s="28"/>
      <c r="M16" s="28"/>
    </row>
    <row r="17" spans="1:4" ht="23" x14ac:dyDescent="0.75">
      <c r="A17" s="26"/>
      <c r="B17" s="29"/>
      <c r="C17" s="29"/>
      <c r="D17" s="29"/>
    </row>
    <row r="18" spans="1:4" ht="23" x14ac:dyDescent="0.75">
      <c r="A18" s="26"/>
      <c r="B18" s="29"/>
      <c r="C18" s="29"/>
      <c r="D18" s="29"/>
    </row>
    <row r="19" spans="1:4" ht="23" x14ac:dyDescent="0.75">
      <c r="A19" s="26"/>
      <c r="B19" s="29"/>
      <c r="C19" s="29"/>
      <c r="D19" s="29"/>
    </row>
    <row r="20" spans="1:4" ht="23" x14ac:dyDescent="0.75">
      <c r="A20" s="26"/>
      <c r="B20" s="29"/>
      <c r="C20" s="29"/>
      <c r="D20" s="29"/>
    </row>
    <row r="21" spans="1:4" ht="23" x14ac:dyDescent="0.75">
      <c r="A21" s="26"/>
      <c r="B21" s="29"/>
      <c r="C21" s="29"/>
      <c r="D21" s="29"/>
    </row>
    <row r="22" spans="1:4" ht="23" x14ac:dyDescent="0.75">
      <c r="A22" s="26"/>
      <c r="B22" s="29"/>
      <c r="C22" s="29"/>
      <c r="D22" s="29"/>
    </row>
    <row r="23" spans="1:4" ht="23" x14ac:dyDescent="0.75">
      <c r="A23" s="26"/>
      <c r="B23" s="29"/>
      <c r="C23" s="29"/>
      <c r="D23" s="29"/>
    </row>
    <row r="24" spans="1:4" ht="23" x14ac:dyDescent="0.75">
      <c r="A24" s="26"/>
      <c r="B24" s="29"/>
      <c r="C24" s="29"/>
      <c r="D24" s="29"/>
    </row>
    <row r="25" spans="1:4" ht="23" x14ac:dyDescent="0.75">
      <c r="A25" s="26"/>
      <c r="B25" s="29"/>
      <c r="C25" s="29"/>
      <c r="D25" s="29"/>
    </row>
    <row r="26" spans="1:4" ht="23" x14ac:dyDescent="0.75">
      <c r="A26" s="26"/>
      <c r="B26" s="29"/>
      <c r="C26" s="29"/>
      <c r="D26" s="29"/>
    </row>
    <row r="27" spans="1:4" ht="23" x14ac:dyDescent="0.75">
      <c r="A27" s="26"/>
      <c r="B27" s="29"/>
      <c r="C27" s="29"/>
      <c r="D27" s="29"/>
    </row>
    <row r="28" spans="1:4" ht="23" x14ac:dyDescent="0.75">
      <c r="A28" s="26"/>
      <c r="B28" s="29"/>
      <c r="C28" s="29"/>
      <c r="D28" s="29"/>
    </row>
    <row r="29" spans="1:4" ht="23" x14ac:dyDescent="0.75">
      <c r="A29" s="26"/>
      <c r="B29" s="29"/>
      <c r="C29" s="29"/>
      <c r="D29" s="29"/>
    </row>
    <row r="30" spans="1:4" ht="23" x14ac:dyDescent="0.75">
      <c r="A30" s="26"/>
      <c r="B30" s="29"/>
      <c r="C30" s="29"/>
      <c r="D30" s="29"/>
    </row>
    <row r="31" spans="1:4" ht="23" x14ac:dyDescent="0.75">
      <c r="A31" s="26"/>
      <c r="B31" s="29"/>
      <c r="C31" s="29"/>
      <c r="D31" s="29"/>
    </row>
    <row r="32" spans="1:4" ht="23" x14ac:dyDescent="0.75">
      <c r="A32" s="26"/>
      <c r="B32" s="29"/>
      <c r="C32" s="29"/>
      <c r="D32" s="29"/>
    </row>
    <row r="33" spans="1:4" ht="23" x14ac:dyDescent="0.75">
      <c r="A33" s="26"/>
      <c r="B33" s="29"/>
      <c r="C33" s="29"/>
      <c r="D33" s="29"/>
    </row>
    <row r="34" spans="1:4" ht="23" x14ac:dyDescent="0.75">
      <c r="A34" s="26"/>
      <c r="B34" s="29"/>
      <c r="C34" s="29"/>
      <c r="D34" s="29"/>
    </row>
    <row r="35" spans="1:4" ht="23" x14ac:dyDescent="0.75">
      <c r="A35" s="26"/>
      <c r="B35" s="29"/>
      <c r="C35" s="29"/>
      <c r="D35" s="29"/>
    </row>
    <row r="36" spans="1:4" ht="23" x14ac:dyDescent="0.75">
      <c r="A36" s="26"/>
      <c r="B36" s="29"/>
      <c r="C36" s="29"/>
      <c r="D36" s="29"/>
    </row>
    <row r="37" spans="1:4" ht="23" x14ac:dyDescent="0.75">
      <c r="A37" s="26"/>
      <c r="B37" s="29"/>
      <c r="C37" s="29"/>
      <c r="D37" s="29"/>
    </row>
    <row r="38" spans="1:4" ht="23" x14ac:dyDescent="0.75">
      <c r="A38" s="26"/>
      <c r="B38" s="29"/>
      <c r="C38" s="29"/>
      <c r="D38" s="29"/>
    </row>
    <row r="39" spans="1:4" ht="23" x14ac:dyDescent="0.75">
      <c r="A39" s="26"/>
      <c r="B39" s="29"/>
      <c r="C39" s="29"/>
      <c r="D39" s="29"/>
    </row>
    <row r="40" spans="1:4" ht="23" x14ac:dyDescent="0.75">
      <c r="A40" s="26"/>
      <c r="B40" s="29"/>
      <c r="C40" s="29"/>
      <c r="D40" s="29"/>
    </row>
    <row r="41" spans="1:4" ht="23" x14ac:dyDescent="0.75">
      <c r="A41" s="26"/>
      <c r="B41" s="29"/>
      <c r="C41" s="29"/>
      <c r="D41" s="29"/>
    </row>
    <row r="42" spans="1:4" ht="23" x14ac:dyDescent="0.75">
      <c r="A42" s="26"/>
      <c r="B42" s="29"/>
      <c r="C42" s="29"/>
      <c r="D42" s="29"/>
    </row>
    <row r="43" spans="1:4" ht="23" x14ac:dyDescent="0.75">
      <c r="A43" s="26"/>
      <c r="B43" s="29"/>
      <c r="C43" s="29"/>
      <c r="D43" s="29"/>
    </row>
    <row r="44" spans="1:4" ht="23" x14ac:dyDescent="0.75">
      <c r="A44" s="26"/>
      <c r="B44" s="29"/>
      <c r="C44" s="29"/>
      <c r="D44" s="29"/>
    </row>
    <row r="45" spans="1:4" ht="23" x14ac:dyDescent="0.75">
      <c r="A45" s="26"/>
      <c r="B45" s="29"/>
      <c r="C45" s="29"/>
      <c r="D45" s="29"/>
    </row>
    <row r="46" spans="1:4" ht="23" x14ac:dyDescent="0.75">
      <c r="A46" s="26"/>
      <c r="B46" s="29"/>
      <c r="C46" s="29"/>
      <c r="D46" s="29"/>
    </row>
    <row r="47" spans="1:4" ht="23" x14ac:dyDescent="0.75">
      <c r="A47" s="26"/>
      <c r="B47" s="29"/>
      <c r="C47" s="29"/>
      <c r="D47" s="29"/>
    </row>
    <row r="48" spans="1:4" ht="23" x14ac:dyDescent="0.75">
      <c r="A48" s="26"/>
      <c r="B48" s="29"/>
      <c r="C48" s="29"/>
      <c r="D48" s="29"/>
    </row>
    <row r="49" spans="1:4" ht="23" x14ac:dyDescent="0.75">
      <c r="A49" s="26"/>
      <c r="B49" s="29"/>
      <c r="C49" s="29"/>
      <c r="D49" s="29"/>
    </row>
    <row r="50" spans="1:4" ht="23" x14ac:dyDescent="0.75">
      <c r="A50" s="26"/>
      <c r="B50" s="29"/>
      <c r="C50" s="29"/>
      <c r="D50" s="29"/>
    </row>
    <row r="51" spans="1:4" ht="23" x14ac:dyDescent="0.75">
      <c r="A51" s="26"/>
      <c r="B51" s="29"/>
      <c r="C51" s="29"/>
      <c r="D51" s="29"/>
    </row>
    <row r="52" spans="1:4" ht="23" x14ac:dyDescent="0.75">
      <c r="A52" s="26"/>
      <c r="B52" s="29"/>
      <c r="C52" s="29"/>
      <c r="D52" s="29"/>
    </row>
    <row r="53" spans="1:4" ht="23" x14ac:dyDescent="0.75">
      <c r="A53" s="26"/>
      <c r="B53" s="29"/>
      <c r="C53" s="29"/>
      <c r="D53" s="29"/>
    </row>
    <row r="54" spans="1:4" ht="23" x14ac:dyDescent="0.75">
      <c r="A54" s="26"/>
      <c r="B54" s="29"/>
      <c r="C54" s="29"/>
      <c r="D54" s="29"/>
    </row>
    <row r="55" spans="1:4" ht="23" x14ac:dyDescent="0.75">
      <c r="A55" s="26"/>
      <c r="B55" s="29"/>
      <c r="C55" s="29"/>
      <c r="D55" s="29"/>
    </row>
    <row r="56" spans="1:4" ht="23" x14ac:dyDescent="0.75">
      <c r="A56" s="26"/>
      <c r="B56" s="29"/>
      <c r="C56" s="29"/>
      <c r="D56" s="29"/>
    </row>
    <row r="57" spans="1:4" ht="23" x14ac:dyDescent="0.75">
      <c r="A57" s="26"/>
      <c r="B57" s="29"/>
      <c r="C57" s="29"/>
      <c r="D57" s="29"/>
    </row>
    <row r="58" spans="1:4" ht="23" x14ac:dyDescent="0.75">
      <c r="A58" s="26"/>
      <c r="B58" s="29"/>
      <c r="C58" s="29"/>
      <c r="D58" s="29"/>
    </row>
    <row r="59" spans="1:4" ht="23" x14ac:dyDescent="0.75">
      <c r="A59" s="26"/>
      <c r="B59" s="29"/>
      <c r="C59" s="29"/>
      <c r="D59" s="29"/>
    </row>
    <row r="60" spans="1:4" ht="23" x14ac:dyDescent="0.75">
      <c r="A60" s="26"/>
      <c r="B60" s="29"/>
      <c r="C60" s="29"/>
      <c r="D60" s="29"/>
    </row>
    <row r="61" spans="1:4" ht="23" x14ac:dyDescent="0.75">
      <c r="A61" s="26"/>
      <c r="B61" s="29"/>
      <c r="C61" s="29"/>
      <c r="D61" s="29"/>
    </row>
    <row r="62" spans="1:4" ht="23" x14ac:dyDescent="0.75">
      <c r="A62" s="26"/>
      <c r="B62" s="29"/>
      <c r="C62" s="29"/>
      <c r="D62" s="29"/>
    </row>
    <row r="63" spans="1:4" ht="23" x14ac:dyDescent="0.75">
      <c r="A63" s="26"/>
      <c r="B63" s="29"/>
      <c r="C63" s="29"/>
      <c r="D63" s="29"/>
    </row>
    <row r="64" spans="1:4" ht="23" x14ac:dyDescent="0.75">
      <c r="A64" s="26"/>
      <c r="B64" s="29"/>
      <c r="C64" s="29"/>
      <c r="D64" s="29"/>
    </row>
    <row r="65" spans="1:4" ht="23" x14ac:dyDescent="0.75">
      <c r="A65" s="26"/>
      <c r="B65" s="29"/>
      <c r="C65" s="29"/>
      <c r="D65" s="29"/>
    </row>
    <row r="66" spans="1:4" ht="23" x14ac:dyDescent="0.75">
      <c r="A66" s="26"/>
      <c r="B66" s="29"/>
      <c r="C66" s="29"/>
      <c r="D66" s="29"/>
    </row>
    <row r="67" spans="1:4" ht="23" x14ac:dyDescent="0.75">
      <c r="A67" s="26"/>
      <c r="B67" s="29"/>
      <c r="C67" s="29"/>
      <c r="D67" s="29"/>
    </row>
    <row r="68" spans="1:4" ht="23" x14ac:dyDescent="0.75">
      <c r="A68" s="26"/>
      <c r="B68" s="29"/>
      <c r="C68" s="29"/>
      <c r="D68" s="29"/>
    </row>
    <row r="69" spans="1:4" ht="23" x14ac:dyDescent="0.75">
      <c r="A69" s="26"/>
      <c r="B69" s="29"/>
      <c r="C69" s="29"/>
      <c r="D69" s="29"/>
    </row>
    <row r="70" spans="1:4" ht="23" x14ac:dyDescent="0.75">
      <c r="A70" s="26"/>
      <c r="B70" s="29"/>
      <c r="C70" s="29"/>
      <c r="D70" s="29"/>
    </row>
    <row r="71" spans="1:4" ht="23" x14ac:dyDescent="0.75">
      <c r="A71" s="26"/>
      <c r="B71" s="29"/>
      <c r="C71" s="29"/>
      <c r="D71" s="29"/>
    </row>
    <row r="72" spans="1:4" ht="23" x14ac:dyDescent="0.75">
      <c r="A72" s="26"/>
      <c r="B72" s="29"/>
      <c r="C72" s="29"/>
      <c r="D72" s="29"/>
    </row>
    <row r="73" spans="1:4" ht="23" x14ac:dyDescent="0.75">
      <c r="A73" s="26"/>
      <c r="B73" s="29"/>
      <c r="C73" s="29"/>
      <c r="D73" s="29"/>
    </row>
    <row r="74" spans="1:4" ht="23" x14ac:dyDescent="0.75">
      <c r="A74" s="26"/>
      <c r="B74" s="29"/>
      <c r="C74" s="29"/>
      <c r="D74" s="29"/>
    </row>
  </sheetData>
  <dataValidations count="1">
    <dataValidation type="list" allowBlank="1" showInputMessage="1" showErrorMessage="1" sqref="H2" xr:uid="{3A104490-C8BD-4486-A63D-565C923E5C3F}">
      <formula1>$F$2:$F$15</formula1>
    </dataValidation>
  </dataValidations>
  <pageMargins left="0.7" right="0.7" top="0.75" bottom="0.75" header="0.3" footer="0.3"/>
  <ignoredErrors>
    <ignoredError sqref="A2:A15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C2BE-8BD9-4F5E-AC71-E046B5720A32}">
  <dimension ref="A1:T35"/>
  <sheetViews>
    <sheetView rightToLeft="1" workbookViewId="0">
      <selection activeCell="B2" sqref="B2:B15"/>
    </sheetView>
  </sheetViews>
  <sheetFormatPr defaultColWidth="9.1796875" defaultRowHeight="14.5" x14ac:dyDescent="0.35"/>
  <cols>
    <col min="1" max="9" width="14.26953125" style="4" customWidth="1"/>
    <col min="10" max="14" width="9.1796875" style="4"/>
    <col min="15" max="20" width="14.26953125" style="4" customWidth="1"/>
    <col min="21" max="16384" width="9.1796875" style="4"/>
  </cols>
  <sheetData>
    <row r="1" spans="1:20" s="2" customFormat="1" ht="46.5" thickBot="1" x14ac:dyDescent="0.4">
      <c r="A1" s="1" t="s">
        <v>0</v>
      </c>
      <c r="B1" s="1" t="s">
        <v>100</v>
      </c>
      <c r="C1" s="1" t="s">
        <v>101</v>
      </c>
      <c r="D1" s="1" t="s">
        <v>102</v>
      </c>
      <c r="E1" s="1" t="s">
        <v>99</v>
      </c>
      <c r="F1" s="1" t="s">
        <v>17</v>
      </c>
      <c r="G1" s="1" t="s">
        <v>94</v>
      </c>
      <c r="H1" s="1" t="s">
        <v>95</v>
      </c>
      <c r="I1" s="1" t="s">
        <v>96</v>
      </c>
      <c r="K1" s="1" t="s">
        <v>97</v>
      </c>
      <c r="M1" s="7" t="s">
        <v>98</v>
      </c>
      <c r="O1" s="10" t="s">
        <v>0</v>
      </c>
      <c r="P1" s="33" t="s">
        <v>100</v>
      </c>
      <c r="Q1" s="33" t="s">
        <v>101</v>
      </c>
      <c r="R1" s="11" t="s">
        <v>102</v>
      </c>
      <c r="S1" s="11" t="s">
        <v>99</v>
      </c>
      <c r="T1" s="12" t="s">
        <v>17</v>
      </c>
    </row>
    <row r="2" spans="1:20" ht="23.5" thickBot="1" x14ac:dyDescent="0.8">
      <c r="A2" s="3" t="s">
        <v>3</v>
      </c>
      <c r="B2" s="15">
        <v>19.59</v>
      </c>
      <c r="C2" s="15">
        <v>3.3271999999999999</v>
      </c>
      <c r="D2" s="15">
        <v>1.0769</v>
      </c>
      <c r="E2" s="15">
        <v>13.9887</v>
      </c>
      <c r="F2" s="15">
        <v>4.6051000000000002</v>
      </c>
      <c r="G2" s="8">
        <f>ROWS($A$2:A2)</f>
        <v>1</v>
      </c>
      <c r="H2" s="8" t="str">
        <f t="shared" ref="H2:H15" si="0">IF(A2=$M$2,G2,"")</f>
        <v/>
      </c>
      <c r="I2" s="8">
        <f>IFERROR(SMALL($H$2:$H$15,G2),"")</f>
        <v>14</v>
      </c>
      <c r="K2" s="3" t="s">
        <v>3</v>
      </c>
      <c r="M2" s="6" t="s">
        <v>16</v>
      </c>
      <c r="O2" s="35" t="str">
        <f>IFERROR(INDEX($A$2:$F$15,$I2,COLUMNS($O$1:O1))," ")</f>
        <v>16</v>
      </c>
      <c r="P2" s="36">
        <f>IFERROR(INDEX($A$2:$F$15,$I2,COLUMNS($O$1:P1))," ")</f>
        <v>11.5116</v>
      </c>
      <c r="Q2" s="36">
        <f>IFERROR(INDEX($A$2:$F$15,$I2,COLUMNS($O$1:Q1))," ")</f>
        <v>4.8398000000000003</v>
      </c>
      <c r="R2" s="37">
        <f>IFERROR(INDEX($A$2:$F$15,$I2,COLUMNS($O$1:R1))," ")</f>
        <v>1.5863</v>
      </c>
      <c r="S2" s="37">
        <f>IFERROR(INDEX($A$2:$F$15,$I2,COLUMNS($O$1:S1))," ")</f>
        <v>1.9039999999999999</v>
      </c>
      <c r="T2" s="38">
        <f>IFERROR(INDEX($A$2:$F$15,$I2,COLUMNS($O$1:T1))," ")</f>
        <v>13.8223</v>
      </c>
    </row>
    <row r="3" spans="1:20" ht="23" x14ac:dyDescent="0.75">
      <c r="A3" s="3" t="s">
        <v>4</v>
      </c>
      <c r="B3" s="15">
        <v>50.137</v>
      </c>
      <c r="C3" s="15">
        <v>8.9524000000000008</v>
      </c>
      <c r="D3" s="15">
        <v>2.1594000000000002</v>
      </c>
      <c r="E3" s="15">
        <v>18.038599999999999</v>
      </c>
      <c r="F3" s="15">
        <v>45.301200000000001</v>
      </c>
      <c r="G3" s="8">
        <f>ROWS($A$2:A3)</f>
        <v>2</v>
      </c>
      <c r="H3" s="8" t="str">
        <f t="shared" si="0"/>
        <v/>
      </c>
      <c r="I3" s="8" t="str">
        <f t="shared" ref="I3:I15" si="1">IFERROR(SMALL($H$2:$H$15,G3),"")</f>
        <v/>
      </c>
      <c r="K3" s="3" t="s">
        <v>4</v>
      </c>
      <c r="O3" s="34"/>
      <c r="P3" s="34"/>
      <c r="Q3" s="34"/>
      <c r="R3" s="28"/>
      <c r="S3" s="28"/>
      <c r="T3" s="28"/>
    </row>
    <row r="4" spans="1:20" ht="23" x14ac:dyDescent="0.75">
      <c r="A4" s="3" t="s">
        <v>5</v>
      </c>
      <c r="B4" s="15">
        <v>42.342199999999998</v>
      </c>
      <c r="C4" s="15">
        <v>12.8934</v>
      </c>
      <c r="D4" s="15">
        <v>0.51659999999999995</v>
      </c>
      <c r="E4" s="15">
        <v>15.0802</v>
      </c>
      <c r="F4" s="15">
        <v>32.754100000000001</v>
      </c>
      <c r="G4" s="8">
        <f>ROWS($A$2:A4)</f>
        <v>3</v>
      </c>
      <c r="H4" s="8" t="str">
        <f t="shared" si="0"/>
        <v/>
      </c>
      <c r="I4" s="8" t="str">
        <f t="shared" si="1"/>
        <v/>
      </c>
      <c r="K4" s="3" t="s">
        <v>5</v>
      </c>
      <c r="O4" s="34"/>
      <c r="P4" s="34"/>
      <c r="Q4" s="34"/>
      <c r="R4" s="28"/>
      <c r="S4" s="28"/>
      <c r="T4" s="28"/>
    </row>
    <row r="5" spans="1:20" ht="23" x14ac:dyDescent="0.75">
      <c r="A5" s="3" t="s">
        <v>6</v>
      </c>
      <c r="B5" s="15">
        <v>29.0029</v>
      </c>
      <c r="C5" s="15">
        <v>3.9514999999999998</v>
      </c>
      <c r="D5" s="15">
        <v>0.98799999999999999</v>
      </c>
      <c r="E5" s="15">
        <v>6.0994000000000002</v>
      </c>
      <c r="F5" s="15">
        <v>11.863200000000001</v>
      </c>
      <c r="G5" s="8">
        <f>ROWS($A$2:A5)</f>
        <v>4</v>
      </c>
      <c r="H5" s="8" t="str">
        <f t="shared" si="0"/>
        <v/>
      </c>
      <c r="I5" s="8" t="str">
        <f t="shared" si="1"/>
        <v/>
      </c>
      <c r="K5" s="3" t="s">
        <v>6</v>
      </c>
      <c r="O5" s="34"/>
      <c r="P5" s="34"/>
      <c r="Q5" s="34"/>
      <c r="R5" s="28"/>
      <c r="S5" s="28"/>
      <c r="T5" s="28"/>
    </row>
    <row r="6" spans="1:20" ht="23" x14ac:dyDescent="0.75">
      <c r="A6" s="3" t="s">
        <v>7</v>
      </c>
      <c r="B6" s="15">
        <v>24.157299999999999</v>
      </c>
      <c r="C6" s="15">
        <v>4.1101999999999999</v>
      </c>
      <c r="D6" s="15">
        <v>0.74439999999999995</v>
      </c>
      <c r="E6" s="15">
        <v>7.6237000000000004</v>
      </c>
      <c r="F6" s="15">
        <v>8.0442</v>
      </c>
      <c r="G6" s="8">
        <f>ROWS($A$2:A6)</f>
        <v>5</v>
      </c>
      <c r="H6" s="8" t="str">
        <f t="shared" si="0"/>
        <v/>
      </c>
      <c r="I6" s="8" t="str">
        <f t="shared" si="1"/>
        <v/>
      </c>
      <c r="K6" s="3" t="s">
        <v>7</v>
      </c>
      <c r="O6" s="34"/>
      <c r="P6" s="34"/>
      <c r="Q6" s="34"/>
      <c r="R6" s="28"/>
      <c r="S6" s="28"/>
      <c r="T6" s="28"/>
    </row>
    <row r="7" spans="1:20" ht="23" x14ac:dyDescent="0.75">
      <c r="A7" s="3" t="s">
        <v>8</v>
      </c>
      <c r="B7" s="15">
        <v>37.769799999999996</v>
      </c>
      <c r="C7" s="15">
        <v>9.1297999999999995</v>
      </c>
      <c r="D7" s="15">
        <v>1.9332</v>
      </c>
      <c r="E7" s="15">
        <v>10.779400000000001</v>
      </c>
      <c r="F7" s="15">
        <v>19.350200000000001</v>
      </c>
      <c r="G7" s="8">
        <f>ROWS($A$2:A7)</f>
        <v>6</v>
      </c>
      <c r="H7" s="8" t="str">
        <f t="shared" si="0"/>
        <v/>
      </c>
      <c r="I7" s="8" t="str">
        <f t="shared" si="1"/>
        <v/>
      </c>
      <c r="K7" s="3" t="s">
        <v>8</v>
      </c>
      <c r="O7" s="34"/>
      <c r="P7" s="34"/>
      <c r="Q7" s="34"/>
      <c r="R7" s="28"/>
      <c r="S7" s="28"/>
      <c r="T7" s="28"/>
    </row>
    <row r="8" spans="1:20" ht="23" x14ac:dyDescent="0.75">
      <c r="A8" s="3" t="s">
        <v>9</v>
      </c>
      <c r="B8" s="15">
        <v>38.335099999999997</v>
      </c>
      <c r="C8" s="15">
        <v>10.3522</v>
      </c>
      <c r="D8" s="15">
        <v>3.2797999999999998</v>
      </c>
      <c r="E8" s="15">
        <v>19.406400000000001</v>
      </c>
      <c r="F8" s="15">
        <v>381.32459999999998</v>
      </c>
      <c r="G8" s="8">
        <f>ROWS($A$2:A8)</f>
        <v>7</v>
      </c>
      <c r="H8" s="8" t="str">
        <f t="shared" si="0"/>
        <v/>
      </c>
      <c r="I8" s="8" t="str">
        <f t="shared" si="1"/>
        <v/>
      </c>
      <c r="K8" s="3" t="s">
        <v>9</v>
      </c>
      <c r="O8" s="34"/>
      <c r="P8" s="34"/>
      <c r="Q8" s="34"/>
      <c r="R8" s="28"/>
      <c r="S8" s="28"/>
      <c r="T8" s="28"/>
    </row>
    <row r="9" spans="1:20" ht="23" x14ac:dyDescent="0.75">
      <c r="A9" s="3" t="s">
        <v>10</v>
      </c>
      <c r="B9" s="15">
        <v>22.5457</v>
      </c>
      <c r="C9" s="15">
        <v>4.6115000000000004</v>
      </c>
      <c r="D9" s="15">
        <v>0.95540000000000003</v>
      </c>
      <c r="E9" s="15">
        <v>13.470800000000001</v>
      </c>
      <c r="F9" s="15">
        <v>69.689400000000006</v>
      </c>
      <c r="G9" s="8">
        <f>ROWS($A$2:A9)</f>
        <v>8</v>
      </c>
      <c r="H9" s="8" t="str">
        <f t="shared" si="0"/>
        <v/>
      </c>
      <c r="I9" s="8" t="str">
        <f t="shared" si="1"/>
        <v/>
      </c>
      <c r="K9" s="3" t="s">
        <v>10</v>
      </c>
      <c r="O9" s="34"/>
      <c r="P9" s="34"/>
      <c r="Q9" s="34"/>
      <c r="R9" s="28"/>
      <c r="S9" s="28"/>
      <c r="T9" s="28"/>
    </row>
    <row r="10" spans="1:20" ht="23" x14ac:dyDescent="0.75">
      <c r="A10" s="3" t="s">
        <v>11</v>
      </c>
      <c r="B10" s="15">
        <v>60.7622</v>
      </c>
      <c r="C10" s="15">
        <v>23.595099999999999</v>
      </c>
      <c r="D10" s="15">
        <v>2.0735000000000001</v>
      </c>
      <c r="E10" s="15">
        <v>18.310099999999998</v>
      </c>
      <c r="F10" s="15">
        <v>281.61020000000002</v>
      </c>
      <c r="G10" s="8">
        <f>ROWS($A$2:A10)</f>
        <v>9</v>
      </c>
      <c r="H10" s="8" t="str">
        <f t="shared" si="0"/>
        <v/>
      </c>
      <c r="I10" s="8" t="str">
        <f t="shared" si="1"/>
        <v/>
      </c>
      <c r="K10" s="3" t="s">
        <v>11</v>
      </c>
      <c r="O10" s="34"/>
      <c r="P10" s="34"/>
      <c r="Q10" s="34"/>
      <c r="R10" s="28"/>
      <c r="S10" s="28"/>
      <c r="T10" s="28"/>
    </row>
    <row r="11" spans="1:20" ht="23" x14ac:dyDescent="0.75">
      <c r="A11" s="3" t="s">
        <v>12</v>
      </c>
      <c r="B11" s="15">
        <v>57.185200000000002</v>
      </c>
      <c r="C11" s="15">
        <v>13.1561</v>
      </c>
      <c r="D11" s="15">
        <v>1.7038</v>
      </c>
      <c r="E11" s="15">
        <v>13.8475</v>
      </c>
      <c r="F11" s="15">
        <v>66.831400000000002</v>
      </c>
      <c r="G11" s="8">
        <f>ROWS($A$2:A11)</f>
        <v>10</v>
      </c>
      <c r="H11" s="8" t="str">
        <f t="shared" si="0"/>
        <v/>
      </c>
      <c r="I11" s="8" t="str">
        <f t="shared" si="1"/>
        <v/>
      </c>
      <c r="K11" s="3" t="s">
        <v>12</v>
      </c>
      <c r="O11" s="34"/>
      <c r="P11" s="34"/>
      <c r="Q11" s="34"/>
      <c r="R11" s="28"/>
      <c r="S11" s="28"/>
      <c r="T11" s="28"/>
    </row>
    <row r="12" spans="1:20" ht="23" x14ac:dyDescent="0.75">
      <c r="A12" s="3" t="s">
        <v>13</v>
      </c>
      <c r="B12" s="15">
        <v>59.885199999999998</v>
      </c>
      <c r="C12" s="15">
        <v>12.9434</v>
      </c>
      <c r="D12" s="15">
        <v>3.1246</v>
      </c>
      <c r="E12" s="15">
        <v>12.0451</v>
      </c>
      <c r="F12" s="15">
        <v>18.380800000000001</v>
      </c>
      <c r="G12" s="8">
        <f>ROWS($A$2:A12)</f>
        <v>11</v>
      </c>
      <c r="H12" s="8" t="str">
        <f t="shared" si="0"/>
        <v/>
      </c>
      <c r="I12" s="8" t="str">
        <f t="shared" si="1"/>
        <v/>
      </c>
      <c r="K12" s="3" t="s">
        <v>13</v>
      </c>
      <c r="O12" s="34"/>
      <c r="P12" s="34"/>
      <c r="Q12" s="34"/>
      <c r="R12" s="28"/>
      <c r="S12" s="28"/>
      <c r="T12" s="28"/>
    </row>
    <row r="13" spans="1:20" ht="23" x14ac:dyDescent="0.75">
      <c r="A13" s="3" t="s">
        <v>14</v>
      </c>
      <c r="B13" s="15">
        <v>15.121499999999999</v>
      </c>
      <c r="C13" s="15">
        <v>5.891</v>
      </c>
      <c r="D13" s="15">
        <v>1.3476999999999999</v>
      </c>
      <c r="E13" s="15">
        <v>8.2936999999999994</v>
      </c>
      <c r="F13" s="15">
        <v>54.385399999999997</v>
      </c>
      <c r="G13" s="8">
        <f>ROWS($A$2:A13)</f>
        <v>12</v>
      </c>
      <c r="H13" s="8" t="str">
        <f t="shared" si="0"/>
        <v/>
      </c>
      <c r="I13" s="8" t="str">
        <f t="shared" si="1"/>
        <v/>
      </c>
      <c r="K13" s="3" t="s">
        <v>14</v>
      </c>
      <c r="O13" s="34"/>
      <c r="P13" s="34"/>
      <c r="Q13" s="34"/>
      <c r="R13" s="28"/>
      <c r="S13" s="28"/>
      <c r="T13" s="28"/>
    </row>
    <row r="14" spans="1:20" ht="23" x14ac:dyDescent="0.75">
      <c r="A14" s="3" t="s">
        <v>15</v>
      </c>
      <c r="B14" s="15">
        <v>3.0291000000000001</v>
      </c>
      <c r="C14" s="15">
        <v>1.1187</v>
      </c>
      <c r="D14" s="15">
        <v>0.31</v>
      </c>
      <c r="E14" s="15">
        <v>2.6154000000000002</v>
      </c>
      <c r="F14" s="15">
        <v>0.15049999999999999</v>
      </c>
      <c r="G14" s="8">
        <f>ROWS($A$2:A14)</f>
        <v>13</v>
      </c>
      <c r="H14" s="8" t="str">
        <f t="shared" si="0"/>
        <v/>
      </c>
      <c r="I14" s="8" t="str">
        <f t="shared" si="1"/>
        <v/>
      </c>
      <c r="K14" s="3" t="s">
        <v>15</v>
      </c>
      <c r="O14" s="34"/>
      <c r="P14" s="34"/>
      <c r="Q14" s="34"/>
      <c r="R14" s="28"/>
      <c r="S14" s="28"/>
      <c r="T14" s="28"/>
    </row>
    <row r="15" spans="1:20" ht="23" x14ac:dyDescent="0.75">
      <c r="A15" s="3" t="s">
        <v>16</v>
      </c>
      <c r="B15" s="15">
        <v>11.5116</v>
      </c>
      <c r="C15" s="15">
        <v>4.8398000000000003</v>
      </c>
      <c r="D15" s="15">
        <v>1.5863</v>
      </c>
      <c r="E15" s="15">
        <v>1.9039999999999999</v>
      </c>
      <c r="F15" s="15">
        <v>13.8223</v>
      </c>
      <c r="G15" s="8">
        <f>ROWS($A$2:A15)</f>
        <v>14</v>
      </c>
      <c r="H15" s="8">
        <f t="shared" si="0"/>
        <v>14</v>
      </c>
      <c r="I15" s="8" t="str">
        <f t="shared" si="1"/>
        <v/>
      </c>
      <c r="K15" s="1" t="s">
        <v>16</v>
      </c>
      <c r="O15" s="34"/>
      <c r="P15" s="34"/>
      <c r="Q15" s="34"/>
      <c r="R15" s="28"/>
      <c r="S15" s="28"/>
      <c r="T15" s="28"/>
    </row>
    <row r="17" spans="3:4" x14ac:dyDescent="0.35">
      <c r="C17" s="32"/>
      <c r="D17" s="32"/>
    </row>
    <row r="18" spans="3:4" x14ac:dyDescent="0.35">
      <c r="C18" s="32"/>
      <c r="D18" s="32"/>
    </row>
    <row r="19" spans="3:4" x14ac:dyDescent="0.35">
      <c r="C19" s="32"/>
      <c r="D19" s="32"/>
    </row>
    <row r="20" spans="3:4" x14ac:dyDescent="0.35">
      <c r="C20" s="32"/>
      <c r="D20" s="32"/>
    </row>
    <row r="21" spans="3:4" x14ac:dyDescent="0.35">
      <c r="C21" s="32"/>
      <c r="D21" s="32"/>
    </row>
    <row r="22" spans="3:4" x14ac:dyDescent="0.35">
      <c r="C22" s="32"/>
      <c r="D22" s="32"/>
    </row>
    <row r="23" spans="3:4" x14ac:dyDescent="0.35">
      <c r="C23" s="32"/>
      <c r="D23" s="32"/>
    </row>
    <row r="24" spans="3:4" x14ac:dyDescent="0.35">
      <c r="C24" s="32"/>
      <c r="D24" s="32"/>
    </row>
    <row r="25" spans="3:4" x14ac:dyDescent="0.35">
      <c r="C25" s="32"/>
      <c r="D25" s="32"/>
    </row>
    <row r="26" spans="3:4" x14ac:dyDescent="0.35">
      <c r="C26" s="32"/>
      <c r="D26" s="32"/>
    </row>
    <row r="27" spans="3:4" x14ac:dyDescent="0.35">
      <c r="C27" s="32"/>
      <c r="D27" s="32"/>
    </row>
    <row r="28" spans="3:4" x14ac:dyDescent="0.35">
      <c r="C28" s="32"/>
      <c r="D28" s="32"/>
    </row>
    <row r="29" spans="3:4" x14ac:dyDescent="0.35">
      <c r="C29" s="32"/>
      <c r="D29" s="32"/>
    </row>
    <row r="30" spans="3:4" x14ac:dyDescent="0.35">
      <c r="C30" s="32"/>
      <c r="D30" s="32"/>
    </row>
    <row r="31" spans="3:4" x14ac:dyDescent="0.35">
      <c r="D31" s="32"/>
    </row>
    <row r="32" spans="3:4" x14ac:dyDescent="0.35">
      <c r="D32" s="32"/>
    </row>
    <row r="33" spans="4:4" x14ac:dyDescent="0.35">
      <c r="D33" s="32"/>
    </row>
    <row r="34" spans="4:4" x14ac:dyDescent="0.35">
      <c r="D34" s="32"/>
    </row>
    <row r="35" spans="4:4" x14ac:dyDescent="0.35">
      <c r="D35" s="32"/>
    </row>
  </sheetData>
  <dataValidations disablePrompts="1" count="1">
    <dataValidation type="list" allowBlank="1" showInputMessage="1" showErrorMessage="1" sqref="M2" xr:uid="{720D0FA8-5CB7-4691-A32E-3F427D8C29CD}">
      <formula1>$K$2:$K$15</formula1>
    </dataValidation>
  </dataValidations>
  <pageMargins left="0.7" right="0.7" top="0.75" bottom="0.75" header="0.3" footer="0.3"/>
  <pageSetup paperSize="9" orientation="portrait" horizontalDpi="300" verticalDpi="0" r:id="rId1"/>
  <ignoredErrors>
    <ignoredError sqref="A2:A15 K2:K1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1688-C5D6-4286-8305-EE60F0D8B2BF}">
  <dimension ref="A1:AF35"/>
  <sheetViews>
    <sheetView rightToLeft="1" topLeftCell="P1" zoomScale="85" zoomScaleNormal="85" workbookViewId="0">
      <selection activeCell="U1" sqref="U1:AF1"/>
    </sheetView>
  </sheetViews>
  <sheetFormatPr defaultColWidth="9.1796875" defaultRowHeight="14.5" x14ac:dyDescent="0.35"/>
  <cols>
    <col min="1" max="15" width="14.26953125" style="4" customWidth="1"/>
    <col min="16" max="20" width="9.1796875" style="4"/>
    <col min="21" max="32" width="14.26953125" style="4" customWidth="1"/>
    <col min="33" max="16384" width="9.1796875" style="4"/>
  </cols>
  <sheetData>
    <row r="1" spans="1:32" s="2" customFormat="1" ht="46.5" thickBot="1" x14ac:dyDescent="0.4">
      <c r="A1" s="1" t="s">
        <v>0</v>
      </c>
      <c r="B1" s="1" t="s">
        <v>109</v>
      </c>
      <c r="C1" s="1" t="s">
        <v>108</v>
      </c>
      <c r="D1" s="1" t="s">
        <v>104</v>
      </c>
      <c r="E1" s="1" t="s">
        <v>103</v>
      </c>
      <c r="F1" s="1" t="s">
        <v>107</v>
      </c>
      <c r="G1" s="1" t="s">
        <v>106</v>
      </c>
      <c r="H1" s="1" t="s">
        <v>112</v>
      </c>
      <c r="I1" s="1" t="s">
        <v>111</v>
      </c>
      <c r="J1" s="1" t="s">
        <v>110</v>
      </c>
      <c r="K1" s="1" t="s">
        <v>105</v>
      </c>
      <c r="L1" s="1" t="s">
        <v>113</v>
      </c>
      <c r="M1" s="1" t="s">
        <v>94</v>
      </c>
      <c r="N1" s="1" t="s">
        <v>95</v>
      </c>
      <c r="O1" s="1" t="s">
        <v>96</v>
      </c>
      <c r="Q1" s="1" t="s">
        <v>97</v>
      </c>
      <c r="S1" s="7" t="s">
        <v>98</v>
      </c>
      <c r="U1" s="10" t="s">
        <v>0</v>
      </c>
      <c r="V1" s="33" t="s">
        <v>109</v>
      </c>
      <c r="W1" s="33" t="s">
        <v>108</v>
      </c>
      <c r="X1" s="33" t="s">
        <v>104</v>
      </c>
      <c r="Y1" s="33" t="s">
        <v>103</v>
      </c>
      <c r="Z1" s="33" t="s">
        <v>107</v>
      </c>
      <c r="AA1" s="33" t="s">
        <v>106</v>
      </c>
      <c r="AB1" s="33" t="s">
        <v>112</v>
      </c>
      <c r="AC1" s="33" t="s">
        <v>111</v>
      </c>
      <c r="AD1" s="11" t="s">
        <v>110</v>
      </c>
      <c r="AE1" s="11" t="s">
        <v>105</v>
      </c>
      <c r="AF1" s="12" t="s">
        <v>113</v>
      </c>
    </row>
    <row r="2" spans="1:32" ht="23.5" thickBot="1" x14ac:dyDescent="0.8">
      <c r="A2" s="3" t="s">
        <v>3</v>
      </c>
      <c r="B2" s="15">
        <v>0.65800000000000003</v>
      </c>
      <c r="C2" s="15">
        <v>1.5166999999999999</v>
      </c>
      <c r="D2" s="15">
        <v>0</v>
      </c>
      <c r="E2" s="15">
        <v>8.2312999999999992</v>
      </c>
      <c r="F2" s="15">
        <v>0</v>
      </c>
      <c r="G2" s="15">
        <v>13.755699999999999</v>
      </c>
      <c r="H2" s="15">
        <v>7.6067</v>
      </c>
      <c r="I2" s="15">
        <v>0</v>
      </c>
      <c r="J2" s="15">
        <v>10.8195</v>
      </c>
      <c r="K2" s="15">
        <v>0</v>
      </c>
      <c r="L2" s="15">
        <v>0</v>
      </c>
      <c r="M2" s="8">
        <f>ROWS($A$2:A2)</f>
        <v>1</v>
      </c>
      <c r="N2" s="8" t="str">
        <f t="shared" ref="N2:N15" si="0">IF(A2=$S$2,M2,"")</f>
        <v/>
      </c>
      <c r="O2" s="8">
        <f>IFERROR(SMALL($N$2:$N$15,M2),"")</f>
        <v>14</v>
      </c>
      <c r="Q2" s="3" t="s">
        <v>3</v>
      </c>
      <c r="S2" s="6" t="s">
        <v>16</v>
      </c>
      <c r="U2" s="35" t="str">
        <f>IFERROR(INDEX($A$2:$L$15,$O2,COLUMNS($U$1:U1))," ")</f>
        <v>16</v>
      </c>
      <c r="V2" s="36">
        <f>IFERROR(INDEX($A$2:$L$15,$O2,COLUMNS($U$1:V1))," ")</f>
        <v>0</v>
      </c>
      <c r="W2" s="36">
        <f>IFERROR(INDEX($A$2:$L$15,$O2,COLUMNS($U$1:W1))," ")</f>
        <v>0</v>
      </c>
      <c r="X2" s="36">
        <f>IFERROR(INDEX($A$2:$L$15,$O2,COLUMNS($U$1:X1))," ")</f>
        <v>0</v>
      </c>
      <c r="Y2" s="36">
        <f>IFERROR(INDEX($A$2:$L$15,$O2,COLUMNS($U$1:Y1))," ")</f>
        <v>0</v>
      </c>
      <c r="Z2" s="36">
        <f>IFERROR(INDEX($A$2:$L$15,$O2,COLUMNS($U$1:Z1))," ")</f>
        <v>0</v>
      </c>
      <c r="AA2" s="36">
        <f>IFERROR(INDEX($A$2:$L$15,$O2,COLUMNS($U$1:AA1))," ")</f>
        <v>0</v>
      </c>
      <c r="AB2" s="36">
        <f>IFERROR(INDEX($A$2:$L$15,$O2,COLUMNS($U$1:AB1))," ")</f>
        <v>8.0762</v>
      </c>
      <c r="AC2" s="36">
        <f>IFERROR(INDEX($A$2:$L$15,$O2,COLUMNS($U$1:AC1))," ")</f>
        <v>8.1110000000000007</v>
      </c>
      <c r="AD2" s="37">
        <f>IFERROR(INDEX($A$2:$L$15,$O2,COLUMNS($U$1:AD1))," ")</f>
        <v>17.476800000000001</v>
      </c>
      <c r="AE2" s="37">
        <f>IFERROR(INDEX($A$2:$L$15,$O2,COLUMNS($U$1:AE1))," ")</f>
        <v>0</v>
      </c>
      <c r="AF2" s="38">
        <f>IFERROR(INDEX($A$2:$L$15,$O2,COLUMNS($U$1:AF1))," ")</f>
        <v>0</v>
      </c>
    </row>
    <row r="3" spans="1:32" ht="23" x14ac:dyDescent="0.75">
      <c r="A3" s="3" t="s">
        <v>4</v>
      </c>
      <c r="B3" s="15">
        <v>7.6868999999999996</v>
      </c>
      <c r="C3" s="15">
        <v>7.0674999999999999</v>
      </c>
      <c r="D3" s="15">
        <v>6.843</v>
      </c>
      <c r="E3" s="15">
        <v>18.176300000000001</v>
      </c>
      <c r="F3" s="15">
        <v>10.620900000000001</v>
      </c>
      <c r="G3" s="15">
        <v>9.8190000000000008</v>
      </c>
      <c r="H3" s="15">
        <v>31.4221</v>
      </c>
      <c r="I3" s="15">
        <v>0.68100000000000005</v>
      </c>
      <c r="J3" s="15">
        <v>15.3392</v>
      </c>
      <c r="K3" s="15">
        <v>16.932700000000001</v>
      </c>
      <c r="L3" s="15">
        <v>0</v>
      </c>
      <c r="M3" s="8">
        <f>ROWS($A$2:A3)</f>
        <v>2</v>
      </c>
      <c r="N3" s="8" t="str">
        <f t="shared" si="0"/>
        <v/>
      </c>
      <c r="O3" s="8" t="str">
        <f t="shared" ref="O3:O15" si="1">IFERROR(SMALL($N$2:$N$15,M3),"")</f>
        <v/>
      </c>
      <c r="Q3" s="3" t="s">
        <v>4</v>
      </c>
      <c r="U3" s="34"/>
      <c r="V3" s="34"/>
      <c r="W3" s="34"/>
      <c r="X3" s="34"/>
      <c r="Y3" s="34"/>
      <c r="Z3" s="34"/>
      <c r="AA3" s="34"/>
      <c r="AB3" s="34"/>
      <c r="AC3" s="34"/>
      <c r="AD3" s="28"/>
      <c r="AE3" s="28"/>
      <c r="AF3" s="28"/>
    </row>
    <row r="4" spans="1:32" ht="23" x14ac:dyDescent="0.75">
      <c r="A4" s="3" t="s">
        <v>5</v>
      </c>
      <c r="B4" s="15">
        <v>3.8997000000000002</v>
      </c>
      <c r="C4" s="15">
        <v>0.54930000000000001</v>
      </c>
      <c r="D4" s="15">
        <v>5.8331</v>
      </c>
      <c r="E4" s="15">
        <v>7.5392000000000001</v>
      </c>
      <c r="F4" s="15">
        <v>3.7597999999999998</v>
      </c>
      <c r="G4" s="15">
        <v>4.7159000000000004</v>
      </c>
      <c r="H4" s="15">
        <v>32.991500000000002</v>
      </c>
      <c r="I4" s="15">
        <v>0</v>
      </c>
      <c r="J4" s="15">
        <v>42.926600000000001</v>
      </c>
      <c r="K4" s="15">
        <v>1.3714</v>
      </c>
      <c r="L4" s="15">
        <v>0</v>
      </c>
      <c r="M4" s="8">
        <f>ROWS($A$2:A4)</f>
        <v>3</v>
      </c>
      <c r="N4" s="8" t="str">
        <f t="shared" si="0"/>
        <v/>
      </c>
      <c r="O4" s="8" t="str">
        <f t="shared" si="1"/>
        <v/>
      </c>
      <c r="Q4" s="3" t="s">
        <v>5</v>
      </c>
      <c r="U4" s="34"/>
      <c r="V4" s="34"/>
      <c r="W4" s="34"/>
      <c r="X4" s="34"/>
      <c r="Y4" s="34"/>
      <c r="Z4" s="34"/>
      <c r="AA4" s="34"/>
      <c r="AB4" s="34"/>
      <c r="AC4" s="34"/>
      <c r="AD4" s="28"/>
      <c r="AE4" s="28"/>
      <c r="AF4" s="28"/>
    </row>
    <row r="5" spans="1:32" ht="23" x14ac:dyDescent="0.75">
      <c r="A5" s="3" t="s">
        <v>6</v>
      </c>
      <c r="B5" s="15">
        <v>3.5270999999999999</v>
      </c>
      <c r="C5" s="15">
        <v>0.25309999999999999</v>
      </c>
      <c r="D5" s="15">
        <v>2.2698</v>
      </c>
      <c r="E5" s="15">
        <v>2.9678</v>
      </c>
      <c r="F5" s="15">
        <v>2.5705</v>
      </c>
      <c r="G5" s="15">
        <v>4.3613999999999997</v>
      </c>
      <c r="H5" s="15">
        <v>8.3793000000000006</v>
      </c>
      <c r="I5" s="15">
        <v>0</v>
      </c>
      <c r="J5" s="15">
        <v>27.576000000000001</v>
      </c>
      <c r="K5" s="15">
        <v>0</v>
      </c>
      <c r="L5" s="15">
        <v>0</v>
      </c>
      <c r="M5" s="8">
        <f>ROWS($A$2:A5)</f>
        <v>4</v>
      </c>
      <c r="N5" s="8" t="str">
        <f t="shared" si="0"/>
        <v/>
      </c>
      <c r="O5" s="8" t="str">
        <f t="shared" si="1"/>
        <v/>
      </c>
      <c r="Q5" s="3" t="s">
        <v>6</v>
      </c>
      <c r="U5" s="34"/>
      <c r="V5" s="34"/>
      <c r="W5" s="34"/>
      <c r="X5" s="34"/>
      <c r="Y5" s="34"/>
      <c r="Z5" s="34"/>
      <c r="AA5" s="34"/>
      <c r="AB5" s="34"/>
      <c r="AC5" s="34"/>
      <c r="AD5" s="28"/>
      <c r="AE5" s="28"/>
      <c r="AF5" s="28"/>
    </row>
    <row r="6" spans="1:32" ht="23" x14ac:dyDescent="0.75">
      <c r="A6" s="3" t="s">
        <v>7</v>
      </c>
      <c r="B6" s="15">
        <v>0.38579999999999998</v>
      </c>
      <c r="C6" s="15">
        <v>0.93179999999999996</v>
      </c>
      <c r="D6" s="15">
        <v>6.4672000000000001</v>
      </c>
      <c r="E6" s="15">
        <v>5.3136999999999999</v>
      </c>
      <c r="F6" s="15">
        <v>0.71540000000000004</v>
      </c>
      <c r="G6" s="15">
        <v>3.9876</v>
      </c>
      <c r="H6" s="15">
        <v>19.031099999999999</v>
      </c>
      <c r="I6" s="15">
        <v>0</v>
      </c>
      <c r="J6" s="15">
        <v>7.8472</v>
      </c>
      <c r="K6" s="15">
        <v>0</v>
      </c>
      <c r="L6" s="15">
        <v>0</v>
      </c>
      <c r="M6" s="8">
        <f>ROWS($A$2:A6)</f>
        <v>5</v>
      </c>
      <c r="N6" s="8" t="str">
        <f t="shared" si="0"/>
        <v/>
      </c>
      <c r="O6" s="8" t="str">
        <f t="shared" si="1"/>
        <v/>
      </c>
      <c r="Q6" s="3" t="s">
        <v>7</v>
      </c>
      <c r="U6" s="34"/>
      <c r="V6" s="34"/>
      <c r="W6" s="34"/>
      <c r="X6" s="34"/>
      <c r="Y6" s="34"/>
      <c r="Z6" s="34"/>
      <c r="AA6" s="34"/>
      <c r="AB6" s="34"/>
      <c r="AC6" s="34"/>
      <c r="AD6" s="28"/>
      <c r="AE6" s="28"/>
      <c r="AF6" s="28"/>
    </row>
    <row r="7" spans="1:32" ht="23" x14ac:dyDescent="0.75">
      <c r="A7" s="3" t="s">
        <v>8</v>
      </c>
      <c r="B7" s="15">
        <v>1.0888</v>
      </c>
      <c r="C7" s="15">
        <v>4.3667999999999996</v>
      </c>
      <c r="D7" s="15">
        <v>14.495699999999999</v>
      </c>
      <c r="E7" s="15">
        <v>10.307399999999999</v>
      </c>
      <c r="F7" s="15">
        <v>0.8</v>
      </c>
      <c r="G7" s="15">
        <v>4.3413000000000004</v>
      </c>
      <c r="H7" s="15">
        <v>26.0398</v>
      </c>
      <c r="I7" s="15">
        <v>4.2423999999999999</v>
      </c>
      <c r="J7" s="15">
        <v>13.280200000000001</v>
      </c>
      <c r="K7" s="15">
        <v>0</v>
      </c>
      <c r="L7" s="15">
        <v>0</v>
      </c>
      <c r="M7" s="8">
        <f>ROWS($A$2:A7)</f>
        <v>6</v>
      </c>
      <c r="N7" s="8" t="str">
        <f t="shared" si="0"/>
        <v/>
      </c>
      <c r="O7" s="8" t="str">
        <f t="shared" si="1"/>
        <v/>
      </c>
      <c r="Q7" s="3" t="s">
        <v>8</v>
      </c>
      <c r="U7" s="34"/>
      <c r="V7" s="34"/>
      <c r="W7" s="34"/>
      <c r="X7" s="34"/>
      <c r="Y7" s="34"/>
      <c r="Z7" s="34"/>
      <c r="AA7" s="34"/>
      <c r="AB7" s="34"/>
      <c r="AC7" s="34"/>
      <c r="AD7" s="28"/>
      <c r="AE7" s="28"/>
      <c r="AF7" s="28"/>
    </row>
    <row r="8" spans="1:32" ht="23" x14ac:dyDescent="0.75">
      <c r="A8" s="3" t="s">
        <v>9</v>
      </c>
      <c r="B8" s="15">
        <v>6.2428999999999997</v>
      </c>
      <c r="C8" s="15">
        <v>2.9396</v>
      </c>
      <c r="D8" s="15">
        <v>17.3248</v>
      </c>
      <c r="E8" s="15">
        <v>16.2044</v>
      </c>
      <c r="F8" s="15">
        <v>15.0152</v>
      </c>
      <c r="G8" s="15">
        <v>23.135999999999999</v>
      </c>
      <c r="H8" s="15">
        <v>37.415100000000002</v>
      </c>
      <c r="I8" s="15">
        <v>20.962800000000001</v>
      </c>
      <c r="J8" s="15">
        <v>89.873099999999994</v>
      </c>
      <c r="K8" s="15">
        <v>220.85720000000001</v>
      </c>
      <c r="L8" s="15">
        <v>2.7269999999999999</v>
      </c>
      <c r="M8" s="8">
        <f>ROWS($A$2:A8)</f>
        <v>7</v>
      </c>
      <c r="N8" s="8" t="str">
        <f t="shared" si="0"/>
        <v/>
      </c>
      <c r="O8" s="8" t="str">
        <f t="shared" si="1"/>
        <v/>
      </c>
      <c r="Q8" s="3" t="s">
        <v>9</v>
      </c>
      <c r="U8" s="34"/>
      <c r="V8" s="34"/>
      <c r="W8" s="34"/>
      <c r="X8" s="34"/>
      <c r="Y8" s="34"/>
      <c r="Z8" s="34"/>
      <c r="AA8" s="34"/>
      <c r="AB8" s="34"/>
      <c r="AC8" s="34"/>
      <c r="AD8" s="28"/>
      <c r="AE8" s="28"/>
      <c r="AF8" s="28"/>
    </row>
    <row r="9" spans="1:32" ht="23" x14ac:dyDescent="0.75">
      <c r="A9" s="3" t="s">
        <v>10</v>
      </c>
      <c r="B9" s="15">
        <v>1.8855</v>
      </c>
      <c r="C9" s="15">
        <v>0.68579999999999997</v>
      </c>
      <c r="D9" s="15">
        <v>2.1890999999999998</v>
      </c>
      <c r="E9" s="15">
        <v>3.8035000000000001</v>
      </c>
      <c r="F9" s="15">
        <v>9.2899999999999991</v>
      </c>
      <c r="G9" s="15">
        <v>16.491099999999999</v>
      </c>
      <c r="H9" s="15">
        <v>7.1756000000000002</v>
      </c>
      <c r="I9" s="15">
        <v>0</v>
      </c>
      <c r="J9" s="15">
        <v>28.968699999999998</v>
      </c>
      <c r="K9" s="15">
        <v>5.7717000000000001</v>
      </c>
      <c r="L9" s="15">
        <v>35.011800000000001</v>
      </c>
      <c r="M9" s="8">
        <f>ROWS($A$2:A9)</f>
        <v>8</v>
      </c>
      <c r="N9" s="8" t="str">
        <f t="shared" si="0"/>
        <v/>
      </c>
      <c r="O9" s="8" t="str">
        <f t="shared" si="1"/>
        <v/>
      </c>
      <c r="Q9" s="3" t="s">
        <v>10</v>
      </c>
      <c r="U9" s="34"/>
      <c r="V9" s="34"/>
      <c r="W9" s="34"/>
      <c r="X9" s="34"/>
      <c r="Y9" s="34"/>
      <c r="Z9" s="34"/>
      <c r="AA9" s="34"/>
      <c r="AB9" s="34"/>
      <c r="AC9" s="34"/>
      <c r="AD9" s="28"/>
      <c r="AE9" s="28"/>
      <c r="AF9" s="28"/>
    </row>
    <row r="10" spans="1:32" ht="23" x14ac:dyDescent="0.75">
      <c r="A10" s="3" t="s">
        <v>11</v>
      </c>
      <c r="B10" s="15">
        <v>6.2367999999999997</v>
      </c>
      <c r="C10" s="15">
        <v>0.21410000000000001</v>
      </c>
      <c r="D10" s="15">
        <v>16.8308</v>
      </c>
      <c r="E10" s="15">
        <v>24.5779</v>
      </c>
      <c r="F10" s="15">
        <v>13.5304</v>
      </c>
      <c r="G10" s="15">
        <v>16.623799999999999</v>
      </c>
      <c r="H10" s="15">
        <v>39.901499999999999</v>
      </c>
      <c r="I10" s="15">
        <v>8.1346000000000007</v>
      </c>
      <c r="J10" s="15">
        <v>50.766300000000001</v>
      </c>
      <c r="K10" s="15">
        <v>209.53489999999999</v>
      </c>
      <c r="L10" s="15">
        <v>0</v>
      </c>
      <c r="M10" s="8">
        <f>ROWS($A$2:A10)</f>
        <v>9</v>
      </c>
      <c r="N10" s="8" t="str">
        <f t="shared" si="0"/>
        <v/>
      </c>
      <c r="O10" s="8" t="str">
        <f t="shared" si="1"/>
        <v/>
      </c>
      <c r="Q10" s="3" t="s">
        <v>11</v>
      </c>
      <c r="U10" s="34"/>
      <c r="V10" s="34"/>
      <c r="W10" s="34"/>
      <c r="X10" s="34"/>
      <c r="Y10" s="34"/>
      <c r="Z10" s="34"/>
      <c r="AA10" s="34"/>
      <c r="AB10" s="34"/>
      <c r="AC10" s="34"/>
      <c r="AD10" s="28"/>
      <c r="AE10" s="28"/>
      <c r="AF10" s="28"/>
    </row>
    <row r="11" spans="1:32" ht="23" x14ac:dyDescent="0.75">
      <c r="A11" s="3" t="s">
        <v>12</v>
      </c>
      <c r="B11" s="15">
        <v>21.895199999999999</v>
      </c>
      <c r="C11" s="15">
        <v>12.7483</v>
      </c>
      <c r="D11" s="15">
        <v>9.6835000000000004</v>
      </c>
      <c r="E11" s="15">
        <v>10.2774</v>
      </c>
      <c r="F11" s="15">
        <v>26.1311</v>
      </c>
      <c r="G11" s="15">
        <v>14.3918</v>
      </c>
      <c r="H11" s="15">
        <v>56.228299999999997</v>
      </c>
      <c r="I11" s="15">
        <v>0</v>
      </c>
      <c r="J11" s="15">
        <v>0</v>
      </c>
      <c r="K11" s="15">
        <v>1.3684000000000001</v>
      </c>
      <c r="L11" s="15">
        <v>0</v>
      </c>
      <c r="M11" s="8">
        <f>ROWS($A$2:A11)</f>
        <v>10</v>
      </c>
      <c r="N11" s="8" t="str">
        <f t="shared" si="0"/>
        <v/>
      </c>
      <c r="O11" s="8" t="str">
        <f t="shared" si="1"/>
        <v/>
      </c>
      <c r="Q11" s="3" t="s">
        <v>12</v>
      </c>
      <c r="U11" s="34"/>
      <c r="V11" s="34"/>
      <c r="W11" s="34"/>
      <c r="X11" s="34"/>
      <c r="Y11" s="34"/>
      <c r="Z11" s="34"/>
      <c r="AA11" s="34"/>
      <c r="AB11" s="34"/>
      <c r="AC11" s="34"/>
      <c r="AD11" s="28"/>
      <c r="AE11" s="28"/>
      <c r="AF11" s="28"/>
    </row>
    <row r="12" spans="1:32" ht="23" x14ac:dyDescent="0.75">
      <c r="A12" s="3" t="s">
        <v>13</v>
      </c>
      <c r="B12" s="15">
        <v>2.9213</v>
      </c>
      <c r="C12" s="15">
        <v>3.6156000000000001</v>
      </c>
      <c r="D12" s="15">
        <v>3.0205000000000002</v>
      </c>
      <c r="E12" s="15">
        <v>10.9909</v>
      </c>
      <c r="F12" s="15">
        <v>3.544</v>
      </c>
      <c r="G12" s="15">
        <v>10.772399999999999</v>
      </c>
      <c r="H12" s="15">
        <v>15.5837</v>
      </c>
      <c r="I12" s="15">
        <v>0</v>
      </c>
      <c r="J12" s="15">
        <v>45.875500000000002</v>
      </c>
      <c r="K12" s="15">
        <v>10.055199999999999</v>
      </c>
      <c r="L12" s="15">
        <v>0</v>
      </c>
      <c r="M12" s="8">
        <f>ROWS($A$2:A12)</f>
        <v>11</v>
      </c>
      <c r="N12" s="8" t="str">
        <f t="shared" si="0"/>
        <v/>
      </c>
      <c r="O12" s="8" t="str">
        <f t="shared" si="1"/>
        <v/>
      </c>
      <c r="Q12" s="3" t="s">
        <v>13</v>
      </c>
      <c r="U12" s="34"/>
      <c r="V12" s="34"/>
      <c r="W12" s="34"/>
      <c r="X12" s="34"/>
      <c r="Y12" s="34"/>
      <c r="Z12" s="34"/>
      <c r="AA12" s="34"/>
      <c r="AB12" s="34"/>
      <c r="AC12" s="34"/>
      <c r="AD12" s="28"/>
      <c r="AE12" s="28"/>
      <c r="AF12" s="28"/>
    </row>
    <row r="13" spans="1:32" ht="23" x14ac:dyDescent="0.75">
      <c r="A13" s="3" t="s">
        <v>14</v>
      </c>
      <c r="B13" s="15">
        <v>2.1414</v>
      </c>
      <c r="C13" s="15">
        <v>4.0891999999999999</v>
      </c>
      <c r="D13" s="15">
        <v>6.0338000000000003</v>
      </c>
      <c r="E13" s="15">
        <v>14.254099999999999</v>
      </c>
      <c r="F13" s="15">
        <v>4.7210999999999999</v>
      </c>
      <c r="G13" s="15">
        <v>18.776800000000001</v>
      </c>
      <c r="H13" s="15">
        <v>14.6555</v>
      </c>
      <c r="I13" s="15">
        <v>0</v>
      </c>
      <c r="J13" s="15">
        <v>0</v>
      </c>
      <c r="K13" s="15">
        <v>19.967500000000001</v>
      </c>
      <c r="L13" s="15">
        <v>0</v>
      </c>
      <c r="M13" s="8">
        <f>ROWS($A$2:A13)</f>
        <v>12</v>
      </c>
      <c r="N13" s="8" t="str">
        <f t="shared" si="0"/>
        <v/>
      </c>
      <c r="O13" s="8" t="str">
        <f t="shared" si="1"/>
        <v/>
      </c>
      <c r="Q13" s="3" t="s">
        <v>14</v>
      </c>
      <c r="U13" s="34"/>
      <c r="V13" s="34"/>
      <c r="W13" s="34"/>
      <c r="X13" s="34"/>
      <c r="Y13" s="34"/>
      <c r="Z13" s="34"/>
      <c r="AA13" s="34"/>
      <c r="AB13" s="34"/>
      <c r="AC13" s="34"/>
      <c r="AD13" s="28"/>
      <c r="AE13" s="28"/>
      <c r="AF13" s="28"/>
    </row>
    <row r="14" spans="1:32" ht="23" x14ac:dyDescent="0.75">
      <c r="A14" s="3" t="s">
        <v>15</v>
      </c>
      <c r="B14" s="15">
        <v>0.49230000000000002</v>
      </c>
      <c r="C14" s="15">
        <v>0.33050000000000002</v>
      </c>
      <c r="D14" s="15">
        <v>0</v>
      </c>
      <c r="E14" s="15">
        <v>1.1967000000000001</v>
      </c>
      <c r="F14" s="15">
        <v>0</v>
      </c>
      <c r="G14" s="15">
        <v>1.2995000000000001</v>
      </c>
      <c r="H14" s="15">
        <v>3.9047000000000001</v>
      </c>
      <c r="I14" s="15">
        <v>0</v>
      </c>
      <c r="J14" s="15">
        <v>0</v>
      </c>
      <c r="K14" s="15">
        <v>0</v>
      </c>
      <c r="L14" s="15">
        <v>0</v>
      </c>
      <c r="M14" s="8">
        <f>ROWS($A$2:A14)</f>
        <v>13</v>
      </c>
      <c r="N14" s="8" t="str">
        <f t="shared" si="0"/>
        <v/>
      </c>
      <c r="O14" s="8" t="str">
        <f t="shared" si="1"/>
        <v/>
      </c>
      <c r="Q14" s="3" t="s">
        <v>15</v>
      </c>
      <c r="U14" s="34"/>
      <c r="V14" s="34"/>
      <c r="W14" s="34"/>
      <c r="X14" s="34"/>
      <c r="Y14" s="34"/>
      <c r="Z14" s="34"/>
      <c r="AA14" s="34"/>
      <c r="AB14" s="34"/>
      <c r="AC14" s="34"/>
      <c r="AD14" s="28"/>
      <c r="AE14" s="28"/>
      <c r="AF14" s="28"/>
    </row>
    <row r="15" spans="1:32" ht="23" x14ac:dyDescent="0.75">
      <c r="A15" s="3" t="s">
        <v>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8.0762</v>
      </c>
      <c r="I15" s="15">
        <v>8.1110000000000007</v>
      </c>
      <c r="J15" s="15">
        <v>17.476800000000001</v>
      </c>
      <c r="K15" s="15">
        <v>0</v>
      </c>
      <c r="L15" s="15">
        <v>0</v>
      </c>
      <c r="M15" s="8">
        <f>ROWS($A$2:A15)</f>
        <v>14</v>
      </c>
      <c r="N15" s="8">
        <f t="shared" si="0"/>
        <v>14</v>
      </c>
      <c r="O15" s="8" t="str">
        <f t="shared" si="1"/>
        <v/>
      </c>
      <c r="Q15" s="1" t="s">
        <v>16</v>
      </c>
      <c r="U15" s="34"/>
      <c r="V15" s="34"/>
      <c r="W15" s="34"/>
      <c r="X15" s="34"/>
      <c r="Y15" s="34"/>
      <c r="Z15" s="34"/>
      <c r="AA15" s="34"/>
      <c r="AB15" s="34"/>
      <c r="AC15" s="34"/>
      <c r="AD15" s="28"/>
      <c r="AE15" s="28"/>
      <c r="AF15" s="28"/>
    </row>
    <row r="17" spans="9:10" x14ac:dyDescent="0.35">
      <c r="I17" s="32"/>
      <c r="J17" s="32"/>
    </row>
    <row r="18" spans="9:10" x14ac:dyDescent="0.35">
      <c r="I18" s="32"/>
      <c r="J18" s="32"/>
    </row>
    <row r="19" spans="9:10" x14ac:dyDescent="0.35">
      <c r="I19" s="32"/>
      <c r="J19" s="32"/>
    </row>
    <row r="20" spans="9:10" x14ac:dyDescent="0.35">
      <c r="I20" s="32"/>
      <c r="J20" s="32"/>
    </row>
    <row r="21" spans="9:10" x14ac:dyDescent="0.35">
      <c r="I21" s="32"/>
      <c r="J21" s="32"/>
    </row>
    <row r="22" spans="9:10" x14ac:dyDescent="0.35">
      <c r="I22" s="32"/>
      <c r="J22" s="32"/>
    </row>
    <row r="23" spans="9:10" x14ac:dyDescent="0.35">
      <c r="I23" s="32"/>
      <c r="J23" s="32"/>
    </row>
    <row r="24" spans="9:10" x14ac:dyDescent="0.35">
      <c r="I24" s="32"/>
      <c r="J24" s="32"/>
    </row>
    <row r="25" spans="9:10" x14ac:dyDescent="0.35">
      <c r="I25" s="32"/>
      <c r="J25" s="32"/>
    </row>
    <row r="26" spans="9:10" x14ac:dyDescent="0.35">
      <c r="I26" s="32"/>
      <c r="J26" s="32"/>
    </row>
    <row r="27" spans="9:10" x14ac:dyDescent="0.35">
      <c r="I27" s="32"/>
      <c r="J27" s="32"/>
    </row>
    <row r="28" spans="9:10" x14ac:dyDescent="0.35">
      <c r="I28" s="32"/>
      <c r="J28" s="32"/>
    </row>
    <row r="29" spans="9:10" x14ac:dyDescent="0.35">
      <c r="I29" s="32"/>
      <c r="J29" s="32"/>
    </row>
    <row r="30" spans="9:10" x14ac:dyDescent="0.35">
      <c r="I30" s="32"/>
      <c r="J30" s="32"/>
    </row>
    <row r="31" spans="9:10" x14ac:dyDescent="0.35">
      <c r="J31" s="32"/>
    </row>
    <row r="32" spans="9:10" x14ac:dyDescent="0.35">
      <c r="J32" s="32"/>
    </row>
    <row r="33" spans="10:10" x14ac:dyDescent="0.35">
      <c r="J33" s="32"/>
    </row>
    <row r="34" spans="10:10" x14ac:dyDescent="0.35">
      <c r="J34" s="32"/>
    </row>
    <row r="35" spans="10:10" x14ac:dyDescent="0.35">
      <c r="J35" s="32"/>
    </row>
  </sheetData>
  <dataValidations count="1">
    <dataValidation type="list" allowBlank="1" showInputMessage="1" showErrorMessage="1" sqref="S2" xr:uid="{C5B30B2C-195F-4976-889B-500B8A98628A}">
      <formula1>$Q$2:$Q$15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B48E-5410-4F23-8853-A9A3E72D3F06}">
  <dimension ref="A1:R39"/>
  <sheetViews>
    <sheetView rightToLeft="1" topLeftCell="A10" zoomScale="85" zoomScaleNormal="85" workbookViewId="0">
      <selection activeCell="A35" sqref="A35"/>
    </sheetView>
  </sheetViews>
  <sheetFormatPr defaultColWidth="9.1796875" defaultRowHeight="14.5" x14ac:dyDescent="0.35"/>
  <cols>
    <col min="1" max="8" width="14.26953125" style="4" customWidth="1"/>
    <col min="9" max="13" width="9.1796875" style="4"/>
    <col min="14" max="18" width="14.26953125" style="4" customWidth="1"/>
    <col min="19" max="16384" width="9.1796875" style="4"/>
  </cols>
  <sheetData>
    <row r="1" spans="1:18" s="2" customFormat="1" ht="46.5" thickBot="1" x14ac:dyDescent="0.4">
      <c r="A1" s="1" t="s">
        <v>0</v>
      </c>
      <c r="B1" s="1" t="s">
        <v>116</v>
      </c>
      <c r="C1" s="1" t="s">
        <v>114</v>
      </c>
      <c r="D1" s="1" t="s">
        <v>117</v>
      </c>
      <c r="E1" s="1" t="s">
        <v>115</v>
      </c>
      <c r="F1" s="1" t="s">
        <v>94</v>
      </c>
      <c r="G1" s="1" t="s">
        <v>95</v>
      </c>
      <c r="H1" s="1" t="s">
        <v>96</v>
      </c>
      <c r="J1" s="1" t="s">
        <v>97</v>
      </c>
      <c r="L1" s="7" t="s">
        <v>98</v>
      </c>
      <c r="N1" s="10" t="s">
        <v>0</v>
      </c>
      <c r="O1" s="33" t="s">
        <v>116</v>
      </c>
      <c r="P1" s="11" t="s">
        <v>114</v>
      </c>
      <c r="Q1" s="11" t="s">
        <v>117</v>
      </c>
      <c r="R1" s="12" t="s">
        <v>115</v>
      </c>
    </row>
    <row r="2" spans="1:18" ht="23.5" thickBot="1" x14ac:dyDescent="0.8">
      <c r="A2" s="3" t="s">
        <v>3</v>
      </c>
      <c r="B2" s="15">
        <v>0</v>
      </c>
      <c r="C2" s="15">
        <v>11837</v>
      </c>
      <c r="D2" s="15">
        <v>6372</v>
      </c>
      <c r="E2" s="15">
        <v>243</v>
      </c>
      <c r="F2" s="8">
        <f>ROWS($A$2:A2)</f>
        <v>1</v>
      </c>
      <c r="G2" s="8" t="str">
        <f t="shared" ref="G2:G15" si="0">IF(A2=$L$2,F2,"")</f>
        <v/>
      </c>
      <c r="H2" s="8">
        <f>IFERROR(SMALL($G$2:$G$15,F2),"")</f>
        <v>14</v>
      </c>
      <c r="J2" s="3" t="s">
        <v>3</v>
      </c>
      <c r="L2" s="6" t="s">
        <v>16</v>
      </c>
      <c r="N2" s="35" t="str">
        <f>IFERROR(INDEX($A$2:$E$15,$H2,COLUMNS($N$1:N1))," ")</f>
        <v>16</v>
      </c>
      <c r="O2" s="36">
        <f>IFERROR(INDEX($A$2:$E$15,$H2,COLUMNS($N$1:O1))," ")</f>
        <v>20000</v>
      </c>
      <c r="P2" s="37">
        <f>IFERROR(INDEX($A$2:$E$15,$H2,COLUMNS($N$1:P1))," ")</f>
        <v>54487</v>
      </c>
      <c r="Q2" s="37">
        <f>IFERROR(INDEX($A$2:$E$15,$H2,COLUMNS($N$1:Q1))," ")</f>
        <v>33736</v>
      </c>
      <c r="R2" s="38">
        <f>IFERROR(INDEX($A$2:$E$15,$H2,COLUMNS($N$1:R1))," ")</f>
        <v>30000</v>
      </c>
    </row>
    <row r="3" spans="1:18" ht="23" x14ac:dyDescent="0.75">
      <c r="A3" s="3" t="s">
        <v>4</v>
      </c>
      <c r="B3" s="15">
        <v>31574</v>
      </c>
      <c r="C3" s="15">
        <v>23862</v>
      </c>
      <c r="D3" s="15">
        <v>29170</v>
      </c>
      <c r="E3" s="15">
        <v>14203</v>
      </c>
      <c r="F3" s="8">
        <f>ROWS($A$2:A3)</f>
        <v>2</v>
      </c>
      <c r="G3" s="8" t="str">
        <f t="shared" si="0"/>
        <v/>
      </c>
      <c r="H3" s="8" t="str">
        <f t="shared" ref="H3:H15" si="1">IFERROR(SMALL($G$2:$G$15,F3),"")</f>
        <v/>
      </c>
      <c r="J3" s="3" t="s">
        <v>4</v>
      </c>
      <c r="N3" s="34"/>
      <c r="O3" s="34"/>
      <c r="P3" s="28"/>
      <c r="Q3" s="28"/>
      <c r="R3" s="28"/>
    </row>
    <row r="4" spans="1:18" ht="23" x14ac:dyDescent="0.75">
      <c r="A4" s="3" t="s">
        <v>5</v>
      </c>
      <c r="B4" s="15">
        <v>10057</v>
      </c>
      <c r="C4" s="15">
        <v>4526</v>
      </c>
      <c r="D4" s="15">
        <v>29117</v>
      </c>
      <c r="E4" s="15">
        <v>1124</v>
      </c>
      <c r="F4" s="8">
        <f>ROWS($A$2:A4)</f>
        <v>3</v>
      </c>
      <c r="G4" s="8" t="str">
        <f t="shared" si="0"/>
        <v/>
      </c>
      <c r="H4" s="8" t="str">
        <f t="shared" si="1"/>
        <v/>
      </c>
      <c r="J4" s="3" t="s">
        <v>5</v>
      </c>
      <c r="N4" s="34"/>
      <c r="O4" s="34"/>
      <c r="P4" s="28"/>
      <c r="Q4" s="28"/>
      <c r="R4" s="28"/>
    </row>
    <row r="5" spans="1:18" ht="23" x14ac:dyDescent="0.75">
      <c r="A5" s="3" t="s">
        <v>6</v>
      </c>
      <c r="B5" s="15">
        <v>6147</v>
      </c>
      <c r="C5" s="15">
        <v>7756</v>
      </c>
      <c r="D5" s="15">
        <v>16122</v>
      </c>
      <c r="E5" s="15">
        <v>182</v>
      </c>
      <c r="F5" s="8">
        <f>ROWS($A$2:A5)</f>
        <v>4</v>
      </c>
      <c r="G5" s="8" t="str">
        <f t="shared" si="0"/>
        <v/>
      </c>
      <c r="H5" s="8" t="str">
        <f t="shared" si="1"/>
        <v/>
      </c>
      <c r="J5" s="3" t="s">
        <v>6</v>
      </c>
      <c r="N5" s="34"/>
      <c r="O5" s="34"/>
      <c r="P5" s="28"/>
      <c r="Q5" s="28"/>
      <c r="R5" s="28"/>
    </row>
    <row r="6" spans="1:18" ht="23" x14ac:dyDescent="0.75">
      <c r="A6" s="3" t="s">
        <v>7</v>
      </c>
      <c r="B6" s="15">
        <v>0</v>
      </c>
      <c r="C6" s="15">
        <v>6830</v>
      </c>
      <c r="D6" s="15">
        <v>26969</v>
      </c>
      <c r="E6" s="15">
        <v>7250</v>
      </c>
      <c r="F6" s="8">
        <f>ROWS($A$2:A6)</f>
        <v>5</v>
      </c>
      <c r="G6" s="8" t="str">
        <f t="shared" si="0"/>
        <v/>
      </c>
      <c r="H6" s="8" t="str">
        <f t="shared" si="1"/>
        <v/>
      </c>
      <c r="J6" s="3" t="s">
        <v>7</v>
      </c>
      <c r="N6" s="34"/>
      <c r="O6" s="34"/>
      <c r="P6" s="28"/>
      <c r="Q6" s="28"/>
      <c r="R6" s="28"/>
    </row>
    <row r="7" spans="1:18" ht="23" x14ac:dyDescent="0.75">
      <c r="A7" s="3" t="s">
        <v>8</v>
      </c>
      <c r="B7" s="15">
        <v>7243</v>
      </c>
      <c r="C7" s="15">
        <v>5372</v>
      </c>
      <c r="D7" s="15">
        <v>18768</v>
      </c>
      <c r="E7" s="15">
        <v>6277</v>
      </c>
      <c r="F7" s="8">
        <f>ROWS($A$2:A7)</f>
        <v>6</v>
      </c>
      <c r="G7" s="8" t="str">
        <f t="shared" si="0"/>
        <v/>
      </c>
      <c r="H7" s="8" t="str">
        <f t="shared" si="1"/>
        <v/>
      </c>
      <c r="J7" s="3" t="s">
        <v>8</v>
      </c>
      <c r="N7" s="34"/>
      <c r="O7" s="34"/>
      <c r="P7" s="28"/>
      <c r="Q7" s="28"/>
      <c r="R7" s="28"/>
    </row>
    <row r="8" spans="1:18" ht="23" x14ac:dyDescent="0.75">
      <c r="A8" s="3" t="s">
        <v>9</v>
      </c>
      <c r="B8" s="15">
        <v>1489872</v>
      </c>
      <c r="C8" s="15">
        <v>26764</v>
      </c>
      <c r="D8" s="15">
        <v>65498</v>
      </c>
      <c r="E8" s="15">
        <v>53002</v>
      </c>
      <c r="F8" s="8">
        <f>ROWS($A$2:A8)</f>
        <v>7</v>
      </c>
      <c r="G8" s="8" t="str">
        <f t="shared" si="0"/>
        <v/>
      </c>
      <c r="H8" s="8" t="str">
        <f t="shared" si="1"/>
        <v/>
      </c>
      <c r="J8" s="3" t="s">
        <v>9</v>
      </c>
      <c r="N8" s="34"/>
      <c r="O8" s="34"/>
      <c r="P8" s="28"/>
      <c r="Q8" s="28"/>
      <c r="R8" s="28"/>
    </row>
    <row r="9" spans="1:18" ht="23" x14ac:dyDescent="0.75">
      <c r="A9" s="3" t="s">
        <v>10</v>
      </c>
      <c r="B9" s="15">
        <v>0</v>
      </c>
      <c r="C9" s="15">
        <v>7664</v>
      </c>
      <c r="D9" s="15">
        <v>41776</v>
      </c>
      <c r="E9" s="15">
        <v>22073</v>
      </c>
      <c r="F9" s="8">
        <f>ROWS($A$2:A9)</f>
        <v>8</v>
      </c>
      <c r="G9" s="8" t="str">
        <f t="shared" si="0"/>
        <v/>
      </c>
      <c r="H9" s="8" t="str">
        <f t="shared" si="1"/>
        <v/>
      </c>
      <c r="J9" s="3" t="s">
        <v>10</v>
      </c>
      <c r="N9" s="34"/>
      <c r="O9" s="34"/>
      <c r="P9" s="28"/>
      <c r="Q9" s="28"/>
      <c r="R9" s="28"/>
    </row>
    <row r="10" spans="1:18" ht="23" x14ac:dyDescent="0.75">
      <c r="A10" s="3" t="s">
        <v>11</v>
      </c>
      <c r="B10" s="15">
        <v>113691</v>
      </c>
      <c r="C10" s="15">
        <v>22993</v>
      </c>
      <c r="D10" s="15">
        <v>153213</v>
      </c>
      <c r="E10" s="15">
        <v>19275</v>
      </c>
      <c r="F10" s="8">
        <f>ROWS($A$2:A10)</f>
        <v>9</v>
      </c>
      <c r="G10" s="8" t="str">
        <f t="shared" si="0"/>
        <v/>
      </c>
      <c r="H10" s="8" t="str">
        <f t="shared" si="1"/>
        <v/>
      </c>
      <c r="J10" s="3" t="s">
        <v>11</v>
      </c>
      <c r="N10" s="34"/>
      <c r="O10" s="34"/>
      <c r="P10" s="28"/>
      <c r="Q10" s="28"/>
      <c r="R10" s="28"/>
    </row>
    <row r="11" spans="1:18" ht="23" x14ac:dyDescent="0.75">
      <c r="A11" s="3" t="s">
        <v>12</v>
      </c>
      <c r="B11" s="15">
        <v>29958</v>
      </c>
      <c r="C11" s="15">
        <v>9144</v>
      </c>
      <c r="D11" s="15">
        <v>58525</v>
      </c>
      <c r="E11" s="15">
        <v>18354</v>
      </c>
      <c r="F11" s="8">
        <f>ROWS($A$2:A11)</f>
        <v>10</v>
      </c>
      <c r="G11" s="8" t="str">
        <f t="shared" si="0"/>
        <v/>
      </c>
      <c r="H11" s="8" t="str">
        <f t="shared" si="1"/>
        <v/>
      </c>
      <c r="J11" s="3" t="s">
        <v>12</v>
      </c>
      <c r="N11" s="34"/>
      <c r="O11" s="34"/>
      <c r="P11" s="28"/>
      <c r="Q11" s="28"/>
      <c r="R11" s="28"/>
    </row>
    <row r="12" spans="1:18" ht="23" x14ac:dyDescent="0.75">
      <c r="A12" s="3" t="s">
        <v>13</v>
      </c>
      <c r="B12" s="15">
        <v>12794</v>
      </c>
      <c r="C12" s="15">
        <v>16005</v>
      </c>
      <c r="D12" s="15">
        <v>11844</v>
      </c>
      <c r="E12" s="15">
        <v>0</v>
      </c>
      <c r="F12" s="8">
        <f>ROWS($A$2:A12)</f>
        <v>11</v>
      </c>
      <c r="G12" s="8" t="str">
        <f t="shared" si="0"/>
        <v/>
      </c>
      <c r="H12" s="8" t="str">
        <f t="shared" si="1"/>
        <v/>
      </c>
      <c r="J12" s="3" t="s">
        <v>13</v>
      </c>
      <c r="N12" s="34"/>
      <c r="O12" s="34"/>
      <c r="P12" s="28"/>
      <c r="Q12" s="28"/>
      <c r="R12" s="28"/>
    </row>
    <row r="13" spans="1:18" ht="23" x14ac:dyDescent="0.75">
      <c r="A13" s="3" t="s">
        <v>14</v>
      </c>
      <c r="B13" s="15">
        <v>57145</v>
      </c>
      <c r="C13" s="15">
        <v>28284</v>
      </c>
      <c r="D13" s="15">
        <v>42234</v>
      </c>
      <c r="E13" s="15">
        <v>10752</v>
      </c>
      <c r="F13" s="8">
        <f>ROWS($A$2:A13)</f>
        <v>12</v>
      </c>
      <c r="G13" s="8" t="str">
        <f t="shared" si="0"/>
        <v/>
      </c>
      <c r="H13" s="8" t="str">
        <f t="shared" si="1"/>
        <v/>
      </c>
      <c r="J13" s="3" t="s">
        <v>14</v>
      </c>
      <c r="N13" s="34"/>
      <c r="O13" s="34"/>
      <c r="P13" s="28"/>
      <c r="Q13" s="28"/>
      <c r="R13" s="28"/>
    </row>
    <row r="14" spans="1:18" ht="23" x14ac:dyDescent="0.75">
      <c r="A14" s="3" t="s">
        <v>15</v>
      </c>
      <c r="B14" s="15">
        <v>0</v>
      </c>
      <c r="C14" s="15">
        <v>686</v>
      </c>
      <c r="D14" s="15">
        <v>1625</v>
      </c>
      <c r="E14" s="15">
        <v>18</v>
      </c>
      <c r="F14" s="8">
        <f>ROWS($A$2:A14)</f>
        <v>13</v>
      </c>
      <c r="G14" s="8" t="str">
        <f t="shared" si="0"/>
        <v/>
      </c>
      <c r="H14" s="8" t="str">
        <f t="shared" si="1"/>
        <v/>
      </c>
      <c r="J14" s="3" t="s">
        <v>15</v>
      </c>
      <c r="N14" s="34"/>
      <c r="O14" s="34"/>
      <c r="P14" s="28"/>
      <c r="Q14" s="28"/>
      <c r="R14" s="28"/>
    </row>
    <row r="15" spans="1:18" ht="23" x14ac:dyDescent="0.75">
      <c r="A15" s="3" t="s">
        <v>16</v>
      </c>
      <c r="B15" s="15">
        <v>20000</v>
      </c>
      <c r="C15" s="15">
        <v>54487</v>
      </c>
      <c r="D15" s="15">
        <v>33736</v>
      </c>
      <c r="E15" s="15">
        <v>30000</v>
      </c>
      <c r="F15" s="8">
        <f>ROWS($A$2:A15)</f>
        <v>14</v>
      </c>
      <c r="G15" s="8">
        <f t="shared" si="0"/>
        <v>14</v>
      </c>
      <c r="H15" s="8" t="str">
        <f t="shared" si="1"/>
        <v/>
      </c>
      <c r="J15" s="1" t="s">
        <v>16</v>
      </c>
      <c r="N15" s="34"/>
      <c r="O15" s="34"/>
      <c r="P15" s="28"/>
      <c r="Q15" s="28"/>
      <c r="R15" s="28"/>
    </row>
    <row r="17" spans="3:4" x14ac:dyDescent="0.35">
      <c r="C17" s="32"/>
    </row>
    <row r="18" spans="3:4" x14ac:dyDescent="0.35">
      <c r="C18" s="32"/>
      <c r="D18" s="32"/>
    </row>
    <row r="19" spans="3:4" x14ac:dyDescent="0.35">
      <c r="C19" s="32"/>
      <c r="D19" s="32"/>
    </row>
    <row r="20" spans="3:4" x14ac:dyDescent="0.35">
      <c r="C20" s="32"/>
      <c r="D20" s="32"/>
    </row>
    <row r="21" spans="3:4" x14ac:dyDescent="0.35">
      <c r="C21" s="32"/>
      <c r="D21" s="32"/>
    </row>
    <row r="22" spans="3:4" x14ac:dyDescent="0.35">
      <c r="C22" s="32"/>
      <c r="D22" s="32"/>
    </row>
    <row r="23" spans="3:4" x14ac:dyDescent="0.35">
      <c r="C23" s="32"/>
      <c r="D23" s="32"/>
    </row>
    <row r="24" spans="3:4" x14ac:dyDescent="0.35">
      <c r="C24" s="32"/>
      <c r="D24" s="32"/>
    </row>
    <row r="25" spans="3:4" x14ac:dyDescent="0.35">
      <c r="C25" s="32"/>
      <c r="D25" s="32"/>
    </row>
    <row r="26" spans="3:4" x14ac:dyDescent="0.35">
      <c r="C26" s="32"/>
      <c r="D26" s="32"/>
    </row>
    <row r="27" spans="3:4" x14ac:dyDescent="0.35">
      <c r="C27" s="32"/>
      <c r="D27" s="32"/>
    </row>
    <row r="28" spans="3:4" x14ac:dyDescent="0.35">
      <c r="C28" s="32"/>
      <c r="D28" s="32"/>
    </row>
    <row r="29" spans="3:4" x14ac:dyDescent="0.35">
      <c r="C29" s="32"/>
      <c r="D29" s="32"/>
    </row>
    <row r="30" spans="3:4" x14ac:dyDescent="0.35">
      <c r="C30" s="32"/>
      <c r="D30" s="32"/>
    </row>
    <row r="31" spans="3:4" x14ac:dyDescent="0.35">
      <c r="C31" s="32"/>
      <c r="D31" s="32"/>
    </row>
    <row r="32" spans="3:4" x14ac:dyDescent="0.35">
      <c r="C32" s="32"/>
      <c r="D32" s="32"/>
    </row>
    <row r="33" spans="3:4" x14ac:dyDescent="0.35">
      <c r="C33" s="32"/>
      <c r="D33" s="32"/>
    </row>
    <row r="34" spans="3:4" x14ac:dyDescent="0.35">
      <c r="C34" s="32"/>
      <c r="D34" s="32"/>
    </row>
    <row r="35" spans="3:4" x14ac:dyDescent="0.35">
      <c r="C35" s="32"/>
      <c r="D35" s="32"/>
    </row>
    <row r="36" spans="3:4" x14ac:dyDescent="0.35">
      <c r="D36" s="32"/>
    </row>
    <row r="37" spans="3:4" x14ac:dyDescent="0.35">
      <c r="D37" s="32"/>
    </row>
    <row r="38" spans="3:4" x14ac:dyDescent="0.35">
      <c r="D38" s="32"/>
    </row>
    <row r="39" spans="3:4" x14ac:dyDescent="0.35">
      <c r="D39" s="32"/>
    </row>
  </sheetData>
  <dataValidations count="1">
    <dataValidation type="list" allowBlank="1" showInputMessage="1" showErrorMessage="1" sqref="L2" xr:uid="{3A95F14D-2B28-4936-9E95-DCCF9535A07C}">
      <formula1>$J$2:$J$15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83EE-20E8-464D-B7F9-3472FD6F3E52}">
  <dimension ref="A1:R35"/>
  <sheetViews>
    <sheetView rightToLeft="1" zoomScale="85" zoomScaleNormal="85" workbookViewId="0">
      <selection activeCell="B2" sqref="B2:E15"/>
    </sheetView>
  </sheetViews>
  <sheetFormatPr defaultColWidth="9.1796875" defaultRowHeight="14.5" x14ac:dyDescent="0.35"/>
  <cols>
    <col min="1" max="8" width="14.26953125" style="4" customWidth="1"/>
    <col min="9" max="13" width="9.1796875" style="4"/>
    <col min="14" max="18" width="14.26953125" style="4" customWidth="1"/>
    <col min="19" max="16384" width="9.1796875" style="4"/>
  </cols>
  <sheetData>
    <row r="1" spans="1:18" s="2" customFormat="1" ht="46.5" thickBot="1" x14ac:dyDescent="0.4">
      <c r="A1" s="1" t="s">
        <v>0</v>
      </c>
      <c r="B1" s="1" t="s">
        <v>116</v>
      </c>
      <c r="C1" s="1" t="s">
        <v>114</v>
      </c>
      <c r="D1" s="1" t="s">
        <v>117</v>
      </c>
      <c r="E1" s="1" t="s">
        <v>115</v>
      </c>
      <c r="F1" s="1" t="s">
        <v>94</v>
      </c>
      <c r="G1" s="1" t="s">
        <v>95</v>
      </c>
      <c r="H1" s="1" t="s">
        <v>96</v>
      </c>
      <c r="J1" s="1" t="s">
        <v>97</v>
      </c>
      <c r="L1" s="7" t="s">
        <v>98</v>
      </c>
      <c r="N1" s="10" t="s">
        <v>0</v>
      </c>
      <c r="O1" s="33" t="s">
        <v>116</v>
      </c>
      <c r="P1" s="11" t="s">
        <v>114</v>
      </c>
      <c r="Q1" s="11" t="s">
        <v>117</v>
      </c>
      <c r="R1" s="12" t="s">
        <v>115</v>
      </c>
    </row>
    <row r="2" spans="1:18" ht="23.5" thickBot="1" x14ac:dyDescent="0.8">
      <c r="A2" s="3" t="s">
        <v>3</v>
      </c>
      <c r="B2" s="15">
        <v>0</v>
      </c>
      <c r="C2" s="15">
        <v>2.4135</v>
      </c>
      <c r="D2" s="15">
        <v>31.077000000000002</v>
      </c>
      <c r="E2" s="15">
        <v>4.4965000000000002</v>
      </c>
      <c r="F2" s="8">
        <f>ROWS($A$2:A2)</f>
        <v>1</v>
      </c>
      <c r="G2" s="8" t="str">
        <f t="shared" ref="G2:G15" si="0">IF(A2=$L$2,F2,"")</f>
        <v/>
      </c>
      <c r="H2" s="8">
        <f>IFERROR(SMALL($G$2:$G$15,F2),"")</f>
        <v>14</v>
      </c>
      <c r="J2" s="3" t="s">
        <v>3</v>
      </c>
      <c r="L2" s="6" t="s">
        <v>16</v>
      </c>
      <c r="N2" s="35" t="str">
        <f>IFERROR(INDEX($A$2:$E$15,$H2,COLUMNS($N$1:N1))," ")</f>
        <v>16</v>
      </c>
      <c r="O2" s="36">
        <f>IFERROR(INDEX($A$2:$E$15,$H2,COLUMNS($N$1:O1))," ")</f>
        <v>0.3</v>
      </c>
      <c r="P2" s="37">
        <f>IFERROR(INDEX($A$2:$E$15,$H2,COLUMNS($N$1:P1))," ")</f>
        <v>0</v>
      </c>
      <c r="Q2" s="37">
        <f>IFERROR(INDEX($A$2:$E$15,$H2,COLUMNS($N$1:Q1))," ")</f>
        <v>17.001300000000001</v>
      </c>
      <c r="R2" s="38">
        <f>IFERROR(INDEX($A$2:$E$15,$H2,COLUMNS($N$1:R1))," ")</f>
        <v>2.5404</v>
      </c>
    </row>
    <row r="3" spans="1:18" ht="23" x14ac:dyDescent="0.75">
      <c r="A3" s="3" t="s">
        <v>4</v>
      </c>
      <c r="B3" s="15">
        <v>0</v>
      </c>
      <c r="C3" s="15">
        <v>7.9732000000000003</v>
      </c>
      <c r="D3" s="15">
        <v>57.536700000000003</v>
      </c>
      <c r="E3" s="15">
        <v>13.786799999999999</v>
      </c>
      <c r="F3" s="8">
        <f>ROWS($A$2:A3)</f>
        <v>2</v>
      </c>
      <c r="G3" s="8" t="str">
        <f t="shared" si="0"/>
        <v/>
      </c>
      <c r="H3" s="8" t="str">
        <f t="shared" ref="H3:H15" si="1">IFERROR(SMALL($G$2:$G$15,F3),"")</f>
        <v/>
      </c>
      <c r="J3" s="3" t="s">
        <v>4</v>
      </c>
      <c r="N3" s="34"/>
      <c r="O3" s="34"/>
      <c r="P3" s="28"/>
      <c r="Q3" s="28"/>
      <c r="R3" s="28"/>
    </row>
    <row r="4" spans="1:18" ht="23" x14ac:dyDescent="0.75">
      <c r="A4" s="3" t="s">
        <v>5</v>
      </c>
      <c r="B4" s="15">
        <v>5.0599999999999999E-2</v>
      </c>
      <c r="C4" s="15">
        <v>1.7583</v>
      </c>
      <c r="D4" s="15">
        <v>49.5122</v>
      </c>
      <c r="E4" s="15">
        <v>19.7791</v>
      </c>
      <c r="F4" s="8">
        <f>ROWS($A$2:A4)</f>
        <v>3</v>
      </c>
      <c r="G4" s="8" t="str">
        <f t="shared" si="0"/>
        <v/>
      </c>
      <c r="H4" s="8" t="str">
        <f t="shared" si="1"/>
        <v/>
      </c>
      <c r="J4" s="3" t="s">
        <v>5</v>
      </c>
      <c r="N4" s="34"/>
      <c r="O4" s="34"/>
      <c r="P4" s="28"/>
      <c r="Q4" s="28"/>
      <c r="R4" s="28"/>
    </row>
    <row r="5" spans="1:18" ht="23" x14ac:dyDescent="0.75">
      <c r="A5" s="3" t="s">
        <v>6</v>
      </c>
      <c r="B5" s="15">
        <v>0</v>
      </c>
      <c r="C5" s="15">
        <v>0.79510000000000003</v>
      </c>
      <c r="D5" s="15">
        <v>23.707599999999999</v>
      </c>
      <c r="E5" s="15">
        <v>15.507</v>
      </c>
      <c r="F5" s="8">
        <f>ROWS($A$2:A5)</f>
        <v>4</v>
      </c>
      <c r="G5" s="8" t="str">
        <f t="shared" si="0"/>
        <v/>
      </c>
      <c r="H5" s="8" t="str">
        <f t="shared" si="1"/>
        <v/>
      </c>
      <c r="J5" s="3" t="s">
        <v>6</v>
      </c>
      <c r="N5" s="34"/>
      <c r="O5" s="34"/>
      <c r="P5" s="28"/>
      <c r="Q5" s="28"/>
      <c r="R5" s="28"/>
    </row>
    <row r="6" spans="1:18" ht="23" x14ac:dyDescent="0.75">
      <c r="A6" s="3" t="s">
        <v>7</v>
      </c>
      <c r="B6" s="15">
        <v>0</v>
      </c>
      <c r="C6" s="15">
        <v>0.81310000000000004</v>
      </c>
      <c r="D6" s="15">
        <v>22.854500000000002</v>
      </c>
      <c r="E6" s="15">
        <v>12.978</v>
      </c>
      <c r="F6" s="8">
        <f>ROWS($A$2:A6)</f>
        <v>5</v>
      </c>
      <c r="G6" s="8" t="str">
        <f t="shared" si="0"/>
        <v/>
      </c>
      <c r="H6" s="8" t="str">
        <f t="shared" si="1"/>
        <v/>
      </c>
      <c r="J6" s="3" t="s">
        <v>7</v>
      </c>
      <c r="N6" s="34"/>
      <c r="O6" s="34"/>
      <c r="P6" s="28"/>
      <c r="Q6" s="28"/>
      <c r="R6" s="28"/>
    </row>
    <row r="7" spans="1:18" ht="23" x14ac:dyDescent="0.75">
      <c r="A7" s="3" t="s">
        <v>8</v>
      </c>
      <c r="B7" s="15">
        <v>0</v>
      </c>
      <c r="C7" s="15">
        <v>1.3893</v>
      </c>
      <c r="D7" s="15">
        <v>52.365099999999998</v>
      </c>
      <c r="E7" s="15">
        <v>5.9550999999999998</v>
      </c>
      <c r="F7" s="8">
        <f>ROWS($A$2:A7)</f>
        <v>6</v>
      </c>
      <c r="G7" s="8" t="str">
        <f t="shared" si="0"/>
        <v/>
      </c>
      <c r="H7" s="8" t="str">
        <f t="shared" si="1"/>
        <v/>
      </c>
      <c r="J7" s="3" t="s">
        <v>8</v>
      </c>
      <c r="N7" s="34"/>
      <c r="O7" s="34"/>
      <c r="P7" s="28"/>
      <c r="Q7" s="28"/>
      <c r="R7" s="28"/>
    </row>
    <row r="8" spans="1:18" ht="23" x14ac:dyDescent="0.75">
      <c r="A8" s="3" t="s">
        <v>9</v>
      </c>
      <c r="B8" s="15">
        <v>4.4999999999999997E-3</v>
      </c>
      <c r="C8" s="15">
        <v>6.8349000000000002</v>
      </c>
      <c r="D8" s="15">
        <v>45.876800000000003</v>
      </c>
      <c r="E8" s="15">
        <v>18.709299999999999</v>
      </c>
      <c r="F8" s="8">
        <f>ROWS($A$2:A8)</f>
        <v>7</v>
      </c>
      <c r="G8" s="8" t="str">
        <f t="shared" si="0"/>
        <v/>
      </c>
      <c r="H8" s="8" t="str">
        <f t="shared" si="1"/>
        <v/>
      </c>
      <c r="J8" s="3" t="s">
        <v>9</v>
      </c>
      <c r="N8" s="34"/>
      <c r="O8" s="34"/>
      <c r="P8" s="28"/>
      <c r="Q8" s="28"/>
      <c r="R8" s="28"/>
    </row>
    <row r="9" spans="1:18" ht="23" x14ac:dyDescent="0.75">
      <c r="A9" s="3" t="s">
        <v>10</v>
      </c>
      <c r="B9" s="15">
        <v>1</v>
      </c>
      <c r="C9" s="15">
        <v>0.85970000000000002</v>
      </c>
      <c r="D9" s="15">
        <v>27.3552</v>
      </c>
      <c r="E9" s="15">
        <v>12.368499999999999</v>
      </c>
      <c r="F9" s="8">
        <f>ROWS($A$2:A9)</f>
        <v>8</v>
      </c>
      <c r="G9" s="8" t="str">
        <f t="shared" si="0"/>
        <v/>
      </c>
      <c r="H9" s="8" t="str">
        <f t="shared" si="1"/>
        <v/>
      </c>
      <c r="J9" s="3" t="s">
        <v>10</v>
      </c>
      <c r="N9" s="34"/>
      <c r="O9" s="34"/>
      <c r="P9" s="28"/>
      <c r="Q9" s="28"/>
      <c r="R9" s="28"/>
    </row>
    <row r="10" spans="1:18" ht="23" x14ac:dyDescent="0.75">
      <c r="A10" s="3" t="s">
        <v>11</v>
      </c>
      <c r="B10" s="15">
        <v>0.17699999999999999</v>
      </c>
      <c r="C10" s="15">
        <v>3.9962</v>
      </c>
      <c r="D10" s="15">
        <v>77.9114</v>
      </c>
      <c r="E10" s="15">
        <v>22.656199999999998</v>
      </c>
      <c r="F10" s="8">
        <f>ROWS($A$2:A10)</f>
        <v>9</v>
      </c>
      <c r="G10" s="8" t="str">
        <f t="shared" si="0"/>
        <v/>
      </c>
      <c r="H10" s="8" t="str">
        <f t="shared" si="1"/>
        <v/>
      </c>
      <c r="J10" s="3" t="s">
        <v>11</v>
      </c>
      <c r="N10" s="34"/>
      <c r="O10" s="34"/>
      <c r="P10" s="28"/>
      <c r="Q10" s="28"/>
      <c r="R10" s="28"/>
    </row>
    <row r="11" spans="1:18" ht="23" x14ac:dyDescent="0.75">
      <c r="A11" s="3" t="s">
        <v>12</v>
      </c>
      <c r="B11" s="15">
        <v>0</v>
      </c>
      <c r="C11" s="15">
        <v>0.33310000000000001</v>
      </c>
      <c r="D11" s="15">
        <v>64.906099999999995</v>
      </c>
      <c r="E11" s="15">
        <v>20.650200000000002</v>
      </c>
      <c r="F11" s="8">
        <f>ROWS($A$2:A11)</f>
        <v>10</v>
      </c>
      <c r="G11" s="8" t="str">
        <f t="shared" si="0"/>
        <v/>
      </c>
      <c r="H11" s="8" t="str">
        <f t="shared" si="1"/>
        <v/>
      </c>
      <c r="J11" s="3" t="s">
        <v>12</v>
      </c>
      <c r="N11" s="34"/>
      <c r="O11" s="34"/>
      <c r="P11" s="28"/>
      <c r="Q11" s="28"/>
      <c r="R11" s="28"/>
    </row>
    <row r="12" spans="1:18" ht="23" x14ac:dyDescent="0.75">
      <c r="A12" s="3" t="s">
        <v>13</v>
      </c>
      <c r="B12" s="15">
        <v>0.317</v>
      </c>
      <c r="C12" s="15">
        <v>4.5106000000000002</v>
      </c>
      <c r="D12" s="15">
        <v>56.876800000000003</v>
      </c>
      <c r="E12" s="15">
        <v>26.436900000000001</v>
      </c>
      <c r="F12" s="8">
        <f>ROWS($A$2:A12)</f>
        <v>11</v>
      </c>
      <c r="G12" s="8" t="str">
        <f t="shared" si="0"/>
        <v/>
      </c>
      <c r="H12" s="8" t="str">
        <f t="shared" si="1"/>
        <v/>
      </c>
      <c r="J12" s="3" t="s">
        <v>13</v>
      </c>
      <c r="N12" s="34"/>
      <c r="O12" s="34"/>
      <c r="P12" s="28"/>
      <c r="Q12" s="28"/>
      <c r="R12" s="28"/>
    </row>
    <row r="13" spans="1:18" ht="23" x14ac:dyDescent="0.75">
      <c r="A13" s="3" t="s">
        <v>14</v>
      </c>
      <c r="B13" s="15">
        <v>0</v>
      </c>
      <c r="C13" s="15">
        <v>0.48060000000000003</v>
      </c>
      <c r="D13" s="15">
        <v>22.679300000000001</v>
      </c>
      <c r="E13" s="15">
        <v>7.484</v>
      </c>
      <c r="F13" s="8">
        <f>ROWS($A$2:A13)</f>
        <v>12</v>
      </c>
      <c r="G13" s="8" t="str">
        <f t="shared" si="0"/>
        <v/>
      </c>
      <c r="H13" s="8" t="str">
        <f t="shared" si="1"/>
        <v/>
      </c>
      <c r="J13" s="3" t="s">
        <v>14</v>
      </c>
      <c r="N13" s="34"/>
      <c r="O13" s="34"/>
      <c r="P13" s="28"/>
      <c r="Q13" s="28"/>
      <c r="R13" s="28"/>
    </row>
    <row r="14" spans="1:18" ht="23" x14ac:dyDescent="0.75">
      <c r="A14" s="3" t="s">
        <v>15</v>
      </c>
      <c r="B14" s="15">
        <v>0</v>
      </c>
      <c r="C14" s="15">
        <v>0.53339999999999999</v>
      </c>
      <c r="D14" s="15">
        <v>6.09</v>
      </c>
      <c r="E14" s="15">
        <v>0.44979999999999998</v>
      </c>
      <c r="F14" s="8">
        <f>ROWS($A$2:A14)</f>
        <v>13</v>
      </c>
      <c r="G14" s="8" t="str">
        <f t="shared" si="0"/>
        <v/>
      </c>
      <c r="H14" s="8" t="str">
        <f t="shared" si="1"/>
        <v/>
      </c>
      <c r="J14" s="3" t="s">
        <v>15</v>
      </c>
      <c r="N14" s="34"/>
      <c r="O14" s="34"/>
      <c r="P14" s="28"/>
      <c r="Q14" s="28"/>
      <c r="R14" s="28"/>
    </row>
    <row r="15" spans="1:18" ht="23" x14ac:dyDescent="0.75">
      <c r="A15" s="3" t="s">
        <v>16</v>
      </c>
      <c r="B15" s="15">
        <v>0.3</v>
      </c>
      <c r="C15" s="15">
        <v>0</v>
      </c>
      <c r="D15" s="15">
        <v>17.001300000000001</v>
      </c>
      <c r="E15" s="15">
        <v>2.5404</v>
      </c>
      <c r="F15" s="8">
        <f>ROWS($A$2:A15)</f>
        <v>14</v>
      </c>
      <c r="G15" s="8">
        <f t="shared" si="0"/>
        <v>14</v>
      </c>
      <c r="H15" s="8" t="str">
        <f t="shared" si="1"/>
        <v/>
      </c>
      <c r="J15" s="1" t="s">
        <v>16</v>
      </c>
      <c r="N15" s="34"/>
      <c r="O15" s="34"/>
      <c r="P15" s="28"/>
      <c r="Q15" s="28"/>
      <c r="R15" s="28"/>
    </row>
    <row r="35" spans="3:3" x14ac:dyDescent="0.35">
      <c r="C35" s="32"/>
    </row>
  </sheetData>
  <dataValidations count="1">
    <dataValidation type="list" allowBlank="1" showInputMessage="1" showErrorMessage="1" sqref="L2" xr:uid="{8326B2D7-DDA0-425E-979B-D33283512F00}">
      <formula1>$J$2:$J$15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F1E7-EB0E-4151-9ED5-30BBAB4266EC}">
  <dimension ref="A1:AC74"/>
  <sheetViews>
    <sheetView rightToLeft="1" topLeftCell="G1" zoomScale="96" zoomScaleNormal="96" workbookViewId="0">
      <selection activeCell="L22" sqref="L22"/>
    </sheetView>
  </sheetViews>
  <sheetFormatPr defaultColWidth="9.1796875" defaultRowHeight="14.5" x14ac:dyDescent="0.35"/>
  <cols>
    <col min="1" max="1" width="7.26953125" style="9" customWidth="1"/>
    <col min="2" max="3" width="14.26953125" style="9" customWidth="1"/>
    <col min="4" max="7" width="9.1796875" style="9"/>
    <col min="8" max="11" width="14.26953125" style="9" customWidth="1"/>
    <col min="12" max="16384" width="9.1796875" style="9"/>
  </cols>
  <sheetData>
    <row r="1" spans="1:29" s="2" customFormat="1" ht="23" x14ac:dyDescent="0.35">
      <c r="A1" s="1" t="s">
        <v>0</v>
      </c>
      <c r="B1" s="1" t="s">
        <v>118</v>
      </c>
      <c r="C1" s="1" t="s">
        <v>122</v>
      </c>
      <c r="D1" s="5"/>
      <c r="E1" s="25"/>
      <c r="F1" s="5"/>
      <c r="G1" s="25"/>
      <c r="H1" s="5"/>
      <c r="I1" s="5"/>
      <c r="J1" s="5"/>
      <c r="K1" s="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s="4" customFormat="1" ht="23" x14ac:dyDescent="0.35">
      <c r="A2" s="30" t="s">
        <v>3</v>
      </c>
      <c r="B2" s="31">
        <v>65.412999999999997</v>
      </c>
      <c r="C2" s="31">
        <v>18.452000000000002</v>
      </c>
      <c r="D2" s="26"/>
      <c r="E2" s="9"/>
      <c r="F2" s="26"/>
      <c r="G2" s="9"/>
      <c r="H2" s="27"/>
      <c r="I2" s="28"/>
      <c r="J2" s="28"/>
      <c r="K2" s="2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s="4" customFormat="1" ht="23" x14ac:dyDescent="0.35">
      <c r="A3" s="30" t="s">
        <v>4</v>
      </c>
      <c r="B3" s="31">
        <v>121.21299999999999</v>
      </c>
      <c r="C3" s="31">
        <v>98.808999999999997</v>
      </c>
      <c r="D3" s="26"/>
      <c r="E3" s="9"/>
      <c r="F3" s="9"/>
      <c r="G3" s="9"/>
      <c r="H3" s="27"/>
      <c r="I3" s="28"/>
      <c r="J3" s="28"/>
      <c r="K3" s="2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s="4" customFormat="1" ht="23" x14ac:dyDescent="0.35">
      <c r="A4" s="30" t="s">
        <v>5</v>
      </c>
      <c r="B4" s="31">
        <v>84.941999999999993</v>
      </c>
      <c r="C4" s="31">
        <v>44.823999999999998</v>
      </c>
      <c r="D4" s="26"/>
      <c r="E4" s="9"/>
      <c r="F4" s="9"/>
      <c r="G4" s="9"/>
      <c r="H4" s="27"/>
      <c r="I4" s="28"/>
      <c r="J4" s="28"/>
      <c r="K4" s="2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s="4" customFormat="1" ht="23" x14ac:dyDescent="0.35">
      <c r="A5" s="30" t="s">
        <v>6</v>
      </c>
      <c r="B5" s="31">
        <v>50.642000000000003</v>
      </c>
      <c r="C5" s="31">
        <v>30.207000000000001</v>
      </c>
      <c r="D5" s="26"/>
      <c r="E5" s="9"/>
      <c r="F5" s="9"/>
      <c r="G5" s="9"/>
      <c r="H5" s="27"/>
      <c r="I5" s="28"/>
      <c r="J5" s="28"/>
      <c r="K5" s="2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s="4" customFormat="1" ht="23" x14ac:dyDescent="0.35">
      <c r="A6" s="30" t="s">
        <v>7</v>
      </c>
      <c r="B6" s="31">
        <v>60.496000000000002</v>
      </c>
      <c r="C6" s="31">
        <v>41.048999999999999</v>
      </c>
      <c r="D6" s="26"/>
      <c r="E6" s="9"/>
      <c r="F6" s="9"/>
      <c r="G6" s="9"/>
      <c r="H6" s="27"/>
      <c r="I6" s="28"/>
      <c r="J6" s="28"/>
      <c r="K6" s="2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s="4" customFormat="1" ht="23" x14ac:dyDescent="0.35">
      <c r="A7" s="30" t="s">
        <v>8</v>
      </c>
      <c r="B7" s="31">
        <v>73.84</v>
      </c>
      <c r="C7" s="31">
        <v>37.659999999999997</v>
      </c>
      <c r="D7" s="26"/>
      <c r="E7" s="9"/>
      <c r="F7" s="9"/>
      <c r="G7" s="9"/>
      <c r="H7" s="27"/>
      <c r="I7" s="28"/>
      <c r="J7" s="28"/>
      <c r="K7" s="2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s="4" customFormat="1" ht="23" x14ac:dyDescent="0.35">
      <c r="A8" s="30" t="s">
        <v>9</v>
      </c>
      <c r="B8" s="31">
        <v>348.64699999999999</v>
      </c>
      <c r="C8" s="31">
        <v>1635.136</v>
      </c>
      <c r="D8" s="26"/>
      <c r="E8" s="9"/>
      <c r="F8" s="9"/>
      <c r="G8" s="9"/>
      <c r="H8" s="27"/>
      <c r="I8" s="28"/>
      <c r="J8" s="28"/>
      <c r="K8" s="2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s="4" customFormat="1" ht="23" x14ac:dyDescent="0.35">
      <c r="A9" s="30" t="s">
        <v>10</v>
      </c>
      <c r="B9" s="31">
        <v>107.822</v>
      </c>
      <c r="C9" s="31">
        <v>71.513000000000005</v>
      </c>
      <c r="D9" s="26"/>
      <c r="E9" s="9"/>
      <c r="F9" s="9"/>
      <c r="G9" s="9"/>
      <c r="H9" s="27"/>
      <c r="I9" s="28"/>
      <c r="J9" s="28"/>
      <c r="K9" s="2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s="4" customFormat="1" ht="23" x14ac:dyDescent="0.35">
      <c r="A10" s="30" t="s">
        <v>11</v>
      </c>
      <c r="B10" s="31">
        <v>294.16800000000001</v>
      </c>
      <c r="C10" s="31">
        <v>309.17200000000003</v>
      </c>
      <c r="D10" s="26"/>
      <c r="E10" s="9"/>
      <c r="F10" s="9"/>
      <c r="G10" s="9"/>
      <c r="H10" s="27"/>
      <c r="I10" s="28"/>
      <c r="J10" s="28"/>
      <c r="K10" s="2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s="4" customFormat="1" ht="23" x14ac:dyDescent="0.35">
      <c r="A11" s="30" t="s">
        <v>12</v>
      </c>
      <c r="B11" s="31">
        <v>145.886</v>
      </c>
      <c r="C11" s="31">
        <v>115.98099999999999</v>
      </c>
      <c r="D11" s="26"/>
      <c r="E11" s="9"/>
      <c r="F11" s="9"/>
      <c r="G11" s="9"/>
      <c r="H11" s="27"/>
      <c r="I11" s="28"/>
      <c r="J11" s="28"/>
      <c r="K11" s="2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s="4" customFormat="1" ht="23" x14ac:dyDescent="0.35">
      <c r="A12" s="30" t="s">
        <v>13</v>
      </c>
      <c r="B12" s="31">
        <v>88.26</v>
      </c>
      <c r="C12" s="31">
        <v>40.643000000000001</v>
      </c>
      <c r="D12" s="26"/>
      <c r="E12" s="9"/>
      <c r="F12" s="9"/>
      <c r="G12" s="9"/>
      <c r="H12" s="27"/>
      <c r="I12" s="28"/>
      <c r="J12" s="28"/>
      <c r="K12" s="2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s="4" customFormat="1" ht="23" x14ac:dyDescent="0.35">
      <c r="A13" s="30" t="s">
        <v>14</v>
      </c>
      <c r="B13" s="31">
        <v>105.55200000000001</v>
      </c>
      <c r="C13" s="31">
        <v>138.41499999999999</v>
      </c>
      <c r="D13" s="26"/>
      <c r="E13" s="9"/>
      <c r="F13" s="9"/>
      <c r="G13" s="9"/>
      <c r="H13" s="27"/>
      <c r="I13" s="28"/>
      <c r="J13" s="28"/>
      <c r="K13" s="2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s="4" customFormat="1" ht="23" x14ac:dyDescent="0.35">
      <c r="A14" s="30" t="s">
        <v>15</v>
      </c>
      <c r="B14" s="31">
        <v>8.9090000000000007</v>
      </c>
      <c r="C14" s="31">
        <v>2.3290000000000002</v>
      </c>
      <c r="D14" s="26"/>
      <c r="E14" s="9"/>
      <c r="F14" s="9"/>
      <c r="G14" s="9"/>
      <c r="H14" s="27"/>
      <c r="I14" s="28"/>
      <c r="J14" s="28"/>
      <c r="K14" s="2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s="4" customFormat="1" ht="23" x14ac:dyDescent="0.35">
      <c r="A15" s="30" t="s">
        <v>16</v>
      </c>
      <c r="B15" s="31">
        <v>0</v>
      </c>
      <c r="C15" s="31">
        <v>138.22300000000001</v>
      </c>
      <c r="D15" s="5"/>
      <c r="E15" s="9"/>
      <c r="F15" s="9"/>
      <c r="G15" s="9"/>
      <c r="H15" s="27"/>
      <c r="I15" s="28"/>
      <c r="J15" s="28"/>
      <c r="K15" s="2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23" x14ac:dyDescent="0.75">
      <c r="A16" s="26"/>
      <c r="B16" s="29"/>
      <c r="C16" s="29"/>
      <c r="H16" s="27"/>
      <c r="I16" s="28"/>
      <c r="J16" s="28"/>
      <c r="K16" s="28"/>
    </row>
    <row r="17" spans="1:3" ht="23" x14ac:dyDescent="0.75">
      <c r="A17" s="26"/>
      <c r="B17" s="29"/>
      <c r="C17" s="29"/>
    </row>
    <row r="18" spans="1:3" ht="23" x14ac:dyDescent="0.75">
      <c r="A18" s="26"/>
      <c r="B18" s="29"/>
      <c r="C18" s="29"/>
    </row>
    <row r="19" spans="1:3" ht="23" x14ac:dyDescent="0.75">
      <c r="A19" s="26"/>
      <c r="B19" s="29"/>
      <c r="C19" s="29"/>
    </row>
    <row r="20" spans="1:3" ht="23" x14ac:dyDescent="0.75">
      <c r="A20" s="26"/>
      <c r="B20" s="29"/>
      <c r="C20" s="29"/>
    </row>
    <row r="21" spans="1:3" ht="23" x14ac:dyDescent="0.75">
      <c r="A21" s="26"/>
      <c r="B21" s="29"/>
      <c r="C21" s="29"/>
    </row>
    <row r="22" spans="1:3" ht="23" x14ac:dyDescent="0.75">
      <c r="A22" s="26"/>
      <c r="B22" s="29"/>
      <c r="C22" s="29"/>
    </row>
    <row r="23" spans="1:3" ht="23" x14ac:dyDescent="0.75">
      <c r="A23" s="26"/>
      <c r="B23" s="29"/>
      <c r="C23" s="29"/>
    </row>
    <row r="24" spans="1:3" ht="23" x14ac:dyDescent="0.75">
      <c r="A24" s="26"/>
      <c r="B24" s="29"/>
      <c r="C24" s="29"/>
    </row>
    <row r="25" spans="1:3" ht="23" x14ac:dyDescent="0.75">
      <c r="A25" s="26"/>
      <c r="B25" s="29"/>
      <c r="C25" s="29"/>
    </row>
    <row r="26" spans="1:3" ht="23" x14ac:dyDescent="0.75">
      <c r="A26" s="26"/>
      <c r="B26" s="29"/>
      <c r="C26" s="29"/>
    </row>
    <row r="27" spans="1:3" ht="23" x14ac:dyDescent="0.75">
      <c r="A27" s="26"/>
      <c r="B27" s="29"/>
      <c r="C27" s="29"/>
    </row>
    <row r="28" spans="1:3" ht="23" x14ac:dyDescent="0.75">
      <c r="A28" s="26"/>
      <c r="B28" s="29"/>
      <c r="C28" s="29"/>
    </row>
    <row r="29" spans="1:3" ht="23" x14ac:dyDescent="0.75">
      <c r="A29" s="26"/>
      <c r="B29" s="29"/>
      <c r="C29" s="29"/>
    </row>
    <row r="30" spans="1:3" ht="23" x14ac:dyDescent="0.75">
      <c r="A30" s="26"/>
      <c r="B30" s="29"/>
      <c r="C30" s="29"/>
    </row>
    <row r="31" spans="1:3" ht="23" x14ac:dyDescent="0.75">
      <c r="A31" s="26"/>
      <c r="B31" s="29"/>
      <c r="C31" s="29"/>
    </row>
    <row r="32" spans="1:3" ht="23" x14ac:dyDescent="0.75">
      <c r="A32" s="26"/>
      <c r="B32" s="29"/>
      <c r="C32" s="29"/>
    </row>
    <row r="33" spans="1:3" ht="23" x14ac:dyDescent="0.75">
      <c r="A33" s="26"/>
      <c r="B33" s="29"/>
      <c r="C33" s="29"/>
    </row>
    <row r="34" spans="1:3" ht="23" x14ac:dyDescent="0.75">
      <c r="A34" s="26"/>
      <c r="B34" s="29"/>
      <c r="C34" s="29"/>
    </row>
    <row r="35" spans="1:3" ht="23" x14ac:dyDescent="0.75">
      <c r="A35" s="26"/>
      <c r="B35" s="29"/>
      <c r="C35" s="29"/>
    </row>
    <row r="36" spans="1:3" ht="23" x14ac:dyDescent="0.75">
      <c r="A36" s="26"/>
      <c r="B36" s="29"/>
      <c r="C36" s="29"/>
    </row>
    <row r="37" spans="1:3" ht="23" x14ac:dyDescent="0.75">
      <c r="A37" s="26"/>
      <c r="B37" s="29"/>
      <c r="C37" s="29"/>
    </row>
    <row r="38" spans="1:3" ht="23" x14ac:dyDescent="0.75">
      <c r="A38" s="26"/>
      <c r="B38" s="29"/>
      <c r="C38" s="29"/>
    </row>
    <row r="39" spans="1:3" ht="23" x14ac:dyDescent="0.75">
      <c r="A39" s="26"/>
      <c r="B39" s="29"/>
      <c r="C39" s="29"/>
    </row>
    <row r="40" spans="1:3" ht="23" x14ac:dyDescent="0.75">
      <c r="A40" s="26"/>
      <c r="B40" s="29"/>
      <c r="C40" s="29"/>
    </row>
    <row r="41" spans="1:3" ht="23" x14ac:dyDescent="0.75">
      <c r="A41" s="26"/>
      <c r="B41" s="29"/>
      <c r="C41" s="29"/>
    </row>
    <row r="42" spans="1:3" ht="23" x14ac:dyDescent="0.75">
      <c r="A42" s="26"/>
      <c r="B42" s="29"/>
      <c r="C42" s="29"/>
    </row>
    <row r="43" spans="1:3" ht="23" x14ac:dyDescent="0.75">
      <c r="A43" s="26"/>
      <c r="B43" s="29"/>
      <c r="C43" s="29"/>
    </row>
    <row r="44" spans="1:3" ht="23" x14ac:dyDescent="0.75">
      <c r="A44" s="26"/>
      <c r="B44" s="29"/>
      <c r="C44" s="29"/>
    </row>
    <row r="45" spans="1:3" ht="23" x14ac:dyDescent="0.75">
      <c r="A45" s="26"/>
      <c r="B45" s="29"/>
      <c r="C45" s="29"/>
    </row>
    <row r="46" spans="1:3" ht="23" x14ac:dyDescent="0.75">
      <c r="A46" s="26"/>
      <c r="B46" s="29"/>
      <c r="C46" s="29"/>
    </row>
    <row r="47" spans="1:3" ht="23" x14ac:dyDescent="0.75">
      <c r="A47" s="26"/>
      <c r="B47" s="29"/>
      <c r="C47" s="29"/>
    </row>
    <row r="48" spans="1:3" ht="23" x14ac:dyDescent="0.75">
      <c r="A48" s="26"/>
      <c r="B48" s="29"/>
      <c r="C48" s="29"/>
    </row>
    <row r="49" spans="1:3" ht="23" x14ac:dyDescent="0.75">
      <c r="A49" s="26"/>
      <c r="B49" s="29"/>
      <c r="C49" s="29"/>
    </row>
    <row r="50" spans="1:3" ht="23" x14ac:dyDescent="0.75">
      <c r="A50" s="26"/>
      <c r="B50" s="29"/>
      <c r="C50" s="29"/>
    </row>
    <row r="51" spans="1:3" ht="23" x14ac:dyDescent="0.75">
      <c r="A51" s="26"/>
      <c r="B51" s="29"/>
      <c r="C51" s="29"/>
    </row>
    <row r="52" spans="1:3" ht="23" x14ac:dyDescent="0.75">
      <c r="A52" s="26"/>
      <c r="B52" s="29"/>
      <c r="C52" s="29"/>
    </row>
    <row r="53" spans="1:3" ht="23" x14ac:dyDescent="0.75">
      <c r="A53" s="26"/>
      <c r="B53" s="29"/>
      <c r="C53" s="29"/>
    </row>
    <row r="54" spans="1:3" ht="23" x14ac:dyDescent="0.75">
      <c r="A54" s="26"/>
      <c r="B54" s="29"/>
      <c r="C54" s="29"/>
    </row>
    <row r="55" spans="1:3" ht="23" x14ac:dyDescent="0.75">
      <c r="A55" s="26"/>
      <c r="B55" s="29"/>
      <c r="C55" s="29"/>
    </row>
    <row r="56" spans="1:3" ht="23" x14ac:dyDescent="0.75">
      <c r="A56" s="26"/>
      <c r="B56" s="29"/>
      <c r="C56" s="29"/>
    </row>
    <row r="57" spans="1:3" ht="23" x14ac:dyDescent="0.75">
      <c r="A57" s="26"/>
      <c r="B57" s="29"/>
      <c r="C57" s="29"/>
    </row>
    <row r="58" spans="1:3" ht="23" x14ac:dyDescent="0.75">
      <c r="A58" s="26"/>
      <c r="B58" s="29"/>
      <c r="C58" s="29"/>
    </row>
    <row r="59" spans="1:3" ht="23" x14ac:dyDescent="0.75">
      <c r="A59" s="26"/>
      <c r="B59" s="29"/>
      <c r="C59" s="29"/>
    </row>
    <row r="60" spans="1:3" ht="23" x14ac:dyDescent="0.75">
      <c r="A60" s="26"/>
      <c r="B60" s="29"/>
      <c r="C60" s="29"/>
    </row>
    <row r="61" spans="1:3" ht="23" x14ac:dyDescent="0.75">
      <c r="A61" s="26"/>
      <c r="B61" s="29"/>
      <c r="C61" s="29"/>
    </row>
    <row r="62" spans="1:3" ht="23" x14ac:dyDescent="0.75">
      <c r="A62" s="26"/>
      <c r="B62" s="29"/>
      <c r="C62" s="29"/>
    </row>
    <row r="63" spans="1:3" ht="23" x14ac:dyDescent="0.75">
      <c r="A63" s="26"/>
      <c r="B63" s="29"/>
      <c r="C63" s="29"/>
    </row>
    <row r="64" spans="1:3" ht="23" x14ac:dyDescent="0.75">
      <c r="A64" s="26"/>
      <c r="B64" s="29"/>
      <c r="C64" s="29"/>
    </row>
    <row r="65" spans="1:3" ht="23" x14ac:dyDescent="0.75">
      <c r="A65" s="26"/>
      <c r="B65" s="29"/>
      <c r="C65" s="29"/>
    </row>
    <row r="66" spans="1:3" ht="23" x14ac:dyDescent="0.75">
      <c r="A66" s="26"/>
      <c r="B66" s="29"/>
      <c r="C66" s="29"/>
    </row>
    <row r="67" spans="1:3" ht="23" x14ac:dyDescent="0.75">
      <c r="A67" s="26"/>
      <c r="B67" s="29"/>
      <c r="C67" s="29"/>
    </row>
    <row r="68" spans="1:3" ht="23" x14ac:dyDescent="0.75">
      <c r="A68" s="26"/>
      <c r="B68" s="29"/>
      <c r="C68" s="29"/>
    </row>
    <row r="69" spans="1:3" ht="23" x14ac:dyDescent="0.75">
      <c r="A69" s="26"/>
      <c r="B69" s="29"/>
      <c r="C69" s="29"/>
    </row>
    <row r="70" spans="1:3" ht="23" x14ac:dyDescent="0.75">
      <c r="A70" s="26"/>
      <c r="B70" s="29"/>
      <c r="C70" s="29"/>
    </row>
    <row r="71" spans="1:3" ht="23" x14ac:dyDescent="0.75">
      <c r="A71" s="26"/>
      <c r="B71" s="29"/>
      <c r="C71" s="29"/>
    </row>
    <row r="72" spans="1:3" ht="23" x14ac:dyDescent="0.75">
      <c r="A72" s="26"/>
      <c r="B72" s="29"/>
      <c r="C72" s="29"/>
    </row>
    <row r="73" spans="1:3" ht="23" x14ac:dyDescent="0.75">
      <c r="A73" s="26"/>
      <c r="B73" s="29"/>
      <c r="C73" s="29"/>
    </row>
    <row r="74" spans="1:3" ht="23" x14ac:dyDescent="0.75">
      <c r="A74" s="26"/>
      <c r="B74" s="29"/>
      <c r="C74" s="29"/>
    </row>
  </sheetData>
  <dataValidations count="1">
    <dataValidation type="list" allowBlank="1" showInputMessage="1" showErrorMessage="1" sqref="F2" xr:uid="{01B8C7FD-9A22-4036-BD1E-C7AD0E7AC7BF}">
      <formula1>$D$2:$D$15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5422-4DC5-486A-8649-B5B98DAA927A}">
  <dimension ref="A1:AE74"/>
  <sheetViews>
    <sheetView rightToLeft="1" zoomScale="96" zoomScaleNormal="96" workbookViewId="0">
      <selection activeCell="E22" sqref="E22"/>
    </sheetView>
  </sheetViews>
  <sheetFormatPr defaultColWidth="9.1796875" defaultRowHeight="14.5" x14ac:dyDescent="0.35"/>
  <cols>
    <col min="1" max="1" width="7.26953125" style="9" customWidth="1"/>
    <col min="2" max="4" width="14.26953125" style="9" customWidth="1"/>
    <col min="5" max="9" width="9.1796875" style="9"/>
    <col min="10" max="13" width="14.26953125" style="9" customWidth="1"/>
    <col min="14" max="16384" width="9.1796875" style="9"/>
  </cols>
  <sheetData>
    <row r="1" spans="1:31" s="2" customFormat="1" ht="23" x14ac:dyDescent="0.35">
      <c r="A1" s="1" t="s">
        <v>0</v>
      </c>
      <c r="B1" s="1" t="s">
        <v>119</v>
      </c>
      <c r="C1" s="1" t="s">
        <v>120</v>
      </c>
      <c r="D1" s="1" t="s">
        <v>121</v>
      </c>
      <c r="E1" s="25"/>
      <c r="F1" s="5"/>
      <c r="G1" s="25"/>
      <c r="H1" s="5"/>
      <c r="I1" s="25"/>
      <c r="J1" s="5"/>
      <c r="K1" s="5"/>
      <c r="L1" s="5"/>
      <c r="M1" s="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s="4" customFormat="1" ht="23" x14ac:dyDescent="0.35">
      <c r="A2" s="30" t="s">
        <v>3</v>
      </c>
      <c r="B2" s="31">
        <v>42.587899999999998</v>
      </c>
      <c r="C2" s="31">
        <v>10.386438</v>
      </c>
      <c r="D2" s="31">
        <v>1.15334</v>
      </c>
      <c r="E2" s="9"/>
      <c r="F2" s="26"/>
      <c r="G2" s="9"/>
      <c r="H2" s="26"/>
      <c r="I2" s="9"/>
      <c r="J2" s="27"/>
      <c r="K2" s="28"/>
      <c r="L2" s="28"/>
      <c r="M2" s="2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s="4" customFormat="1" ht="23" x14ac:dyDescent="0.35">
      <c r="A3" s="30" t="s">
        <v>4</v>
      </c>
      <c r="B3" s="31">
        <v>124.5886</v>
      </c>
      <c r="C3" s="31">
        <v>112.97669599999999</v>
      </c>
      <c r="D3" s="31">
        <v>23.272729999999999</v>
      </c>
      <c r="E3" s="9"/>
      <c r="F3" s="26"/>
      <c r="G3" s="9"/>
      <c r="H3" s="9"/>
      <c r="I3" s="9"/>
      <c r="J3" s="27"/>
      <c r="K3" s="28"/>
      <c r="L3" s="28"/>
      <c r="M3" s="2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4" customFormat="1" ht="23" x14ac:dyDescent="0.35">
      <c r="A4" s="30" t="s">
        <v>5</v>
      </c>
      <c r="B4" s="31">
        <v>103.5865</v>
      </c>
      <c r="C4" s="31">
        <v>147.784863</v>
      </c>
      <c r="D4" s="31">
        <v>0</v>
      </c>
      <c r="E4" s="9"/>
      <c r="F4" s="26"/>
      <c r="G4" s="9"/>
      <c r="H4" s="9"/>
      <c r="I4" s="9"/>
      <c r="J4" s="27"/>
      <c r="K4" s="28"/>
      <c r="L4" s="28"/>
      <c r="M4" s="2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s="4" customFormat="1" ht="23" x14ac:dyDescent="0.35">
      <c r="A5" s="30" t="s">
        <v>6</v>
      </c>
      <c r="B5" s="31">
        <v>51.905000000000001</v>
      </c>
      <c r="C5" s="31">
        <v>67.013599999999997</v>
      </c>
      <c r="D5" s="31">
        <v>12.292321000000001</v>
      </c>
      <c r="E5" s="9"/>
      <c r="F5" s="26"/>
      <c r="G5" s="9"/>
      <c r="H5" s="9"/>
      <c r="I5" s="9"/>
      <c r="J5" s="27"/>
      <c r="K5" s="28"/>
      <c r="L5" s="28"/>
      <c r="M5" s="2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s="4" customFormat="1" ht="23" x14ac:dyDescent="0.35">
      <c r="A6" s="30" t="s">
        <v>7</v>
      </c>
      <c r="B6" s="31">
        <v>44.6798</v>
      </c>
      <c r="C6" s="31">
        <v>46.409067999999998</v>
      </c>
      <c r="D6" s="31">
        <v>65.252418999999989</v>
      </c>
      <c r="E6" s="9"/>
      <c r="F6" s="26"/>
      <c r="G6" s="9"/>
      <c r="H6" s="9"/>
      <c r="I6" s="9"/>
      <c r="J6" s="27"/>
      <c r="K6" s="28"/>
      <c r="L6" s="28"/>
      <c r="M6" s="2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s="4" customFormat="1" ht="23" x14ac:dyDescent="0.35">
      <c r="A7" s="30" t="s">
        <v>8</v>
      </c>
      <c r="B7" s="31">
        <v>78.962400000000002</v>
      </c>
      <c r="C7" s="31">
        <v>150.22808899999998</v>
      </c>
      <c r="D7" s="31">
        <v>5.1571319999999998</v>
      </c>
      <c r="E7" s="9"/>
      <c r="F7" s="26"/>
      <c r="G7" s="9"/>
      <c r="H7" s="9"/>
      <c r="I7" s="9"/>
      <c r="J7" s="27"/>
      <c r="K7" s="28"/>
      <c r="L7" s="28"/>
      <c r="M7" s="2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s="4" customFormat="1" ht="23" x14ac:dyDescent="0.35">
      <c r="A8" s="30" t="s">
        <v>9</v>
      </c>
      <c r="B8" s="31">
        <v>452.69810000000001</v>
      </c>
      <c r="C8" s="31">
        <v>285.43950599999999</v>
      </c>
      <c r="D8" s="31">
        <v>0</v>
      </c>
      <c r="E8" s="9"/>
      <c r="F8" s="26"/>
      <c r="G8" s="9"/>
      <c r="H8" s="9"/>
      <c r="I8" s="9"/>
      <c r="J8" s="27"/>
      <c r="K8" s="28"/>
      <c r="L8" s="28"/>
      <c r="M8" s="2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s="4" customFormat="1" ht="23" x14ac:dyDescent="0.35">
      <c r="A9" s="30" t="s">
        <v>10</v>
      </c>
      <c r="B9" s="31">
        <v>111.2728</v>
      </c>
      <c r="C9" s="31">
        <v>204.81214700000001</v>
      </c>
      <c r="D9" s="31">
        <v>0</v>
      </c>
      <c r="E9" s="9"/>
      <c r="F9" s="26"/>
      <c r="G9" s="9"/>
      <c r="H9" s="9"/>
      <c r="I9" s="9"/>
      <c r="J9" s="27"/>
      <c r="K9" s="28"/>
      <c r="L9" s="28"/>
      <c r="M9" s="2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s="4" customFormat="1" ht="23" x14ac:dyDescent="0.35">
      <c r="A10" s="30" t="s">
        <v>11</v>
      </c>
      <c r="B10" s="31">
        <v>386.35109999999997</v>
      </c>
      <c r="C10" s="31">
        <v>357.86856899999998</v>
      </c>
      <c r="D10" s="31">
        <v>0</v>
      </c>
      <c r="E10" s="9"/>
      <c r="F10" s="26"/>
      <c r="G10" s="9"/>
      <c r="H10" s="9"/>
      <c r="I10" s="9"/>
      <c r="J10" s="27"/>
      <c r="K10" s="28"/>
      <c r="L10" s="28"/>
      <c r="M10" s="2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s="4" customFormat="1" ht="23" x14ac:dyDescent="0.35">
      <c r="A11" s="30" t="s">
        <v>12</v>
      </c>
      <c r="B11" s="31">
        <v>152.72399999999999</v>
      </c>
      <c r="C11" s="31">
        <v>39.023783999999999</v>
      </c>
      <c r="D11" s="31">
        <v>0</v>
      </c>
      <c r="E11" s="9"/>
      <c r="F11" s="26"/>
      <c r="G11" s="9"/>
      <c r="H11" s="9"/>
      <c r="I11" s="9"/>
      <c r="J11" s="27"/>
      <c r="K11" s="28"/>
      <c r="L11" s="28"/>
      <c r="M11" s="2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s="4" customFormat="1" ht="23" x14ac:dyDescent="0.35">
      <c r="A12" s="30" t="s">
        <v>13</v>
      </c>
      <c r="B12" s="31">
        <v>106.37909999999999</v>
      </c>
      <c r="C12" s="31">
        <v>160.71250000000001</v>
      </c>
      <c r="D12" s="31">
        <v>0</v>
      </c>
      <c r="E12" s="9"/>
      <c r="F12" s="26"/>
      <c r="G12" s="9"/>
      <c r="H12" s="9"/>
      <c r="I12" s="9"/>
      <c r="J12" s="27"/>
      <c r="K12" s="28"/>
      <c r="L12" s="28"/>
      <c r="M12" s="2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s="4" customFormat="1" ht="23" x14ac:dyDescent="0.35">
      <c r="A13" s="30" t="s">
        <v>14</v>
      </c>
      <c r="B13" s="31">
        <v>85.039299999999997</v>
      </c>
      <c r="C13" s="31">
        <v>344.33337699999998</v>
      </c>
      <c r="D13" s="31">
        <v>56.337606999999991</v>
      </c>
      <c r="E13" s="9"/>
      <c r="F13" s="26"/>
      <c r="G13" s="9"/>
      <c r="H13" s="9"/>
      <c r="I13" s="9"/>
      <c r="J13" s="27"/>
      <c r="K13" s="28"/>
      <c r="L13" s="28"/>
      <c r="M13" s="2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s="4" customFormat="1" ht="23" x14ac:dyDescent="0.35">
      <c r="A14" s="30" t="s">
        <v>15</v>
      </c>
      <c r="B14" s="31">
        <v>7.2237</v>
      </c>
      <c r="C14" s="31">
        <v>0</v>
      </c>
      <c r="D14" s="31">
        <v>1.2316750000000001</v>
      </c>
      <c r="E14" s="9"/>
      <c r="F14" s="26"/>
      <c r="G14" s="9"/>
      <c r="H14" s="9"/>
      <c r="I14" s="9"/>
      <c r="J14" s="27"/>
      <c r="K14" s="28"/>
      <c r="L14" s="28"/>
      <c r="M14" s="2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s="4" customFormat="1" ht="23" x14ac:dyDescent="0.35">
      <c r="A15" s="30" t="s">
        <v>16</v>
      </c>
      <c r="B15" s="31">
        <v>33.664000000000001</v>
      </c>
      <c r="C15" s="31">
        <v>0</v>
      </c>
      <c r="D15" s="31">
        <v>0</v>
      </c>
      <c r="E15" s="9"/>
      <c r="F15" s="5"/>
      <c r="G15" s="9"/>
      <c r="H15" s="9"/>
      <c r="I15" s="9"/>
      <c r="J15" s="27"/>
      <c r="K15" s="28"/>
      <c r="L15" s="28"/>
      <c r="M15" s="2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ht="23" x14ac:dyDescent="0.75">
      <c r="A16" s="26"/>
      <c r="B16" s="29"/>
      <c r="C16" s="29"/>
      <c r="D16" s="29"/>
      <c r="J16" s="27"/>
      <c r="K16" s="28"/>
      <c r="L16" s="28"/>
      <c r="M16" s="28"/>
    </row>
    <row r="17" spans="1:4" ht="23" x14ac:dyDescent="0.75">
      <c r="A17" s="26"/>
      <c r="B17" s="29"/>
      <c r="C17" s="29"/>
      <c r="D17" s="29"/>
    </row>
    <row r="18" spans="1:4" ht="23" x14ac:dyDescent="0.75">
      <c r="A18" s="26"/>
      <c r="B18" s="29"/>
      <c r="C18" s="29"/>
      <c r="D18" s="29"/>
    </row>
    <row r="19" spans="1:4" ht="23" x14ac:dyDescent="0.75">
      <c r="A19" s="26"/>
      <c r="B19" s="29"/>
      <c r="C19" s="29"/>
      <c r="D19" s="29"/>
    </row>
    <row r="20" spans="1:4" ht="23" x14ac:dyDescent="0.75">
      <c r="A20" s="26"/>
      <c r="B20" s="29"/>
      <c r="C20" s="29"/>
      <c r="D20" s="29"/>
    </row>
    <row r="21" spans="1:4" ht="23" x14ac:dyDescent="0.75">
      <c r="A21" s="26"/>
      <c r="B21" s="29"/>
      <c r="C21" s="29"/>
      <c r="D21" s="29"/>
    </row>
    <row r="22" spans="1:4" ht="23" x14ac:dyDescent="0.75">
      <c r="A22" s="26"/>
      <c r="B22" s="29"/>
      <c r="C22" s="29"/>
      <c r="D22" s="29"/>
    </row>
    <row r="23" spans="1:4" ht="23" x14ac:dyDescent="0.75">
      <c r="A23" s="26"/>
      <c r="B23" s="29"/>
      <c r="C23" s="29"/>
      <c r="D23" s="29"/>
    </row>
    <row r="24" spans="1:4" ht="23" x14ac:dyDescent="0.75">
      <c r="A24" s="26"/>
      <c r="B24" s="29"/>
      <c r="C24" s="29"/>
      <c r="D24" s="29"/>
    </row>
    <row r="25" spans="1:4" ht="23" x14ac:dyDescent="0.75">
      <c r="A25" s="26"/>
      <c r="B25" s="29"/>
      <c r="C25" s="29"/>
      <c r="D25" s="29"/>
    </row>
    <row r="26" spans="1:4" ht="23" x14ac:dyDescent="0.75">
      <c r="A26" s="26"/>
      <c r="B26" s="29"/>
      <c r="C26" s="29"/>
      <c r="D26" s="29"/>
    </row>
    <row r="27" spans="1:4" ht="23" x14ac:dyDescent="0.75">
      <c r="A27" s="26"/>
      <c r="B27" s="29"/>
      <c r="C27" s="29"/>
      <c r="D27" s="29"/>
    </row>
    <row r="28" spans="1:4" ht="23" x14ac:dyDescent="0.75">
      <c r="A28" s="26"/>
      <c r="B28" s="29"/>
      <c r="C28" s="29"/>
      <c r="D28" s="29"/>
    </row>
    <row r="29" spans="1:4" ht="23" x14ac:dyDescent="0.75">
      <c r="A29" s="26"/>
      <c r="B29" s="29"/>
      <c r="C29" s="29"/>
      <c r="D29" s="29"/>
    </row>
    <row r="30" spans="1:4" ht="23" x14ac:dyDescent="0.75">
      <c r="A30" s="26"/>
      <c r="B30" s="29"/>
      <c r="C30" s="29"/>
      <c r="D30" s="29"/>
    </row>
    <row r="31" spans="1:4" ht="23" x14ac:dyDescent="0.75">
      <c r="A31" s="26"/>
      <c r="B31" s="29"/>
      <c r="C31" s="29"/>
      <c r="D31" s="29"/>
    </row>
    <row r="32" spans="1:4" ht="23" x14ac:dyDescent="0.75">
      <c r="A32" s="26"/>
      <c r="B32" s="29"/>
      <c r="C32" s="29"/>
      <c r="D32" s="29"/>
    </row>
    <row r="33" spans="1:4" ht="23" x14ac:dyDescent="0.75">
      <c r="A33" s="26"/>
      <c r="B33" s="29"/>
      <c r="C33" s="29"/>
      <c r="D33" s="29"/>
    </row>
    <row r="34" spans="1:4" ht="23" x14ac:dyDescent="0.75">
      <c r="A34" s="26"/>
      <c r="B34" s="29"/>
      <c r="C34" s="29"/>
      <c r="D34" s="29"/>
    </row>
    <row r="35" spans="1:4" ht="23" x14ac:dyDescent="0.75">
      <c r="A35" s="26"/>
      <c r="B35" s="29"/>
      <c r="C35" s="29"/>
      <c r="D35" s="29"/>
    </row>
    <row r="36" spans="1:4" ht="23" x14ac:dyDescent="0.75">
      <c r="A36" s="26"/>
      <c r="B36" s="29"/>
      <c r="C36" s="29"/>
      <c r="D36" s="29"/>
    </row>
    <row r="37" spans="1:4" ht="23" x14ac:dyDescent="0.75">
      <c r="A37" s="26"/>
      <c r="B37" s="29"/>
      <c r="C37" s="29"/>
      <c r="D37" s="29"/>
    </row>
    <row r="38" spans="1:4" ht="23" x14ac:dyDescent="0.75">
      <c r="A38" s="26"/>
      <c r="B38" s="29"/>
      <c r="C38" s="29"/>
      <c r="D38" s="29"/>
    </row>
    <row r="39" spans="1:4" ht="23" x14ac:dyDescent="0.75">
      <c r="A39" s="26"/>
      <c r="B39" s="29"/>
      <c r="C39" s="29"/>
      <c r="D39" s="29"/>
    </row>
    <row r="40" spans="1:4" ht="23" x14ac:dyDescent="0.75">
      <c r="A40" s="26"/>
      <c r="B40" s="29"/>
      <c r="C40" s="29"/>
      <c r="D40" s="29"/>
    </row>
    <row r="41" spans="1:4" ht="23" x14ac:dyDescent="0.75">
      <c r="A41" s="26"/>
      <c r="B41" s="29"/>
      <c r="C41" s="29"/>
      <c r="D41" s="29"/>
    </row>
    <row r="42" spans="1:4" ht="23" x14ac:dyDescent="0.75">
      <c r="A42" s="26"/>
      <c r="B42" s="29"/>
      <c r="C42" s="29"/>
      <c r="D42" s="29"/>
    </row>
    <row r="43" spans="1:4" ht="23" x14ac:dyDescent="0.75">
      <c r="A43" s="26"/>
      <c r="B43" s="29"/>
      <c r="C43" s="29"/>
      <c r="D43" s="29"/>
    </row>
    <row r="44" spans="1:4" ht="23" x14ac:dyDescent="0.75">
      <c r="A44" s="26"/>
      <c r="B44" s="29"/>
      <c r="C44" s="29"/>
      <c r="D44" s="29"/>
    </row>
    <row r="45" spans="1:4" ht="23" x14ac:dyDescent="0.75">
      <c r="A45" s="26"/>
      <c r="B45" s="29"/>
      <c r="C45" s="29"/>
      <c r="D45" s="29"/>
    </row>
    <row r="46" spans="1:4" ht="23" x14ac:dyDescent="0.75">
      <c r="A46" s="26"/>
      <c r="B46" s="29"/>
      <c r="C46" s="29"/>
      <c r="D46" s="29"/>
    </row>
    <row r="47" spans="1:4" ht="23" x14ac:dyDescent="0.75">
      <c r="A47" s="26"/>
      <c r="B47" s="29"/>
      <c r="C47" s="29"/>
      <c r="D47" s="29"/>
    </row>
    <row r="48" spans="1:4" ht="23" x14ac:dyDescent="0.75">
      <c r="A48" s="26"/>
      <c r="B48" s="29"/>
      <c r="C48" s="29"/>
      <c r="D48" s="29"/>
    </row>
    <row r="49" spans="1:4" ht="23" x14ac:dyDescent="0.75">
      <c r="A49" s="26"/>
      <c r="B49" s="29"/>
      <c r="C49" s="29"/>
      <c r="D49" s="29"/>
    </row>
    <row r="50" spans="1:4" ht="23" x14ac:dyDescent="0.75">
      <c r="A50" s="26"/>
      <c r="B50" s="29"/>
      <c r="C50" s="29"/>
      <c r="D50" s="29"/>
    </row>
    <row r="51" spans="1:4" ht="23" x14ac:dyDescent="0.75">
      <c r="A51" s="26"/>
      <c r="B51" s="29"/>
      <c r="C51" s="29"/>
      <c r="D51" s="29"/>
    </row>
    <row r="52" spans="1:4" ht="23" x14ac:dyDescent="0.75">
      <c r="A52" s="26"/>
      <c r="B52" s="29"/>
      <c r="C52" s="29"/>
      <c r="D52" s="29"/>
    </row>
    <row r="53" spans="1:4" ht="23" x14ac:dyDescent="0.75">
      <c r="A53" s="26"/>
      <c r="B53" s="29"/>
      <c r="C53" s="29"/>
      <c r="D53" s="29"/>
    </row>
    <row r="54" spans="1:4" ht="23" x14ac:dyDescent="0.75">
      <c r="A54" s="26"/>
      <c r="B54" s="29"/>
      <c r="C54" s="29"/>
      <c r="D54" s="29"/>
    </row>
    <row r="55" spans="1:4" ht="23" x14ac:dyDescent="0.75">
      <c r="A55" s="26"/>
      <c r="B55" s="29"/>
      <c r="C55" s="29"/>
      <c r="D55" s="29"/>
    </row>
    <row r="56" spans="1:4" ht="23" x14ac:dyDescent="0.75">
      <c r="A56" s="26"/>
      <c r="B56" s="29"/>
      <c r="C56" s="29"/>
      <c r="D56" s="29"/>
    </row>
    <row r="57" spans="1:4" ht="23" x14ac:dyDescent="0.75">
      <c r="A57" s="26"/>
      <c r="B57" s="29"/>
      <c r="C57" s="29"/>
      <c r="D57" s="29"/>
    </row>
    <row r="58" spans="1:4" ht="23" x14ac:dyDescent="0.75">
      <c r="A58" s="26"/>
      <c r="B58" s="29"/>
      <c r="C58" s="29"/>
      <c r="D58" s="29"/>
    </row>
    <row r="59" spans="1:4" ht="23" x14ac:dyDescent="0.75">
      <c r="A59" s="26"/>
      <c r="B59" s="29"/>
      <c r="C59" s="29"/>
      <c r="D59" s="29"/>
    </row>
    <row r="60" spans="1:4" ht="23" x14ac:dyDescent="0.75">
      <c r="A60" s="26"/>
      <c r="B60" s="29"/>
      <c r="C60" s="29"/>
      <c r="D60" s="29"/>
    </row>
    <row r="61" spans="1:4" ht="23" x14ac:dyDescent="0.75">
      <c r="A61" s="26"/>
      <c r="B61" s="29"/>
      <c r="C61" s="29"/>
      <c r="D61" s="29"/>
    </row>
    <row r="62" spans="1:4" ht="23" x14ac:dyDescent="0.75">
      <c r="A62" s="26"/>
      <c r="B62" s="29"/>
      <c r="C62" s="29"/>
      <c r="D62" s="29"/>
    </row>
    <row r="63" spans="1:4" ht="23" x14ac:dyDescent="0.75">
      <c r="A63" s="26"/>
      <c r="B63" s="29"/>
      <c r="C63" s="29"/>
      <c r="D63" s="29"/>
    </row>
    <row r="64" spans="1:4" ht="23" x14ac:dyDescent="0.75">
      <c r="A64" s="26"/>
      <c r="B64" s="29"/>
      <c r="C64" s="29"/>
      <c r="D64" s="29"/>
    </row>
    <row r="65" spans="1:4" ht="23" x14ac:dyDescent="0.75">
      <c r="A65" s="26"/>
      <c r="B65" s="29"/>
      <c r="C65" s="29"/>
      <c r="D65" s="29"/>
    </row>
    <row r="66" spans="1:4" ht="23" x14ac:dyDescent="0.75">
      <c r="A66" s="26"/>
      <c r="B66" s="29"/>
      <c r="C66" s="29"/>
      <c r="D66" s="29"/>
    </row>
    <row r="67" spans="1:4" ht="23" x14ac:dyDescent="0.75">
      <c r="A67" s="26"/>
      <c r="B67" s="29"/>
      <c r="C67" s="29"/>
      <c r="D67" s="29"/>
    </row>
    <row r="68" spans="1:4" ht="23" x14ac:dyDescent="0.75">
      <c r="A68" s="26"/>
      <c r="B68" s="29"/>
      <c r="C68" s="29"/>
      <c r="D68" s="29"/>
    </row>
    <row r="69" spans="1:4" ht="23" x14ac:dyDescent="0.75">
      <c r="A69" s="26"/>
      <c r="B69" s="29"/>
      <c r="C69" s="29"/>
      <c r="D69" s="29"/>
    </row>
    <row r="70" spans="1:4" ht="23" x14ac:dyDescent="0.75">
      <c r="A70" s="26"/>
      <c r="B70" s="29"/>
      <c r="C70" s="29"/>
      <c r="D70" s="29"/>
    </row>
    <row r="71" spans="1:4" ht="23" x14ac:dyDescent="0.75">
      <c r="A71" s="26"/>
      <c r="B71" s="29"/>
      <c r="C71" s="29"/>
      <c r="D71" s="29"/>
    </row>
    <row r="72" spans="1:4" ht="23" x14ac:dyDescent="0.75">
      <c r="A72" s="26"/>
      <c r="B72" s="29"/>
      <c r="C72" s="29"/>
      <c r="D72" s="29"/>
    </row>
    <row r="73" spans="1:4" ht="23" x14ac:dyDescent="0.75">
      <c r="A73" s="26"/>
      <c r="B73" s="29"/>
      <c r="C73" s="29"/>
      <c r="D73" s="29"/>
    </row>
    <row r="74" spans="1:4" ht="23" x14ac:dyDescent="0.75">
      <c r="A74" s="26"/>
      <c r="B74" s="29"/>
      <c r="C74" s="29"/>
      <c r="D74" s="29"/>
    </row>
  </sheetData>
  <dataValidations count="1">
    <dataValidation type="list" allowBlank="1" showInputMessage="1" showErrorMessage="1" sqref="H2" xr:uid="{A8D2D375-124C-4129-A02C-557008FC5444}">
      <formula1>$F$2:$F$15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مساحت - پیمان</vt:lpstr>
      <vt:lpstr>مساحت - منطقه</vt:lpstr>
      <vt:lpstr>گونه - منطقه</vt:lpstr>
      <vt:lpstr>لکه - منطقه</vt:lpstr>
      <vt:lpstr>آبیاری درخت - منطقه</vt:lpstr>
      <vt:lpstr>آبیاری غیردرخت - منطقه</vt:lpstr>
      <vt:lpstr>درخت و درختچه اصله</vt:lpstr>
      <vt:lpstr>مساحت موجود تفصیلی توسعه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dcterms:created xsi:type="dcterms:W3CDTF">2021-01-09T15:18:33Z</dcterms:created>
  <dcterms:modified xsi:type="dcterms:W3CDTF">2021-01-10T07:39:33Z</dcterms:modified>
</cp:coreProperties>
</file>