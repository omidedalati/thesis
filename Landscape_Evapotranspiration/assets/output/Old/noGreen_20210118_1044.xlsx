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report\"/>
    </mc:Choice>
  </mc:AlternateContent>
  <xr:revisionPtr revIDLastSave="0" documentId="13_ncr:1_{D070D13B-6CF7-493A-889B-C2CE43BDEE32}" xr6:coauthVersionLast="46" xr6:coauthVersionMax="46" xr10:uidLastSave="{00000000-0000-0000-0000-000000000000}"/>
  <bookViews>
    <workbookView xWindow="-110" yWindow="-110" windowWidth="21820" windowHeight="14160" activeTab="2" xr2:uid="{00000000-000D-0000-FFFF-FFFF00000000}"/>
  </bookViews>
  <sheets>
    <sheet name="مساحت غیرسبز" sheetId="1" r:id="rId1"/>
    <sheet name="نمودار" sheetId="2" r:id="rId2"/>
    <sheet name="مساحت نیاز آبیاری" sheetId="3" r:id="rId3"/>
    <sheet name="مساحت نگهداری" sheetId="4" r:id="rId4"/>
  </sheets>
  <calcPr calcId="191029"/>
</workbook>
</file>

<file path=xl/calcChain.xml><?xml version="1.0" encoding="utf-8"?>
<calcChain xmlns="http://schemas.openxmlformats.org/spreadsheetml/2006/main">
  <c r="C17" i="2" l="1"/>
  <c r="D17" i="2"/>
  <c r="L13" i="2"/>
  <c r="L12" i="2"/>
  <c r="L11" i="2"/>
  <c r="L10" i="2"/>
  <c r="L9" i="2"/>
  <c r="L8" i="2"/>
  <c r="L7" i="2"/>
  <c r="L6" i="2"/>
  <c r="L5" i="2"/>
  <c r="L4" i="2"/>
  <c r="L3" i="2"/>
  <c r="K13" i="2"/>
  <c r="K12" i="2"/>
  <c r="K11" i="2"/>
  <c r="K10" i="2"/>
  <c r="K9" i="2"/>
  <c r="K8" i="2"/>
  <c r="K7" i="2"/>
  <c r="K6" i="2"/>
  <c r="K5" i="2"/>
  <c r="K4" i="2"/>
  <c r="K3" i="2"/>
  <c r="J13" i="2"/>
  <c r="J12" i="2"/>
  <c r="J11" i="2"/>
  <c r="J10" i="2"/>
  <c r="J9" i="2"/>
  <c r="J8" i="2"/>
  <c r="J7" i="2"/>
  <c r="J6" i="2"/>
  <c r="J5" i="2"/>
  <c r="J4" i="2"/>
  <c r="J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3" i="2"/>
  <c r="O17" i="1"/>
  <c r="P17" i="1"/>
  <c r="Q17" i="1"/>
  <c r="R17" i="1"/>
  <c r="S17" i="1"/>
  <c r="T17" i="1"/>
  <c r="U17" i="1"/>
  <c r="V17" i="1"/>
  <c r="W17" i="1"/>
  <c r="X17" i="1"/>
  <c r="N17" i="1"/>
  <c r="C17" i="1"/>
  <c r="D17" i="1"/>
  <c r="E17" i="1"/>
  <c r="F17" i="1"/>
  <c r="G17" i="1"/>
  <c r="H17" i="1"/>
  <c r="I17" i="1"/>
  <c r="J17" i="1"/>
  <c r="K17" i="1"/>
  <c r="L17" i="1"/>
  <c r="B17" i="1"/>
  <c r="AA3" i="1"/>
  <c r="AB3" i="1"/>
  <c r="AC3" i="1"/>
  <c r="AD3" i="1"/>
  <c r="AD17" i="1" s="1"/>
  <c r="AE3" i="1"/>
  <c r="AF3" i="1"/>
  <c r="AG3" i="1"/>
  <c r="AH3" i="1"/>
  <c r="AH17" i="1" s="1"/>
  <c r="AI3" i="1"/>
  <c r="AJ3" i="1"/>
  <c r="AA4" i="1"/>
  <c r="AB4" i="1"/>
  <c r="AC4" i="1"/>
  <c r="AD4" i="1"/>
  <c r="AE4" i="1"/>
  <c r="AF4" i="1"/>
  <c r="AG4" i="1"/>
  <c r="AH4" i="1"/>
  <c r="AI4" i="1"/>
  <c r="AJ4" i="1"/>
  <c r="AA5" i="1"/>
  <c r="AB5" i="1"/>
  <c r="AC5" i="1"/>
  <c r="AD5" i="1"/>
  <c r="AE5" i="1"/>
  <c r="AF5" i="1"/>
  <c r="AG5" i="1"/>
  <c r="AH5" i="1"/>
  <c r="AI5" i="1"/>
  <c r="AJ5" i="1"/>
  <c r="AA6" i="1"/>
  <c r="AB6" i="1"/>
  <c r="AC6" i="1"/>
  <c r="AD6" i="1"/>
  <c r="AE6" i="1"/>
  <c r="AF6" i="1"/>
  <c r="AG6" i="1"/>
  <c r="AH6" i="1"/>
  <c r="AI6" i="1"/>
  <c r="AJ6" i="1"/>
  <c r="AA7" i="1"/>
  <c r="AB7" i="1"/>
  <c r="AC7" i="1"/>
  <c r="AD7" i="1"/>
  <c r="AE7" i="1"/>
  <c r="AF7" i="1"/>
  <c r="AG7" i="1"/>
  <c r="AH7" i="1"/>
  <c r="AI7" i="1"/>
  <c r="AJ7" i="1"/>
  <c r="AA8" i="1"/>
  <c r="AB8" i="1"/>
  <c r="AC8" i="1"/>
  <c r="AD8" i="1"/>
  <c r="AE8" i="1"/>
  <c r="AF8" i="1"/>
  <c r="AG8" i="1"/>
  <c r="AH8" i="1"/>
  <c r="AI8" i="1"/>
  <c r="AJ8" i="1"/>
  <c r="AA9" i="1"/>
  <c r="AB9" i="1"/>
  <c r="AC9" i="1"/>
  <c r="AD9" i="1"/>
  <c r="AE9" i="1"/>
  <c r="AF9" i="1"/>
  <c r="AG9" i="1"/>
  <c r="AH9" i="1"/>
  <c r="AI9" i="1"/>
  <c r="AJ9" i="1"/>
  <c r="AA10" i="1"/>
  <c r="AB10" i="1"/>
  <c r="AC10" i="1"/>
  <c r="AD10" i="1"/>
  <c r="AE10" i="1"/>
  <c r="AF10" i="1"/>
  <c r="AG10" i="1"/>
  <c r="AH10" i="1"/>
  <c r="AI10" i="1"/>
  <c r="AJ10" i="1"/>
  <c r="AA11" i="1"/>
  <c r="AB11" i="1"/>
  <c r="AC11" i="1"/>
  <c r="AD11" i="1"/>
  <c r="AE11" i="1"/>
  <c r="AF11" i="1"/>
  <c r="AG11" i="1"/>
  <c r="AH11" i="1"/>
  <c r="AI11" i="1"/>
  <c r="AJ11" i="1"/>
  <c r="AA12" i="1"/>
  <c r="AB12" i="1"/>
  <c r="AC12" i="1"/>
  <c r="AD12" i="1"/>
  <c r="AE12" i="1"/>
  <c r="AF12" i="1"/>
  <c r="AG12" i="1"/>
  <c r="AH12" i="1"/>
  <c r="AI12" i="1"/>
  <c r="AJ12" i="1"/>
  <c r="AA13" i="1"/>
  <c r="AB13" i="1"/>
  <c r="AC13" i="1"/>
  <c r="AD13" i="1"/>
  <c r="AE13" i="1"/>
  <c r="AF13" i="1"/>
  <c r="AG13" i="1"/>
  <c r="AH13" i="1"/>
  <c r="AI13" i="1"/>
  <c r="AJ13" i="1"/>
  <c r="AA14" i="1"/>
  <c r="AB14" i="1"/>
  <c r="AC14" i="1"/>
  <c r="AD14" i="1"/>
  <c r="AE14" i="1"/>
  <c r="AF14" i="1"/>
  <c r="AG14" i="1"/>
  <c r="AH14" i="1"/>
  <c r="AI14" i="1"/>
  <c r="AJ14" i="1"/>
  <c r="AA15" i="1"/>
  <c r="AB15" i="1"/>
  <c r="AC15" i="1"/>
  <c r="AD15" i="1"/>
  <c r="AE15" i="1"/>
  <c r="AF15" i="1"/>
  <c r="AG15" i="1"/>
  <c r="AH15" i="1"/>
  <c r="AI15" i="1"/>
  <c r="AJ15" i="1"/>
  <c r="AA16" i="1"/>
  <c r="AB16" i="1"/>
  <c r="AC16" i="1"/>
  <c r="AD16" i="1"/>
  <c r="AE16" i="1"/>
  <c r="AF16" i="1"/>
  <c r="AG16" i="1"/>
  <c r="AH16" i="1"/>
  <c r="AI16" i="1"/>
  <c r="AJ16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3" i="1"/>
  <c r="K15" i="2" l="1"/>
  <c r="J15" i="2"/>
  <c r="K14" i="2"/>
  <c r="J14" i="2"/>
  <c r="F17" i="2"/>
  <c r="E17" i="2"/>
  <c r="G17" i="2" s="1"/>
  <c r="AK7" i="1"/>
  <c r="AK10" i="1"/>
  <c r="AK5" i="1"/>
  <c r="AJ17" i="1"/>
  <c r="AF17" i="1"/>
  <c r="AB17" i="1"/>
  <c r="AK15" i="1"/>
  <c r="AK11" i="1"/>
  <c r="AK14" i="1"/>
  <c r="AK6" i="1"/>
  <c r="AK16" i="1"/>
  <c r="AK12" i="1"/>
  <c r="AK8" i="1"/>
  <c r="M17" i="1"/>
  <c r="Y17" i="1"/>
  <c r="Z17" i="1"/>
  <c r="AK13" i="1"/>
  <c r="AK9" i="1"/>
  <c r="AG17" i="1"/>
  <c r="AC17" i="1"/>
  <c r="AI17" i="1"/>
  <c r="AE17" i="1"/>
  <c r="AA17" i="1"/>
  <c r="AK3" i="1"/>
  <c r="AK4" i="1"/>
  <c r="L15" i="2" l="1"/>
  <c r="L14" i="2"/>
  <c r="AK17" i="1"/>
</calcChain>
</file>

<file path=xl/sharedStrings.xml><?xml version="1.0" encoding="utf-8"?>
<sst xmlns="http://schemas.openxmlformats.org/spreadsheetml/2006/main" count="65" uniqueCount="24">
  <si>
    <t>منطقه</t>
  </si>
  <si>
    <t>نوع لکه</t>
  </si>
  <si>
    <t>آیلند ها</t>
  </si>
  <si>
    <t>آیلند های بزرگراه</t>
  </si>
  <si>
    <t>جنگل کاری داخل محدوده</t>
  </si>
  <si>
    <t>حاشیه معابر</t>
  </si>
  <si>
    <t>حاشیه های بزرگراه</t>
  </si>
  <si>
    <t>لچکی ها</t>
  </si>
  <si>
    <t>میادین</t>
  </si>
  <si>
    <t>پارک های بالای 10 هکتار</t>
  </si>
  <si>
    <t>پارک های بین 6 تا 10 هکتار</t>
  </si>
  <si>
    <t>پارک های زیر 6 هکتار</t>
  </si>
  <si>
    <t>کمربند سبز حفاظتی</t>
  </si>
  <si>
    <t>مجموع</t>
  </si>
  <si>
    <t>مساحت معابر (هکتار)</t>
  </si>
  <si>
    <t>مساحت لکه (هکتار)</t>
  </si>
  <si>
    <t>نسبت معابر به مساحت لکه (%)</t>
  </si>
  <si>
    <t>میانگین</t>
  </si>
  <si>
    <t>میانگین نسبت معابر به مساحت لکه (%)</t>
  </si>
  <si>
    <t>مجموع مساحت معابر (هکتار)</t>
  </si>
  <si>
    <t>مجموع مساحت لکه (هکتار)</t>
  </si>
  <si>
    <t xml:space="preserve">فقط پارک ها </t>
  </si>
  <si>
    <t>مجموع مساحت محاسبه نیاز آبیاری (هکتار)</t>
  </si>
  <si>
    <t>مجموع مساحت نگهداری فضای سبز (هکتار)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</si>
</sst>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B Koodak"/>
      <charset val="178"/>
    </font>
    <font>
      <sz val="11"/>
      <color theme="1"/>
      <name val="B Koodak"/>
      <charset val="178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dotted">
        <color auto="1"/>
      </right>
      <top style="medium">
        <color indexed="64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ck">
        <color auto="1"/>
      </right>
      <top/>
      <bottom/>
      <diagonal/>
    </border>
    <border>
      <left style="thick">
        <color auto="1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ck">
        <color auto="1"/>
      </right>
      <top style="dotted">
        <color auto="1"/>
      </top>
      <bottom/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/>
      <diagonal/>
    </border>
    <border>
      <left/>
      <right style="thick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64" fontId="3" fillId="4" borderId="11" xfId="1" applyNumberFormat="1" applyFont="1" applyFill="1" applyBorder="1" applyAlignment="1">
      <alignment horizontal="center" vertical="center"/>
    </xf>
    <xf numFmtId="164" fontId="3" fillId="4" borderId="12" xfId="1" applyNumberFormat="1" applyFont="1" applyFill="1" applyBorder="1" applyAlignment="1">
      <alignment horizontal="center" vertical="center"/>
    </xf>
    <xf numFmtId="164" fontId="3" fillId="4" borderId="14" xfId="1" applyNumberFormat="1" applyFont="1" applyFill="1" applyBorder="1" applyAlignment="1">
      <alignment horizontal="center" vertical="center"/>
    </xf>
    <xf numFmtId="164" fontId="3" fillId="4" borderId="15" xfId="1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top" wrapText="1"/>
    </xf>
    <xf numFmtId="0" fontId="2" fillId="5" borderId="9" xfId="0" applyFont="1" applyFill="1" applyBorder="1" applyAlignment="1">
      <alignment horizontal="center" vertical="top" wrapText="1"/>
    </xf>
    <xf numFmtId="0" fontId="2" fillId="5" borderId="10" xfId="0" applyFont="1" applyFill="1" applyBorder="1" applyAlignment="1">
      <alignment horizontal="center" vertical="top" wrapText="1"/>
    </xf>
    <xf numFmtId="164" fontId="3" fillId="6" borderId="11" xfId="1" applyNumberFormat="1" applyFont="1" applyFill="1" applyBorder="1" applyAlignment="1">
      <alignment horizontal="center" vertical="center"/>
    </xf>
    <xf numFmtId="164" fontId="3" fillId="6" borderId="12" xfId="1" applyNumberFormat="1" applyFont="1" applyFill="1" applyBorder="1" applyAlignment="1">
      <alignment horizontal="center" vertical="center"/>
    </xf>
    <xf numFmtId="164" fontId="3" fillId="6" borderId="14" xfId="1" applyNumberFormat="1" applyFont="1" applyFill="1" applyBorder="1" applyAlignment="1">
      <alignment horizontal="center" vertical="center"/>
    </xf>
    <xf numFmtId="164" fontId="3" fillId="6" borderId="15" xfId="1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top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7" borderId="17" xfId="0" applyFont="1" applyFill="1" applyBorder="1" applyAlignment="1">
      <alignment horizontal="center" vertical="top" wrapText="1"/>
    </xf>
    <xf numFmtId="0" fontId="2" fillId="7" borderId="18" xfId="0" applyFont="1" applyFill="1" applyBorder="1" applyAlignment="1">
      <alignment horizontal="center" vertical="top" wrapText="1"/>
    </xf>
    <xf numFmtId="0" fontId="2" fillId="7" borderId="19" xfId="0" applyFont="1" applyFill="1" applyBorder="1" applyAlignment="1">
      <alignment horizontal="center" vertical="top" wrapText="1"/>
    </xf>
    <xf numFmtId="165" fontId="3" fillId="8" borderId="11" xfId="2" applyNumberFormat="1" applyFont="1" applyFill="1" applyBorder="1" applyAlignment="1">
      <alignment horizontal="center" vertical="center"/>
    </xf>
    <xf numFmtId="165" fontId="3" fillId="8" borderId="12" xfId="1" applyNumberFormat="1" applyFont="1" applyFill="1" applyBorder="1" applyAlignment="1">
      <alignment horizontal="center" vertical="center"/>
    </xf>
    <xf numFmtId="165" fontId="3" fillId="8" borderId="17" xfId="2" applyNumberFormat="1" applyFont="1" applyFill="1" applyBorder="1" applyAlignment="1">
      <alignment horizontal="center" vertical="center"/>
    </xf>
    <xf numFmtId="165" fontId="3" fillId="8" borderId="18" xfId="1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164" fontId="3" fillId="6" borderId="23" xfId="1" applyNumberFormat="1" applyFont="1" applyFill="1" applyBorder="1" applyAlignment="1">
      <alignment horizontal="center" vertical="center"/>
    </xf>
    <xf numFmtId="164" fontId="3" fillId="6" borderId="24" xfId="1" applyNumberFormat="1" applyFont="1" applyFill="1" applyBorder="1" applyAlignment="1">
      <alignment horizontal="center" vertical="center"/>
    </xf>
    <xf numFmtId="164" fontId="3" fillId="4" borderId="23" xfId="1" applyNumberFormat="1" applyFont="1" applyFill="1" applyBorder="1" applyAlignment="1">
      <alignment horizontal="center" vertical="center"/>
    </xf>
    <xf numFmtId="164" fontId="3" fillId="4" borderId="24" xfId="1" applyNumberFormat="1" applyFont="1" applyFill="1" applyBorder="1" applyAlignment="1">
      <alignment horizontal="center" vertical="center"/>
    </xf>
    <xf numFmtId="165" fontId="3" fillId="8" borderId="23" xfId="2" applyNumberFormat="1" applyFont="1" applyFill="1" applyBorder="1" applyAlignment="1">
      <alignment horizontal="center" vertical="center"/>
    </xf>
    <xf numFmtId="165" fontId="3" fillId="8" borderId="24" xfId="1" applyNumberFormat="1" applyFont="1" applyFill="1" applyBorder="1" applyAlignment="1">
      <alignment horizontal="center" vertical="center"/>
    </xf>
    <xf numFmtId="0" fontId="3" fillId="2" borderId="26" xfId="0" applyNumberFormat="1" applyFont="1" applyFill="1" applyBorder="1" applyAlignment="1">
      <alignment horizontal="center" vertical="center"/>
    </xf>
    <xf numFmtId="164" fontId="3" fillId="6" borderId="27" xfId="1" applyNumberFormat="1" applyFont="1" applyFill="1" applyBorder="1" applyAlignment="1">
      <alignment horizontal="center" vertical="center"/>
    </xf>
    <xf numFmtId="164" fontId="3" fillId="6" borderId="28" xfId="1" applyNumberFormat="1" applyFont="1" applyFill="1" applyBorder="1" applyAlignment="1">
      <alignment horizontal="center" vertical="center"/>
    </xf>
    <xf numFmtId="164" fontId="3" fillId="4" borderId="27" xfId="1" applyNumberFormat="1" applyFont="1" applyFill="1" applyBorder="1" applyAlignment="1">
      <alignment horizontal="center" vertical="center"/>
    </xf>
    <xf numFmtId="164" fontId="3" fillId="4" borderId="28" xfId="1" applyNumberFormat="1" applyFont="1" applyFill="1" applyBorder="1" applyAlignment="1">
      <alignment horizontal="center" vertical="center"/>
    </xf>
    <xf numFmtId="165" fontId="3" fillId="8" borderId="27" xfId="2" applyNumberFormat="1" applyFont="1" applyFill="1" applyBorder="1" applyAlignment="1">
      <alignment horizontal="center" vertical="center"/>
    </xf>
    <xf numFmtId="165" fontId="3" fillId="8" borderId="28" xfId="1" applyNumberFormat="1" applyFont="1" applyFill="1" applyBorder="1" applyAlignment="1">
      <alignment horizontal="center" vertical="center"/>
    </xf>
    <xf numFmtId="0" fontId="3" fillId="2" borderId="30" xfId="0" applyNumberFormat="1" applyFont="1" applyFill="1" applyBorder="1" applyAlignment="1">
      <alignment horizontal="center" vertical="center"/>
    </xf>
    <xf numFmtId="164" fontId="3" fillId="6" borderId="31" xfId="1" applyNumberFormat="1" applyFont="1" applyFill="1" applyBorder="1" applyAlignment="1">
      <alignment horizontal="center" vertical="center"/>
    </xf>
    <xf numFmtId="164" fontId="3" fillId="6" borderId="32" xfId="1" applyNumberFormat="1" applyFont="1" applyFill="1" applyBorder="1" applyAlignment="1">
      <alignment horizontal="center" vertical="center"/>
    </xf>
    <xf numFmtId="164" fontId="3" fillId="4" borderId="31" xfId="1" applyNumberFormat="1" applyFont="1" applyFill="1" applyBorder="1" applyAlignment="1">
      <alignment horizontal="center" vertical="center"/>
    </xf>
    <xf numFmtId="164" fontId="3" fillId="4" borderId="32" xfId="1" applyNumberFormat="1" applyFont="1" applyFill="1" applyBorder="1" applyAlignment="1">
      <alignment horizontal="center" vertical="center"/>
    </xf>
    <xf numFmtId="165" fontId="3" fillId="8" borderId="31" xfId="2" applyNumberFormat="1" applyFont="1" applyFill="1" applyBorder="1" applyAlignment="1">
      <alignment horizontal="center" vertical="center"/>
    </xf>
    <xf numFmtId="165" fontId="3" fillId="8" borderId="32" xfId="1" applyNumberFormat="1" applyFont="1" applyFill="1" applyBorder="1" applyAlignment="1">
      <alignment horizontal="center" vertical="center"/>
    </xf>
    <xf numFmtId="164" fontId="3" fillId="9" borderId="16" xfId="1" applyNumberFormat="1" applyFont="1" applyFill="1" applyBorder="1" applyAlignment="1">
      <alignment horizontal="center" vertical="center"/>
    </xf>
    <xf numFmtId="164" fontId="3" fillId="9" borderId="14" xfId="1" applyNumberFormat="1" applyFont="1" applyFill="1" applyBorder="1" applyAlignment="1">
      <alignment horizontal="center" vertical="center"/>
    </xf>
    <xf numFmtId="164" fontId="3" fillId="9" borderId="15" xfId="1" applyNumberFormat="1" applyFont="1" applyFill="1" applyBorder="1" applyAlignment="1">
      <alignment horizontal="center" vertical="center"/>
    </xf>
    <xf numFmtId="164" fontId="3" fillId="10" borderId="16" xfId="1" applyNumberFormat="1" applyFont="1" applyFill="1" applyBorder="1" applyAlignment="1">
      <alignment horizontal="center" vertical="center"/>
    </xf>
    <xf numFmtId="164" fontId="3" fillId="11" borderId="14" xfId="1" applyNumberFormat="1" applyFont="1" applyFill="1" applyBorder="1" applyAlignment="1">
      <alignment horizontal="center" vertical="center"/>
    </xf>
    <xf numFmtId="164" fontId="3" fillId="11" borderId="15" xfId="1" applyNumberFormat="1" applyFont="1" applyFill="1" applyBorder="1" applyAlignment="1">
      <alignment horizontal="center" vertical="center"/>
    </xf>
    <xf numFmtId="164" fontId="3" fillId="12" borderId="16" xfId="1" applyNumberFormat="1" applyFont="1" applyFill="1" applyBorder="1" applyAlignment="1">
      <alignment horizontal="center" vertical="center"/>
    </xf>
    <xf numFmtId="164" fontId="3" fillId="9" borderId="25" xfId="1" applyNumberFormat="1" applyFont="1" applyFill="1" applyBorder="1" applyAlignment="1">
      <alignment horizontal="center" vertical="center"/>
    </xf>
    <xf numFmtId="164" fontId="3" fillId="9" borderId="13" xfId="1" applyNumberFormat="1" applyFont="1" applyFill="1" applyBorder="1" applyAlignment="1">
      <alignment horizontal="center" vertical="center"/>
    </xf>
    <xf numFmtId="164" fontId="3" fillId="9" borderId="29" xfId="1" applyNumberFormat="1" applyFont="1" applyFill="1" applyBorder="1" applyAlignment="1">
      <alignment horizontal="center" vertical="center"/>
    </xf>
    <xf numFmtId="164" fontId="3" fillId="9" borderId="33" xfId="1" applyNumberFormat="1" applyFont="1" applyFill="1" applyBorder="1" applyAlignment="1">
      <alignment horizontal="center" vertical="center"/>
    </xf>
    <xf numFmtId="164" fontId="3" fillId="11" borderId="25" xfId="1" applyNumberFormat="1" applyFont="1" applyFill="1" applyBorder="1" applyAlignment="1">
      <alignment horizontal="center" vertical="center"/>
    </xf>
    <xf numFmtId="164" fontId="3" fillId="11" borderId="13" xfId="1" applyNumberFormat="1" applyFont="1" applyFill="1" applyBorder="1" applyAlignment="1">
      <alignment horizontal="center" vertical="center"/>
    </xf>
    <xf numFmtId="164" fontId="3" fillId="11" borderId="29" xfId="1" applyNumberFormat="1" applyFont="1" applyFill="1" applyBorder="1" applyAlignment="1">
      <alignment horizontal="center" vertical="center"/>
    </xf>
    <xf numFmtId="164" fontId="3" fillId="11" borderId="33" xfId="1" applyNumberFormat="1" applyFont="1" applyFill="1" applyBorder="1" applyAlignment="1">
      <alignment horizontal="center" vertical="center"/>
    </xf>
    <xf numFmtId="164" fontId="3" fillId="11" borderId="16" xfId="1" applyNumberFormat="1" applyFont="1" applyFill="1" applyBorder="1" applyAlignment="1">
      <alignment horizontal="center" vertical="center"/>
    </xf>
    <xf numFmtId="165" fontId="3" fillId="13" borderId="17" xfId="2" applyNumberFormat="1" applyFont="1" applyFill="1" applyBorder="1" applyAlignment="1">
      <alignment horizontal="center" vertical="center"/>
    </xf>
    <xf numFmtId="165" fontId="3" fillId="13" borderId="18" xfId="1" applyNumberFormat="1" applyFont="1" applyFill="1" applyBorder="1" applyAlignment="1">
      <alignment horizontal="center" vertical="center"/>
    </xf>
    <xf numFmtId="165" fontId="3" fillId="13" borderId="25" xfId="1" applyNumberFormat="1" applyFont="1" applyFill="1" applyBorder="1" applyAlignment="1">
      <alignment horizontal="center" vertical="center"/>
    </xf>
    <xf numFmtId="165" fontId="3" fillId="13" borderId="13" xfId="1" applyNumberFormat="1" applyFont="1" applyFill="1" applyBorder="1" applyAlignment="1">
      <alignment horizontal="center" vertical="center"/>
    </xf>
    <xf numFmtId="165" fontId="3" fillId="13" borderId="29" xfId="1" applyNumberFormat="1" applyFont="1" applyFill="1" applyBorder="1" applyAlignment="1">
      <alignment horizontal="center" vertical="center"/>
    </xf>
    <xf numFmtId="165" fontId="3" fillId="13" borderId="33" xfId="1" applyNumberFormat="1" applyFont="1" applyFill="1" applyBorder="1" applyAlignment="1">
      <alignment horizontal="center" vertical="center"/>
    </xf>
    <xf numFmtId="165" fontId="3" fillId="13" borderId="19" xfId="1" applyNumberFormat="1" applyFont="1" applyFill="1" applyBorder="1" applyAlignment="1">
      <alignment horizontal="center" vertical="center"/>
    </xf>
    <xf numFmtId="43" fontId="0" fillId="2" borderId="0" xfId="0" applyNumberFormat="1" applyFill="1"/>
    <xf numFmtId="165" fontId="0" fillId="2" borderId="0" xfId="2" applyNumberFormat="1" applyFont="1" applyFill="1"/>
    <xf numFmtId="165" fontId="3" fillId="14" borderId="19" xfId="1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164" fontId="3" fillId="10" borderId="34" xfId="1" applyNumberFormat="1" applyFont="1" applyFill="1" applyBorder="1" applyAlignment="1">
      <alignment horizontal="center" vertical="center"/>
    </xf>
    <xf numFmtId="164" fontId="3" fillId="12" borderId="34" xfId="1" applyNumberFormat="1" applyFont="1" applyFill="1" applyBorder="1" applyAlignment="1">
      <alignment horizontal="center" vertical="center"/>
    </xf>
    <xf numFmtId="165" fontId="3" fillId="14" borderId="34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2" fillId="5" borderId="34" xfId="0" applyFont="1" applyFill="1" applyBorder="1" applyAlignment="1">
      <alignment horizontal="center" vertical="top" wrapText="1"/>
    </xf>
    <xf numFmtId="0" fontId="2" fillId="3" borderId="34" xfId="0" applyFont="1" applyFill="1" applyBorder="1" applyAlignment="1">
      <alignment horizontal="center" vertical="top" wrapText="1"/>
    </xf>
    <xf numFmtId="0" fontId="2" fillId="7" borderId="34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/>
    </xf>
    <xf numFmtId="0" fontId="2" fillId="3" borderId="21" xfId="0" applyFont="1" applyFill="1" applyBorder="1" applyAlignment="1">
      <alignment horizontal="center" vertical="top"/>
    </xf>
    <xf numFmtId="0" fontId="2" fillId="3" borderId="2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2" fillId="5" borderId="6" xfId="0" applyFont="1" applyFill="1" applyBorder="1" applyAlignment="1">
      <alignment horizontal="center" vertical="top"/>
    </xf>
    <xf numFmtId="0" fontId="3" fillId="2" borderId="3" xfId="0" applyNumberFormat="1" applyFont="1" applyFill="1" applyBorder="1" applyAlignment="1">
      <alignment horizontal="right" vertical="center" indent="1"/>
    </xf>
    <xf numFmtId="0" fontId="3" fillId="2" borderId="1" xfId="0" applyNumberFormat="1" applyFont="1" applyFill="1" applyBorder="1" applyAlignment="1">
      <alignment horizontal="right" vertical="center" indent="1"/>
    </xf>
    <xf numFmtId="0" fontId="3" fillId="2" borderId="26" xfId="0" applyNumberFormat="1" applyFont="1" applyFill="1" applyBorder="1" applyAlignment="1">
      <alignment horizontal="right" vertical="center" indent="1"/>
    </xf>
    <xf numFmtId="0" fontId="2" fillId="15" borderId="34" xfId="0" applyFont="1" applyFill="1" applyBorder="1" applyAlignment="1">
      <alignment horizontal="center" vertical="top" wrapText="1"/>
    </xf>
    <xf numFmtId="164" fontId="3" fillId="16" borderId="25" xfId="1" applyNumberFormat="1" applyFont="1" applyFill="1" applyBorder="1" applyAlignment="1">
      <alignment horizontal="center" vertical="center"/>
    </xf>
    <xf numFmtId="164" fontId="3" fillId="16" borderId="13" xfId="1" applyNumberFormat="1" applyFont="1" applyFill="1" applyBorder="1" applyAlignment="1">
      <alignment horizontal="center" vertical="center"/>
    </xf>
    <xf numFmtId="164" fontId="3" fillId="16" borderId="29" xfId="1" applyNumberFormat="1" applyFont="1" applyFill="1" applyBorder="1" applyAlignment="1">
      <alignment horizontal="center" vertical="center"/>
    </xf>
    <xf numFmtId="164" fontId="3" fillId="16" borderId="33" xfId="1" applyNumberFormat="1" applyFont="1" applyFill="1" applyBorder="1" applyAlignment="1">
      <alignment horizontal="center" vertical="center"/>
    </xf>
    <xf numFmtId="164" fontId="3" fillId="16" borderId="16" xfId="1" applyNumberFormat="1" applyFont="1" applyFill="1" applyBorder="1" applyAlignment="1">
      <alignment horizontal="center" vertical="center"/>
    </xf>
    <xf numFmtId="164" fontId="3" fillId="17" borderId="16" xfId="1" applyNumberFormat="1" applyFont="1" applyFill="1" applyBorder="1" applyAlignment="1">
      <alignment horizontal="center" vertical="center"/>
    </xf>
    <xf numFmtId="0" fontId="2" fillId="18" borderId="34" xfId="0" applyFont="1" applyFill="1" applyBorder="1" applyAlignment="1">
      <alignment horizontal="center" vertical="top" wrapText="1"/>
    </xf>
    <xf numFmtId="0" fontId="3" fillId="20" borderId="39" xfId="0" applyNumberFormat="1" applyFont="1" applyFill="1" applyBorder="1" applyAlignment="1">
      <alignment horizontal="center" vertical="center"/>
    </xf>
    <xf numFmtId="164" fontId="3" fillId="19" borderId="35" xfId="1" applyNumberFormat="1" applyFont="1" applyFill="1" applyBorder="1" applyAlignment="1">
      <alignment horizontal="center" vertical="center"/>
    </xf>
    <xf numFmtId="164" fontId="3" fillId="19" borderId="36" xfId="1" applyNumberFormat="1" applyFont="1" applyFill="1" applyBorder="1" applyAlignment="1">
      <alignment horizontal="center" vertical="center"/>
    </xf>
    <xf numFmtId="164" fontId="3" fillId="19" borderId="37" xfId="1" applyNumberFormat="1" applyFont="1" applyFill="1" applyBorder="1" applyAlignment="1">
      <alignment horizontal="center" vertical="center"/>
    </xf>
    <xf numFmtId="164" fontId="3" fillId="19" borderId="38" xfId="1" applyNumberFormat="1" applyFont="1" applyFill="1" applyBorder="1" applyAlignment="1">
      <alignment horizontal="center" vertical="center"/>
    </xf>
    <xf numFmtId="164" fontId="3" fillId="19" borderId="39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B Koodak" panose="00000700000000000000" pitchFamily="2" charset="-78"/>
              </a:defRPr>
            </a:pPr>
            <a:r>
              <a:rPr lang="fa-IR" sz="1600" b="1">
                <a:solidFill>
                  <a:schemeClr val="tx1"/>
                </a:solidFill>
                <a:cs typeface="B Koodak" panose="00000700000000000000" pitchFamily="2" charset="-78"/>
              </a:rPr>
              <a:t>مقایسه مساحت‏ها</a:t>
            </a:r>
            <a:endParaRPr lang="en-US" sz="1600" b="1">
              <a:solidFill>
                <a:schemeClr val="tx1"/>
              </a:solidFill>
              <a:cs typeface="B Koodak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B Koodak" panose="00000700000000000000" pitchFamily="2" charset="-78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2"/>
          <c:tx>
            <c:strRef>
              <c:f>نمودار!$E$2</c:f>
              <c:strCache>
                <c:ptCount val="1"/>
                <c:pt idx="0">
                  <c:v>مجموع مساحت لکه (هکتار)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rgbClr val="FF0000"/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BA-4EB6-A57B-43DC2430E93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9144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نمودار!$B$3:$B$16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numCache>
            </c:numRef>
          </c:cat>
          <c:val>
            <c:numRef>
              <c:f>نمودار!$E$3:$E$16</c:f>
              <c:numCache>
                <c:formatCode>_(* #,##0.0_);_(* \(#,##0.0\);_(* "-"??_);_(@_)</c:formatCode>
                <c:ptCount val="14"/>
                <c:pt idx="0">
                  <c:v>49.140099999999997</c:v>
                </c:pt>
                <c:pt idx="1">
                  <c:v>166.43180000000001</c:v>
                </c:pt>
                <c:pt idx="2">
                  <c:v>146.417824</c:v>
                </c:pt>
                <c:pt idx="3">
                  <c:v>73.116900000000001</c:v>
                </c:pt>
                <c:pt idx="4">
                  <c:v>67.527649999999994</c:v>
                </c:pt>
                <c:pt idx="5">
                  <c:v>104.71810000000001</c:v>
                </c:pt>
                <c:pt idx="6">
                  <c:v>498.19287999999995</c:v>
                </c:pt>
                <c:pt idx="7">
                  <c:v>151.60104999999999</c:v>
                </c:pt>
                <c:pt idx="8">
                  <c:v>445.79149999999998</c:v>
                </c:pt>
                <c:pt idx="9">
                  <c:v>197.35444999999999</c:v>
                </c:pt>
                <c:pt idx="10">
                  <c:v>148.62040000000002</c:v>
                </c:pt>
                <c:pt idx="11">
                  <c:v>99.859716666666642</c:v>
                </c:pt>
                <c:pt idx="12">
                  <c:v>10.452269999999999</c:v>
                </c:pt>
                <c:pt idx="13">
                  <c:v>33.7624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A-4EB6-A57B-43DC2430E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99583952"/>
        <c:axId val="899584784"/>
      </c:barChart>
      <c:barChart>
        <c:barDir val="col"/>
        <c:grouping val="stacked"/>
        <c:varyColors val="0"/>
        <c:ser>
          <c:idx val="0"/>
          <c:order val="0"/>
          <c:tx>
            <c:strRef>
              <c:f>نمودار!$D$2</c:f>
              <c:strCache>
                <c:ptCount val="1"/>
                <c:pt idx="0">
                  <c:v>مجموع مساحت محاسبه نیاز آبیاری (هکتار)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نمودار!$B$3:$B$16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numCache>
            </c:numRef>
          </c:cat>
          <c:val>
            <c:numRef>
              <c:f>نمودار!$D$3:$D$16</c:f>
              <c:numCache>
                <c:formatCode>_(* #,##0.0_);_(* \(#,##0.0\);_(* "-"??_);_(@_)</c:formatCode>
                <c:ptCount val="14"/>
                <c:pt idx="0">
                  <c:v>44.961444338682611</c:v>
                </c:pt>
                <c:pt idx="1">
                  <c:v>128.31015849339019</c:v>
                </c:pt>
                <c:pt idx="2">
                  <c:v>103.6064933887299</c:v>
                </c:pt>
                <c:pt idx="3">
                  <c:v>61.494784349558167</c:v>
                </c:pt>
                <c:pt idx="4">
                  <c:v>55.680299853927153</c:v>
                </c:pt>
                <c:pt idx="5">
                  <c:v>84.709248549526109</c:v>
                </c:pt>
                <c:pt idx="6">
                  <c:v>340.59345198686083</c:v>
                </c:pt>
                <c:pt idx="7">
                  <c:v>95.76985784994099</c:v>
                </c:pt>
                <c:pt idx="8">
                  <c:v>293.21437845798607</c:v>
                </c:pt>
                <c:pt idx="9">
                  <c:v>154.71294295589769</c:v>
                </c:pt>
                <c:pt idx="10">
                  <c:v>129.3502296792675</c:v>
                </c:pt>
                <c:pt idx="11">
                  <c:v>95.023303678645789</c:v>
                </c:pt>
                <c:pt idx="12">
                  <c:v>8.4318874727844921</c:v>
                </c:pt>
                <c:pt idx="13">
                  <c:v>45.527900000000002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A-4EB6-A57B-43DC2430E938}"/>
            </c:ext>
          </c:extLst>
        </c:ser>
        <c:ser>
          <c:idx val="2"/>
          <c:order val="1"/>
          <c:tx>
            <c:strRef>
              <c:f>نمودار!$F$2</c:f>
              <c:strCache>
                <c:ptCount val="1"/>
                <c:pt idx="0">
                  <c:v>مجموع مساحت معابر (هکتار)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نمودار!$B$3:$B$16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numCache>
            </c:numRef>
          </c:cat>
          <c:val>
            <c:numRef>
              <c:f>نمودار!$F$3:$F$16</c:f>
              <c:numCache>
                <c:formatCode>_(* #,##0.0_);_(* \(#,##0.0\);_(* "-"??_);_(@_)</c:formatCode>
                <c:ptCount val="14"/>
                <c:pt idx="0">
                  <c:v>6.5061999999999998</c:v>
                </c:pt>
                <c:pt idx="1">
                  <c:v>40.392499999999998</c:v>
                </c:pt>
                <c:pt idx="2">
                  <c:v>41.152023999999997</c:v>
                </c:pt>
                <c:pt idx="3">
                  <c:v>21.1265</c:v>
                </c:pt>
                <c:pt idx="4">
                  <c:v>21.75685</c:v>
                </c:pt>
                <c:pt idx="5">
                  <c:v>25.354299999999999</c:v>
                </c:pt>
                <c:pt idx="6">
                  <c:v>43.937179999999998</c:v>
                </c:pt>
                <c:pt idx="7">
                  <c:v>37.32555</c:v>
                </c:pt>
                <c:pt idx="8">
                  <c:v>67.243200000000002</c:v>
                </c:pt>
                <c:pt idx="9">
                  <c:v>41.320150000000019</c:v>
                </c:pt>
                <c:pt idx="10">
                  <c:v>39.689599999999999</c:v>
                </c:pt>
                <c:pt idx="11">
                  <c:v>10.889950000000001</c:v>
                </c:pt>
                <c:pt idx="12">
                  <c:v>1.9483699999999999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BA-4EB6-A57B-43DC2430E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1133761296"/>
        <c:axId val="1133764208"/>
      </c:barChart>
      <c:catAx>
        <c:axId val="89958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899584784"/>
        <c:crosses val="autoZero"/>
        <c:auto val="1"/>
        <c:lblAlgn val="ctr"/>
        <c:lblOffset val="100"/>
        <c:noMultiLvlLbl val="0"/>
      </c:catAx>
      <c:valAx>
        <c:axId val="89958478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B Koodak" panose="00000700000000000000" pitchFamily="2" charset="-78"/>
                  </a:defRPr>
                </a:pPr>
                <a:r>
                  <a:rPr lang="fa-IR" sz="1400" b="1">
                    <a:solidFill>
                      <a:schemeClr val="tx1"/>
                    </a:solidFill>
                    <a:cs typeface="B Koodak" panose="00000700000000000000" pitchFamily="2" charset="-78"/>
                  </a:rPr>
                  <a:t>هکتار</a:t>
                </a:r>
                <a:endParaRPr lang="en-US" sz="1400" b="1">
                  <a:solidFill>
                    <a:schemeClr val="tx1"/>
                  </a:solidFill>
                  <a:cs typeface="B Koodak" panose="000007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B Koodak" panose="00000700000000000000" pitchFamily="2" charset="-78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899583952"/>
        <c:crosses val="autoZero"/>
        <c:crossBetween val="between"/>
      </c:valAx>
      <c:valAx>
        <c:axId val="1133764208"/>
        <c:scaling>
          <c:orientation val="minMax"/>
          <c:max val="600"/>
        </c:scaling>
        <c:delete val="1"/>
        <c:axPos val="r"/>
        <c:numFmt formatCode="_(* #,##0.0_);_(* \(#,##0.0\);_(* &quot;-&quot;??_);_(@_)" sourceLinked="1"/>
        <c:majorTickMark val="none"/>
        <c:minorTickMark val="none"/>
        <c:tickLblPos val="nextTo"/>
        <c:crossAx val="1133761296"/>
        <c:crosses val="max"/>
        <c:crossBetween val="between"/>
      </c:valAx>
      <c:catAx>
        <c:axId val="1133761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3764208"/>
        <c:crosses val="autoZero"/>
        <c:auto val="1"/>
        <c:lblAlgn val="ctr"/>
        <c:lblOffset val="100"/>
        <c:noMultiLvlLbl val="0"/>
      </c:cat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</c:plotArea>
    <c:legend>
      <c:legendPos val="t"/>
      <c:layout>
        <c:manualLayout>
          <c:xMode val="edge"/>
          <c:yMode val="edge"/>
          <c:x val="8.9240772029898399E-2"/>
          <c:y val="7.6197110410807053E-2"/>
          <c:w val="0.89186317099632795"/>
          <c:h val="8.0464777118028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B Koodak" panose="00000700000000000000" pitchFamily="2" charset="-78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cs typeface="B Mitra" panose="00000400000000000000" pitchFamily="2" charset="-78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B Koodak" panose="00000700000000000000" pitchFamily="2" charset="-78"/>
              </a:defRPr>
            </a:pPr>
            <a:r>
              <a:rPr lang="fa-IR" sz="1600" b="1">
                <a:solidFill>
                  <a:schemeClr val="tx1"/>
                </a:solidFill>
                <a:cs typeface="B Koodak" panose="00000700000000000000" pitchFamily="2" charset="-78"/>
              </a:rPr>
              <a:t>مقایسه مساحت‏ها</a:t>
            </a:r>
            <a:endParaRPr lang="en-US" sz="1600" b="1">
              <a:solidFill>
                <a:schemeClr val="tx1"/>
              </a:solidFill>
              <a:cs typeface="B Koodak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B Koodak" panose="00000700000000000000" pitchFamily="2" charset="-78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2"/>
          <c:tx>
            <c:strRef>
              <c:f>نمودار!$E$2</c:f>
              <c:strCache>
                <c:ptCount val="1"/>
                <c:pt idx="0">
                  <c:v>مجموع مساحت لکه (هکتار)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rgbClr val="FF0000"/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3D-4A98-9017-4C2E2C4E81EE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91440" tIns="0" rIns="36576" bIns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نمودار!$B$3:$B$16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numCache>
            </c:numRef>
          </c:cat>
          <c:val>
            <c:numRef>
              <c:f>نمودار!$E$3:$E$16</c:f>
              <c:numCache>
                <c:formatCode>_(* #,##0.0_);_(* \(#,##0.0\);_(* "-"??_);_(@_)</c:formatCode>
                <c:ptCount val="14"/>
                <c:pt idx="0">
                  <c:v>49.140099999999997</c:v>
                </c:pt>
                <c:pt idx="1">
                  <c:v>166.43180000000001</c:v>
                </c:pt>
                <c:pt idx="2">
                  <c:v>146.417824</c:v>
                </c:pt>
                <c:pt idx="3">
                  <c:v>73.116900000000001</c:v>
                </c:pt>
                <c:pt idx="4">
                  <c:v>67.527649999999994</c:v>
                </c:pt>
                <c:pt idx="5">
                  <c:v>104.71810000000001</c:v>
                </c:pt>
                <c:pt idx="6">
                  <c:v>498.19287999999995</c:v>
                </c:pt>
                <c:pt idx="7">
                  <c:v>151.60104999999999</c:v>
                </c:pt>
                <c:pt idx="8">
                  <c:v>445.79149999999998</c:v>
                </c:pt>
                <c:pt idx="9">
                  <c:v>197.35444999999999</c:v>
                </c:pt>
                <c:pt idx="10">
                  <c:v>148.62040000000002</c:v>
                </c:pt>
                <c:pt idx="11">
                  <c:v>99.859716666666642</c:v>
                </c:pt>
                <c:pt idx="12">
                  <c:v>10.452269999999999</c:v>
                </c:pt>
                <c:pt idx="13">
                  <c:v>33.7624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3D-4A98-9017-4C2E2C4E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99583952"/>
        <c:axId val="899584784"/>
      </c:barChart>
      <c:barChart>
        <c:barDir val="col"/>
        <c:grouping val="stacked"/>
        <c:varyColors val="0"/>
        <c:ser>
          <c:idx val="0"/>
          <c:order val="0"/>
          <c:tx>
            <c:strRef>
              <c:f>نمودار!$C$2</c:f>
              <c:strCache>
                <c:ptCount val="1"/>
                <c:pt idx="0">
                  <c:v>مجموع مساحت نگهداری فضای سبز (هکتار)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نمودار!$B$3:$B$16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numCache>
            </c:numRef>
          </c:cat>
          <c:val>
            <c:numRef>
              <c:f>نمودار!$C$3:$C$16</c:f>
              <c:numCache>
                <c:formatCode>_(* #,##0.0_);_(* \(#,##0.0\);_(* "-"??_);_(@_)</c:formatCode>
                <c:ptCount val="14"/>
                <c:pt idx="0">
                  <c:v>42.587899999999998</c:v>
                </c:pt>
                <c:pt idx="1">
                  <c:v>124.5886</c:v>
                </c:pt>
                <c:pt idx="2">
                  <c:v>103.5865</c:v>
                </c:pt>
                <c:pt idx="3">
                  <c:v>51.905000000000001</c:v>
                </c:pt>
                <c:pt idx="4">
                  <c:v>44.6798</c:v>
                </c:pt>
                <c:pt idx="5">
                  <c:v>78.962400000000002</c:v>
                </c:pt>
                <c:pt idx="6">
                  <c:v>452.69810000000001</c:v>
                </c:pt>
                <c:pt idx="7">
                  <c:v>111.2728</c:v>
                </c:pt>
                <c:pt idx="8">
                  <c:v>386.35109999999997</c:v>
                </c:pt>
                <c:pt idx="9">
                  <c:v>152.72399999999999</c:v>
                </c:pt>
                <c:pt idx="10">
                  <c:v>106.37909999999999</c:v>
                </c:pt>
                <c:pt idx="11">
                  <c:v>85.039299999999997</c:v>
                </c:pt>
                <c:pt idx="12">
                  <c:v>7.2237</c:v>
                </c:pt>
                <c:pt idx="13">
                  <c:v>33.664000000000001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3D-4A98-9017-4C2E2C4E81EE}"/>
            </c:ext>
          </c:extLst>
        </c:ser>
        <c:ser>
          <c:idx val="2"/>
          <c:order val="1"/>
          <c:tx>
            <c:strRef>
              <c:f>نمودار!$F$2</c:f>
              <c:strCache>
                <c:ptCount val="1"/>
                <c:pt idx="0">
                  <c:v>مجموع مساحت معابر (هکتار)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نمودار!$B$3:$B$16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numCache>
            </c:numRef>
          </c:cat>
          <c:val>
            <c:numRef>
              <c:f>نمودار!$F$3:$F$16</c:f>
              <c:numCache>
                <c:formatCode>_(* #,##0.0_);_(* \(#,##0.0\);_(* "-"??_);_(@_)</c:formatCode>
                <c:ptCount val="14"/>
                <c:pt idx="0">
                  <c:v>6.5061999999999998</c:v>
                </c:pt>
                <c:pt idx="1">
                  <c:v>40.392499999999998</c:v>
                </c:pt>
                <c:pt idx="2">
                  <c:v>41.152023999999997</c:v>
                </c:pt>
                <c:pt idx="3">
                  <c:v>21.1265</c:v>
                </c:pt>
                <c:pt idx="4">
                  <c:v>21.75685</c:v>
                </c:pt>
                <c:pt idx="5">
                  <c:v>25.354299999999999</c:v>
                </c:pt>
                <c:pt idx="6">
                  <c:v>43.937179999999998</c:v>
                </c:pt>
                <c:pt idx="7">
                  <c:v>37.32555</c:v>
                </c:pt>
                <c:pt idx="8">
                  <c:v>67.243200000000002</c:v>
                </c:pt>
                <c:pt idx="9">
                  <c:v>41.320150000000019</c:v>
                </c:pt>
                <c:pt idx="10">
                  <c:v>39.689599999999999</c:v>
                </c:pt>
                <c:pt idx="11">
                  <c:v>10.889950000000001</c:v>
                </c:pt>
                <c:pt idx="12">
                  <c:v>1.9483699999999999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3D-4A98-9017-4C2E2C4E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1133761296"/>
        <c:axId val="1133764208"/>
      </c:barChart>
      <c:catAx>
        <c:axId val="89958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899584784"/>
        <c:crosses val="autoZero"/>
        <c:auto val="1"/>
        <c:lblAlgn val="ctr"/>
        <c:lblOffset val="100"/>
        <c:noMultiLvlLbl val="0"/>
      </c:catAx>
      <c:valAx>
        <c:axId val="899584784"/>
        <c:scaling>
          <c:orientation val="minMax"/>
          <c:max val="60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B Koodak" panose="00000700000000000000" pitchFamily="2" charset="-78"/>
                  </a:defRPr>
                </a:pPr>
                <a:r>
                  <a:rPr lang="fa-IR" sz="1400" b="1">
                    <a:solidFill>
                      <a:schemeClr val="tx1"/>
                    </a:solidFill>
                    <a:cs typeface="B Koodak" panose="00000700000000000000" pitchFamily="2" charset="-78"/>
                  </a:rPr>
                  <a:t>هکتار</a:t>
                </a:r>
                <a:endParaRPr lang="en-US" sz="1400" b="1">
                  <a:solidFill>
                    <a:schemeClr val="tx1"/>
                  </a:solidFill>
                  <a:cs typeface="B Koodak" panose="000007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B Koodak" panose="00000700000000000000" pitchFamily="2" charset="-78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899583952"/>
        <c:crosses val="autoZero"/>
        <c:crossBetween val="between"/>
      </c:valAx>
      <c:valAx>
        <c:axId val="1133764208"/>
        <c:scaling>
          <c:orientation val="minMax"/>
          <c:max val="600"/>
        </c:scaling>
        <c:delete val="1"/>
        <c:axPos val="r"/>
        <c:numFmt formatCode="_(* #,##0.0_);_(* \(#,##0.0\);_(* &quot;-&quot;??_);_(@_)" sourceLinked="1"/>
        <c:majorTickMark val="none"/>
        <c:minorTickMark val="none"/>
        <c:tickLblPos val="nextTo"/>
        <c:crossAx val="1133761296"/>
        <c:crosses val="max"/>
        <c:crossBetween val="between"/>
      </c:valAx>
      <c:catAx>
        <c:axId val="1133761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3764208"/>
        <c:crosses val="autoZero"/>
        <c:auto val="1"/>
        <c:lblAlgn val="ctr"/>
        <c:lblOffset val="100"/>
        <c:noMultiLvlLbl val="0"/>
      </c:cat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</c:plotArea>
    <c:legend>
      <c:legendPos val="t"/>
      <c:layout>
        <c:manualLayout>
          <c:xMode val="edge"/>
          <c:yMode val="edge"/>
          <c:x val="8.9240772029898399E-2"/>
          <c:y val="7.6197110410807053E-2"/>
          <c:w val="0.89186317099632795"/>
          <c:h val="8.0464777118028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B Koodak" panose="00000700000000000000" pitchFamily="2" charset="-78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cs typeface="B Mitra" panose="00000400000000000000" pitchFamily="2" charset="-78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84E58F-8FE1-4492-8F2D-A970D99BBF0E}">
  <sheetPr/>
  <sheetViews>
    <sheetView tabSelected="1" zoomScale="10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C1FB0C-D5B2-4D24-A27F-7C1203F6A092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877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66599D-518A-406B-906A-5EB587D5E1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877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65347-AF5F-4EE1-A7FE-FA83F720A5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"/>
  <sheetViews>
    <sheetView rightToLeft="1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H20" sqref="AH20"/>
    </sheetView>
  </sheetViews>
  <sheetFormatPr defaultRowHeight="14.5" x14ac:dyDescent="0.35"/>
  <cols>
    <col min="1" max="1" width="8.7265625" style="1"/>
    <col min="2" max="37" width="8.1796875" style="1" customWidth="1"/>
    <col min="38" max="16384" width="8.7265625" style="1"/>
  </cols>
  <sheetData>
    <row r="1" spans="1:38" ht="21" thickTop="1" thickBot="1" x14ac:dyDescent="0.4">
      <c r="A1" s="84" t="s">
        <v>0</v>
      </c>
      <c r="B1" s="86" t="s">
        <v>15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1" t="s">
        <v>14</v>
      </c>
      <c r="O1" s="82"/>
      <c r="P1" s="82"/>
      <c r="Q1" s="82"/>
      <c r="R1" s="82"/>
      <c r="S1" s="82"/>
      <c r="T1" s="82"/>
      <c r="U1" s="82"/>
      <c r="V1" s="82"/>
      <c r="W1" s="82"/>
      <c r="X1" s="82"/>
      <c r="Y1" s="83"/>
      <c r="Z1" s="81" t="s">
        <v>16</v>
      </c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3"/>
    </row>
    <row r="2" spans="1:38" s="2" customFormat="1" ht="80.5" thickBot="1" x14ac:dyDescent="0.4">
      <c r="A2" s="85"/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1" t="s">
        <v>13</v>
      </c>
      <c r="N2" s="16" t="s">
        <v>2</v>
      </c>
      <c r="O2" s="17" t="s">
        <v>3</v>
      </c>
      <c r="P2" s="17" t="s">
        <v>4</v>
      </c>
      <c r="Q2" s="17" t="s">
        <v>5</v>
      </c>
      <c r="R2" s="17" t="s">
        <v>6</v>
      </c>
      <c r="S2" s="17" t="s">
        <v>7</v>
      </c>
      <c r="T2" s="17" t="s">
        <v>8</v>
      </c>
      <c r="U2" s="17" t="s">
        <v>9</v>
      </c>
      <c r="V2" s="17" t="s">
        <v>10</v>
      </c>
      <c r="W2" s="17" t="s">
        <v>11</v>
      </c>
      <c r="X2" s="17" t="s">
        <v>12</v>
      </c>
      <c r="Y2" s="18" t="s">
        <v>13</v>
      </c>
      <c r="Z2" s="19" t="s">
        <v>2</v>
      </c>
      <c r="AA2" s="20" t="s">
        <v>3</v>
      </c>
      <c r="AB2" s="20" t="s">
        <v>4</v>
      </c>
      <c r="AC2" s="20" t="s">
        <v>5</v>
      </c>
      <c r="AD2" s="20" t="s">
        <v>6</v>
      </c>
      <c r="AE2" s="20" t="s">
        <v>7</v>
      </c>
      <c r="AF2" s="20" t="s">
        <v>8</v>
      </c>
      <c r="AG2" s="20" t="s">
        <v>9</v>
      </c>
      <c r="AH2" s="20" t="s">
        <v>10</v>
      </c>
      <c r="AI2" s="20" t="s">
        <v>11</v>
      </c>
      <c r="AJ2" s="20" t="s">
        <v>12</v>
      </c>
      <c r="AK2" s="21" t="s">
        <v>17</v>
      </c>
    </row>
    <row r="3" spans="1:38" ht="17.5" customHeight="1" thickTop="1" x14ac:dyDescent="0.35">
      <c r="A3" s="26">
        <v>1</v>
      </c>
      <c r="B3" s="27">
        <v>8.3923999999999985</v>
      </c>
      <c r="C3" s="28">
        <v>0</v>
      </c>
      <c r="D3" s="28">
        <v>0</v>
      </c>
      <c r="E3" s="28">
        <v>13.770099999999999</v>
      </c>
      <c r="F3" s="28">
        <v>0</v>
      </c>
      <c r="G3" s="28">
        <v>2.0179</v>
      </c>
      <c r="H3" s="28">
        <v>0.86870000000000003</v>
      </c>
      <c r="I3" s="28">
        <v>11.3887</v>
      </c>
      <c r="J3" s="28">
        <v>0</v>
      </c>
      <c r="K3" s="28">
        <v>12.702299999999999</v>
      </c>
      <c r="L3" s="28">
        <v>0</v>
      </c>
      <c r="M3" s="54">
        <f>SUM(B3:L3)</f>
        <v>49.140099999999997</v>
      </c>
      <c r="N3" s="29">
        <v>0.15909999999999999</v>
      </c>
      <c r="O3" s="30">
        <v>0</v>
      </c>
      <c r="P3" s="30">
        <v>0</v>
      </c>
      <c r="Q3" s="30">
        <v>1.44E-2</v>
      </c>
      <c r="R3" s="30">
        <v>0</v>
      </c>
      <c r="S3" s="30">
        <v>0.50120000000000009</v>
      </c>
      <c r="T3" s="30">
        <v>0.2107</v>
      </c>
      <c r="U3" s="30">
        <v>0.56920000000000004</v>
      </c>
      <c r="V3" s="30">
        <v>0</v>
      </c>
      <c r="W3" s="30">
        <v>5.0515999999999996</v>
      </c>
      <c r="X3" s="30">
        <v>0</v>
      </c>
      <c r="Y3" s="58">
        <f>SUM(N3:X3)</f>
        <v>6.5061999999999998</v>
      </c>
      <c r="Z3" s="31">
        <f t="shared" ref="Z3:Z16" si="0">IFERROR(N3/B3,0)</f>
        <v>1.8957628330394168E-2</v>
      </c>
      <c r="AA3" s="32">
        <f t="shared" ref="AA3:AA16" si="1">IFERROR(O3/C3,0)</f>
        <v>0</v>
      </c>
      <c r="AB3" s="32">
        <f t="shared" ref="AB3:AB16" si="2">IFERROR(P3/D3,0)</f>
        <v>0</v>
      </c>
      <c r="AC3" s="32">
        <f t="shared" ref="AC3:AC16" si="3">IFERROR(Q3/E3,0)</f>
        <v>1.0457440396220798E-3</v>
      </c>
      <c r="AD3" s="32">
        <f t="shared" ref="AD3:AD16" si="4">IFERROR(R3/F3,0)</f>
        <v>0</v>
      </c>
      <c r="AE3" s="32">
        <f t="shared" ref="AE3:AE16" si="5">IFERROR(S3/G3,0)</f>
        <v>0.24837702562069483</v>
      </c>
      <c r="AF3" s="32">
        <f t="shared" ref="AF3:AF16" si="6">IFERROR(T3/H3,0)</f>
        <v>0.24254633360193392</v>
      </c>
      <c r="AG3" s="32">
        <f t="shared" ref="AG3:AG16" si="7">IFERROR(U3/I3,0)</f>
        <v>4.9979365511427995E-2</v>
      </c>
      <c r="AH3" s="32">
        <f t="shared" ref="AH3:AH16" si="8">IFERROR(V3/J3,0)</f>
        <v>0</v>
      </c>
      <c r="AI3" s="32">
        <f t="shared" ref="AI3:AI16" si="9">IFERROR(W3/K3,0)</f>
        <v>0.39769175661100747</v>
      </c>
      <c r="AJ3" s="32">
        <f t="shared" ref="AJ3:AJ16" si="10">IFERROR(X3/L3,0)</f>
        <v>0</v>
      </c>
      <c r="AK3" s="65">
        <f t="shared" ref="AK3:AK16" si="11">SUMPRODUCT(Z3:AJ3,B3:L3)/M3</f>
        <v>0.13240103296493089</v>
      </c>
      <c r="AL3" s="71"/>
    </row>
    <row r="4" spans="1:38" ht="17.5" customHeight="1" x14ac:dyDescent="0.35">
      <c r="A4" s="3">
        <v>2</v>
      </c>
      <c r="B4" s="12">
        <v>19.8093</v>
      </c>
      <c r="C4" s="13">
        <v>7.4929999999999994</v>
      </c>
      <c r="D4" s="13">
        <v>16.932700000000001</v>
      </c>
      <c r="E4" s="13">
        <v>10.214</v>
      </c>
      <c r="F4" s="13">
        <v>13.642799999999999</v>
      </c>
      <c r="G4" s="13">
        <v>8.8999000000000024</v>
      </c>
      <c r="H4" s="13">
        <v>8.5430000000000028</v>
      </c>
      <c r="I4" s="13">
        <v>27.013999999999999</v>
      </c>
      <c r="J4" s="13">
        <v>1.0294000000000001</v>
      </c>
      <c r="K4" s="13">
        <v>52.853700000000011</v>
      </c>
      <c r="L4" s="13">
        <v>0</v>
      </c>
      <c r="M4" s="55">
        <f t="shared" ref="M4:M16" si="12">SUM(B4:L4)</f>
        <v>166.43180000000001</v>
      </c>
      <c r="N4" s="5">
        <v>1.6268</v>
      </c>
      <c r="O4" s="6">
        <v>0.64999999999999991</v>
      </c>
      <c r="P4" s="6">
        <v>0</v>
      </c>
      <c r="Q4" s="6">
        <v>4.58E-2</v>
      </c>
      <c r="R4" s="6">
        <v>3.0219</v>
      </c>
      <c r="S4" s="6">
        <v>1.8219000000000001</v>
      </c>
      <c r="T4" s="6">
        <v>0.93340000000000012</v>
      </c>
      <c r="U4" s="6">
        <v>11.422800000000001</v>
      </c>
      <c r="V4" s="6">
        <v>0.34839999999999999</v>
      </c>
      <c r="W4" s="6">
        <v>20.5215</v>
      </c>
      <c r="X4" s="6">
        <v>0</v>
      </c>
      <c r="Y4" s="59">
        <f t="shared" ref="Y4:Y16" si="13">SUM(N4:X4)</f>
        <v>40.392499999999998</v>
      </c>
      <c r="Z4" s="22">
        <f t="shared" si="0"/>
        <v>8.2123043217074809E-2</v>
      </c>
      <c r="AA4" s="23">
        <f t="shared" si="1"/>
        <v>8.6747631122380889E-2</v>
      </c>
      <c r="AB4" s="23">
        <f t="shared" si="2"/>
        <v>0</v>
      </c>
      <c r="AC4" s="23">
        <f t="shared" si="3"/>
        <v>4.4840415116506752E-3</v>
      </c>
      <c r="AD4" s="23">
        <f t="shared" si="4"/>
        <v>0.22150145131497934</v>
      </c>
      <c r="AE4" s="23">
        <f t="shared" si="5"/>
        <v>0.20471016528275593</v>
      </c>
      <c r="AF4" s="23">
        <f t="shared" si="6"/>
        <v>0.10925904249092823</v>
      </c>
      <c r="AG4" s="23">
        <f t="shared" si="7"/>
        <v>0.42284741245280227</v>
      </c>
      <c r="AH4" s="23">
        <f t="shared" si="8"/>
        <v>0.3384495822809403</v>
      </c>
      <c r="AI4" s="23">
        <f t="shared" si="9"/>
        <v>0.38826988460599721</v>
      </c>
      <c r="AJ4" s="23">
        <f t="shared" si="10"/>
        <v>0</v>
      </c>
      <c r="AK4" s="66">
        <f t="shared" si="11"/>
        <v>0.24269700862455371</v>
      </c>
      <c r="AL4" s="71"/>
    </row>
    <row r="5" spans="1:38" ht="17.5" customHeight="1" x14ac:dyDescent="0.35">
      <c r="A5" s="3">
        <v>3</v>
      </c>
      <c r="B5" s="12">
        <v>8.0591999999999988</v>
      </c>
      <c r="C5" s="13">
        <v>5.8331</v>
      </c>
      <c r="D5" s="13">
        <v>1.5659000000000001</v>
      </c>
      <c r="E5" s="13">
        <v>4.7233999999999989</v>
      </c>
      <c r="F5" s="13">
        <v>4.2147000000000006</v>
      </c>
      <c r="G5" s="13">
        <v>0.73599999999999999</v>
      </c>
      <c r="H5" s="13">
        <v>5.4577</v>
      </c>
      <c r="I5" s="13">
        <v>60.664923999999999</v>
      </c>
      <c r="J5" s="13">
        <v>0</v>
      </c>
      <c r="K5" s="13">
        <v>55.1629</v>
      </c>
      <c r="L5" s="13">
        <v>0</v>
      </c>
      <c r="M5" s="55">
        <f t="shared" si="12"/>
        <v>146.417824</v>
      </c>
      <c r="N5" s="5">
        <v>0.51999999999999991</v>
      </c>
      <c r="O5" s="6">
        <v>0</v>
      </c>
      <c r="P5" s="6">
        <v>0.19450000000000001</v>
      </c>
      <c r="Q5" s="6">
        <v>7.4999999999999997E-3</v>
      </c>
      <c r="R5" s="6">
        <v>0.44219999999999998</v>
      </c>
      <c r="S5" s="6">
        <v>0.188</v>
      </c>
      <c r="T5" s="6">
        <v>1.5580000000000001</v>
      </c>
      <c r="U5" s="6">
        <v>15.590424000000001</v>
      </c>
      <c r="V5" s="6">
        <v>0</v>
      </c>
      <c r="W5" s="6">
        <v>22.651399999999999</v>
      </c>
      <c r="X5" s="6">
        <v>0</v>
      </c>
      <c r="Y5" s="59">
        <f t="shared" si="13"/>
        <v>41.152023999999997</v>
      </c>
      <c r="Z5" s="22">
        <f t="shared" si="0"/>
        <v>6.4522533253920988E-2</v>
      </c>
      <c r="AA5" s="23">
        <f t="shared" si="1"/>
        <v>0</v>
      </c>
      <c r="AB5" s="23">
        <f t="shared" si="2"/>
        <v>0.1242097196500415</v>
      </c>
      <c r="AC5" s="23">
        <f t="shared" si="3"/>
        <v>1.5878392683236655E-3</v>
      </c>
      <c r="AD5" s="23">
        <f t="shared" si="4"/>
        <v>0.10491849953733361</v>
      </c>
      <c r="AE5" s="23">
        <f t="shared" si="5"/>
        <v>0.25543478260869568</v>
      </c>
      <c r="AF5" s="23">
        <f t="shared" si="6"/>
        <v>0.2854682375359584</v>
      </c>
      <c r="AG5" s="23">
        <f t="shared" si="7"/>
        <v>0.256992393166107</v>
      </c>
      <c r="AH5" s="23">
        <f t="shared" si="8"/>
        <v>0</v>
      </c>
      <c r="AI5" s="23">
        <f t="shared" si="9"/>
        <v>0.41062743256790341</v>
      </c>
      <c r="AJ5" s="23">
        <f t="shared" si="10"/>
        <v>0</v>
      </c>
      <c r="AK5" s="66">
        <f t="shared" si="11"/>
        <v>0.28105884157928751</v>
      </c>
      <c r="AL5" s="71"/>
    </row>
    <row r="6" spans="1:38" ht="17.5" customHeight="1" x14ac:dyDescent="0.35">
      <c r="A6" s="33">
        <v>4</v>
      </c>
      <c r="B6" s="34">
        <v>3.3967000000000001</v>
      </c>
      <c r="C6" s="35">
        <v>2.2698</v>
      </c>
      <c r="D6" s="35">
        <v>0</v>
      </c>
      <c r="E6" s="35">
        <v>4.3613999999999997</v>
      </c>
      <c r="F6" s="35">
        <v>2.5705</v>
      </c>
      <c r="G6" s="35">
        <v>0.25509999999999999</v>
      </c>
      <c r="H6" s="35">
        <v>3.5994000000000002</v>
      </c>
      <c r="I6" s="35">
        <v>43.9221</v>
      </c>
      <c r="J6" s="35">
        <v>0</v>
      </c>
      <c r="K6" s="35">
        <v>12.741899999999999</v>
      </c>
      <c r="L6" s="35">
        <v>0</v>
      </c>
      <c r="M6" s="56">
        <f t="shared" si="12"/>
        <v>73.116900000000001</v>
      </c>
      <c r="N6" s="36">
        <v>0.42889999999999989</v>
      </c>
      <c r="O6" s="37">
        <v>0</v>
      </c>
      <c r="P6" s="37">
        <v>0</v>
      </c>
      <c r="Q6" s="37">
        <v>0</v>
      </c>
      <c r="R6" s="37">
        <v>0</v>
      </c>
      <c r="S6" s="37">
        <v>2E-3</v>
      </c>
      <c r="T6" s="37">
        <v>5.7599999999999998E-2</v>
      </c>
      <c r="U6" s="37">
        <v>15.5961</v>
      </c>
      <c r="V6" s="37">
        <v>0</v>
      </c>
      <c r="W6" s="37">
        <v>5.0419</v>
      </c>
      <c r="X6" s="37">
        <v>0</v>
      </c>
      <c r="Y6" s="60">
        <f t="shared" si="13"/>
        <v>21.1265</v>
      </c>
      <c r="Z6" s="38">
        <f t="shared" si="0"/>
        <v>0.12626961462596045</v>
      </c>
      <c r="AA6" s="39">
        <f t="shared" si="1"/>
        <v>0</v>
      </c>
      <c r="AB6" s="39">
        <f t="shared" si="2"/>
        <v>0</v>
      </c>
      <c r="AC6" s="39">
        <f t="shared" si="3"/>
        <v>0</v>
      </c>
      <c r="AD6" s="39">
        <f t="shared" si="4"/>
        <v>0</v>
      </c>
      <c r="AE6" s="39">
        <f t="shared" si="5"/>
        <v>7.8400627205017642E-3</v>
      </c>
      <c r="AF6" s="39">
        <f t="shared" si="6"/>
        <v>1.6002667111185198E-2</v>
      </c>
      <c r="AG6" s="39">
        <f t="shared" si="7"/>
        <v>0.35508548088547676</v>
      </c>
      <c r="AH6" s="39">
        <f t="shared" si="8"/>
        <v>0</v>
      </c>
      <c r="AI6" s="39">
        <f t="shared" si="9"/>
        <v>0.39569451965562435</v>
      </c>
      <c r="AJ6" s="39">
        <f t="shared" si="10"/>
        <v>0</v>
      </c>
      <c r="AK6" s="67">
        <f t="shared" si="11"/>
        <v>0.28894140752685082</v>
      </c>
      <c r="AL6" s="71"/>
    </row>
    <row r="7" spans="1:38" ht="17.5" customHeight="1" x14ac:dyDescent="0.35">
      <c r="A7" s="3">
        <v>5</v>
      </c>
      <c r="B7" s="12">
        <v>5.4646999999999997</v>
      </c>
      <c r="C7" s="13">
        <v>6.4672000000000001</v>
      </c>
      <c r="D7" s="13">
        <v>0</v>
      </c>
      <c r="E7" s="13">
        <v>4.3986000000000001</v>
      </c>
      <c r="F7" s="13">
        <v>1.0609</v>
      </c>
      <c r="G7" s="13">
        <v>1.3218000000000001</v>
      </c>
      <c r="H7" s="13">
        <v>0.4118</v>
      </c>
      <c r="I7" s="13">
        <v>16.0152</v>
      </c>
      <c r="J7" s="13">
        <v>0</v>
      </c>
      <c r="K7" s="13">
        <v>32.387450000000001</v>
      </c>
      <c r="L7" s="13">
        <v>0</v>
      </c>
      <c r="M7" s="55">
        <f t="shared" si="12"/>
        <v>67.527649999999994</v>
      </c>
      <c r="N7" s="5">
        <v>0.151</v>
      </c>
      <c r="O7" s="6">
        <v>0</v>
      </c>
      <c r="P7" s="6">
        <v>0</v>
      </c>
      <c r="Q7" s="6">
        <v>0.316</v>
      </c>
      <c r="R7" s="6">
        <v>0.34549999999999997</v>
      </c>
      <c r="S7" s="6">
        <v>0.39</v>
      </c>
      <c r="T7" s="6">
        <v>1.4999999999999999E-2</v>
      </c>
      <c r="U7" s="6">
        <v>7.2009999999999996</v>
      </c>
      <c r="V7" s="6">
        <v>0</v>
      </c>
      <c r="W7" s="6">
        <v>13.33835</v>
      </c>
      <c r="X7" s="6">
        <v>0</v>
      </c>
      <c r="Y7" s="59">
        <f t="shared" si="13"/>
        <v>21.75685</v>
      </c>
      <c r="Z7" s="22">
        <f t="shared" si="0"/>
        <v>2.763189196113236E-2</v>
      </c>
      <c r="AA7" s="23">
        <f t="shared" si="1"/>
        <v>0</v>
      </c>
      <c r="AB7" s="23">
        <f t="shared" si="2"/>
        <v>0</v>
      </c>
      <c r="AC7" s="23">
        <f t="shared" si="3"/>
        <v>7.1841040331014419E-2</v>
      </c>
      <c r="AD7" s="23">
        <f t="shared" si="4"/>
        <v>0.32566688660571214</v>
      </c>
      <c r="AE7" s="23">
        <f t="shared" si="5"/>
        <v>0.29505220154334999</v>
      </c>
      <c r="AF7" s="23">
        <f t="shared" si="6"/>
        <v>3.6425449247207378E-2</v>
      </c>
      <c r="AG7" s="23">
        <f t="shared" si="7"/>
        <v>0.44963534642090014</v>
      </c>
      <c r="AH7" s="23">
        <f t="shared" si="8"/>
        <v>0</v>
      </c>
      <c r="AI7" s="23">
        <f t="shared" si="9"/>
        <v>0.41183699241527194</v>
      </c>
      <c r="AJ7" s="23">
        <f t="shared" si="10"/>
        <v>0</v>
      </c>
      <c r="AK7" s="66">
        <f t="shared" si="11"/>
        <v>0.32219172442695698</v>
      </c>
      <c r="AL7" s="71"/>
    </row>
    <row r="8" spans="1:38" ht="17.5" customHeight="1" x14ac:dyDescent="0.35">
      <c r="A8" s="3">
        <v>6</v>
      </c>
      <c r="B8" s="12">
        <v>10.393000000000001</v>
      </c>
      <c r="C8" s="13">
        <v>14.495699999999999</v>
      </c>
      <c r="D8" s="13">
        <v>0</v>
      </c>
      <c r="E8" s="13">
        <v>4.6978999999999997</v>
      </c>
      <c r="F8" s="13">
        <v>0.8</v>
      </c>
      <c r="G8" s="13">
        <v>4.7618999999999998</v>
      </c>
      <c r="H8" s="13">
        <v>1.3411</v>
      </c>
      <c r="I8" s="13">
        <v>25.258500000000002</v>
      </c>
      <c r="J8" s="13">
        <v>6.8121999999999998</v>
      </c>
      <c r="K8" s="13">
        <v>36.157800000000009</v>
      </c>
      <c r="L8" s="13">
        <v>0</v>
      </c>
      <c r="M8" s="55">
        <f t="shared" si="12"/>
        <v>104.71810000000001</v>
      </c>
      <c r="N8" s="5">
        <v>8.5599999999999996E-2</v>
      </c>
      <c r="O8" s="6">
        <v>0</v>
      </c>
      <c r="P8" s="6">
        <v>0</v>
      </c>
      <c r="Q8" s="6">
        <v>0.35659999999999997</v>
      </c>
      <c r="R8" s="6">
        <v>0</v>
      </c>
      <c r="S8" s="6">
        <v>0.90440000000000009</v>
      </c>
      <c r="T8" s="6">
        <v>0.17030000000000001</v>
      </c>
      <c r="U8" s="6">
        <v>11.7865</v>
      </c>
      <c r="V8" s="6">
        <v>2.5697999999999999</v>
      </c>
      <c r="W8" s="6">
        <v>9.4810999999999979</v>
      </c>
      <c r="X8" s="6">
        <v>0</v>
      </c>
      <c r="Y8" s="59">
        <f t="shared" si="13"/>
        <v>25.354299999999999</v>
      </c>
      <c r="Z8" s="22">
        <f t="shared" si="0"/>
        <v>8.2363129029154221E-3</v>
      </c>
      <c r="AA8" s="23">
        <f t="shared" si="1"/>
        <v>0</v>
      </c>
      <c r="AB8" s="23">
        <f t="shared" si="2"/>
        <v>0</v>
      </c>
      <c r="AC8" s="23">
        <f t="shared" si="3"/>
        <v>7.5906255986717464E-2</v>
      </c>
      <c r="AD8" s="23">
        <f t="shared" si="4"/>
        <v>0</v>
      </c>
      <c r="AE8" s="23">
        <f t="shared" si="5"/>
        <v>0.18992418992418994</v>
      </c>
      <c r="AF8" s="23">
        <f t="shared" si="6"/>
        <v>0.12698531056595333</v>
      </c>
      <c r="AG8" s="23">
        <f t="shared" si="7"/>
        <v>0.46663499416038162</v>
      </c>
      <c r="AH8" s="23">
        <f t="shared" si="8"/>
        <v>0.37723496080561347</v>
      </c>
      <c r="AI8" s="23">
        <f t="shared" si="9"/>
        <v>0.26221451526364975</v>
      </c>
      <c r="AJ8" s="23">
        <f t="shared" si="10"/>
        <v>0</v>
      </c>
      <c r="AK8" s="66">
        <f t="shared" si="11"/>
        <v>0.24211955717301972</v>
      </c>
      <c r="AL8" s="71"/>
    </row>
    <row r="9" spans="1:38" ht="17.5" customHeight="1" x14ac:dyDescent="0.35">
      <c r="A9" s="3">
        <v>7</v>
      </c>
      <c r="B9" s="12">
        <v>16.7119</v>
      </c>
      <c r="C9" s="13">
        <v>17.522300000000001</v>
      </c>
      <c r="D9" s="13">
        <v>226.99968000000001</v>
      </c>
      <c r="E9" s="13">
        <v>23.446200000000001</v>
      </c>
      <c r="F9" s="13">
        <v>15.0152</v>
      </c>
      <c r="G9" s="13">
        <v>3.1928999999999998</v>
      </c>
      <c r="H9" s="13">
        <v>6.4468999999999994</v>
      </c>
      <c r="I9" s="13">
        <v>107.8682</v>
      </c>
      <c r="J9" s="13">
        <v>21.273</v>
      </c>
      <c r="K9" s="13">
        <v>56.989600000000003</v>
      </c>
      <c r="L9" s="13">
        <v>2.7269999999999999</v>
      </c>
      <c r="M9" s="55">
        <f t="shared" si="12"/>
        <v>498.19287999999995</v>
      </c>
      <c r="N9" s="5">
        <v>0.50750000000000006</v>
      </c>
      <c r="O9" s="6">
        <v>0.19750000000000001</v>
      </c>
      <c r="P9" s="6">
        <v>6.1424799999999991</v>
      </c>
      <c r="Q9" s="6">
        <v>0.31019999999999998</v>
      </c>
      <c r="R9" s="6">
        <v>0</v>
      </c>
      <c r="S9" s="6">
        <v>0.25330000000000003</v>
      </c>
      <c r="T9" s="6">
        <v>0.20399999999999999</v>
      </c>
      <c r="U9" s="6">
        <v>16.582699999999999</v>
      </c>
      <c r="V9" s="6">
        <v>0.16500000000000001</v>
      </c>
      <c r="W9" s="6">
        <v>19.5745</v>
      </c>
      <c r="X9" s="6">
        <v>0</v>
      </c>
      <c r="Y9" s="59">
        <f t="shared" si="13"/>
        <v>43.937179999999998</v>
      </c>
      <c r="Z9" s="22">
        <f t="shared" si="0"/>
        <v>3.036758238141684E-2</v>
      </c>
      <c r="AA9" s="23">
        <f t="shared" si="1"/>
        <v>1.1271351363690838E-2</v>
      </c>
      <c r="AB9" s="23">
        <f t="shared" si="2"/>
        <v>2.7059421405351756E-2</v>
      </c>
      <c r="AC9" s="23">
        <f t="shared" si="3"/>
        <v>1.3230288916754099E-2</v>
      </c>
      <c r="AD9" s="23">
        <f t="shared" si="4"/>
        <v>0</v>
      </c>
      <c r="AE9" s="23">
        <f t="shared" si="5"/>
        <v>7.9332268470669307E-2</v>
      </c>
      <c r="AF9" s="23">
        <f t="shared" si="6"/>
        <v>3.1643115295723528E-2</v>
      </c>
      <c r="AG9" s="23">
        <f t="shared" si="7"/>
        <v>0.15373112743143946</v>
      </c>
      <c r="AH9" s="23">
        <f t="shared" si="8"/>
        <v>7.7563108165279934E-3</v>
      </c>
      <c r="AI9" s="23">
        <f t="shared" si="9"/>
        <v>0.34347494981540488</v>
      </c>
      <c r="AJ9" s="23">
        <f t="shared" si="10"/>
        <v>0</v>
      </c>
      <c r="AK9" s="66">
        <f t="shared" si="11"/>
        <v>8.819311106975275E-2</v>
      </c>
      <c r="AL9" s="71"/>
    </row>
    <row r="10" spans="1:38" ht="17.5" customHeight="1" x14ac:dyDescent="0.35">
      <c r="A10" s="3">
        <v>8</v>
      </c>
      <c r="B10" s="12">
        <v>3.8544</v>
      </c>
      <c r="C10" s="13">
        <v>2.1890999999999998</v>
      </c>
      <c r="D10" s="13">
        <v>5.7717000000000001</v>
      </c>
      <c r="E10" s="13">
        <v>16.511700000000001</v>
      </c>
      <c r="F10" s="13">
        <v>9.3011000000000017</v>
      </c>
      <c r="G10" s="13">
        <v>1.3334999999999999</v>
      </c>
      <c r="H10" s="13">
        <v>2.3193000000000001</v>
      </c>
      <c r="I10" s="13">
        <v>63.664400000000001</v>
      </c>
      <c r="J10" s="13">
        <v>0</v>
      </c>
      <c r="K10" s="13">
        <v>11.64405</v>
      </c>
      <c r="L10" s="13">
        <v>35.011800000000001</v>
      </c>
      <c r="M10" s="55">
        <f t="shared" si="12"/>
        <v>151.60104999999999</v>
      </c>
      <c r="N10" s="5">
        <v>5.0900000000000001E-2</v>
      </c>
      <c r="O10" s="6">
        <v>0</v>
      </c>
      <c r="P10" s="6">
        <v>0</v>
      </c>
      <c r="Q10" s="6">
        <v>2.06E-2</v>
      </c>
      <c r="R10" s="6">
        <v>1.11E-2</v>
      </c>
      <c r="S10" s="6">
        <v>0.64769999999999994</v>
      </c>
      <c r="T10" s="6">
        <v>0.43380000000000002</v>
      </c>
      <c r="U10" s="6">
        <v>31.653500000000001</v>
      </c>
      <c r="V10" s="6">
        <v>0</v>
      </c>
      <c r="W10" s="6">
        <v>4.5079500000000001</v>
      </c>
      <c r="X10" s="6">
        <v>0</v>
      </c>
      <c r="Y10" s="59">
        <f t="shared" si="13"/>
        <v>37.32555</v>
      </c>
      <c r="Z10" s="22">
        <f t="shared" si="0"/>
        <v>1.320568700705687E-2</v>
      </c>
      <c r="AA10" s="23">
        <f t="shared" si="1"/>
        <v>0</v>
      </c>
      <c r="AB10" s="23">
        <f t="shared" si="2"/>
        <v>0</v>
      </c>
      <c r="AC10" s="23">
        <f t="shared" si="3"/>
        <v>1.2476001865343968E-3</v>
      </c>
      <c r="AD10" s="23">
        <f t="shared" si="4"/>
        <v>1.1934072314027371E-3</v>
      </c>
      <c r="AE10" s="23">
        <f t="shared" si="5"/>
        <v>0.48571428571428571</v>
      </c>
      <c r="AF10" s="23">
        <f t="shared" si="6"/>
        <v>0.18703919285991463</v>
      </c>
      <c r="AG10" s="23">
        <f t="shared" si="7"/>
        <v>0.49719309378553794</v>
      </c>
      <c r="AH10" s="23">
        <f t="shared" si="8"/>
        <v>0</v>
      </c>
      <c r="AI10" s="23">
        <f t="shared" si="9"/>
        <v>0.38714622489597694</v>
      </c>
      <c r="AJ10" s="23">
        <f t="shared" si="10"/>
        <v>0</v>
      </c>
      <c r="AK10" s="66">
        <f t="shared" si="11"/>
        <v>0.24620904670515148</v>
      </c>
      <c r="AL10" s="71"/>
    </row>
    <row r="11" spans="1:38" ht="17.5" customHeight="1" x14ac:dyDescent="0.35">
      <c r="A11" s="40">
        <v>9</v>
      </c>
      <c r="B11" s="41">
        <v>25.241599999999998</v>
      </c>
      <c r="C11" s="42">
        <v>19.296800000000001</v>
      </c>
      <c r="D11" s="42">
        <v>217.82650000000001</v>
      </c>
      <c r="E11" s="42">
        <v>16.992599999999999</v>
      </c>
      <c r="F11" s="42">
        <v>16.113099999999999</v>
      </c>
      <c r="G11" s="42">
        <v>0.21410000000000001</v>
      </c>
      <c r="H11" s="42">
        <v>6.6151</v>
      </c>
      <c r="I11" s="42">
        <v>68.839500000000001</v>
      </c>
      <c r="J11" s="42">
        <v>11.6892</v>
      </c>
      <c r="K11" s="42">
        <v>62.963000000000022</v>
      </c>
      <c r="L11" s="42">
        <v>0</v>
      </c>
      <c r="M11" s="57">
        <f t="shared" si="12"/>
        <v>445.79149999999998</v>
      </c>
      <c r="N11" s="43">
        <v>0.3997</v>
      </c>
      <c r="O11" s="44">
        <v>2.4660000000000002</v>
      </c>
      <c r="P11" s="44">
        <v>8.9170000000000016</v>
      </c>
      <c r="Q11" s="44">
        <v>0.2833</v>
      </c>
      <c r="R11" s="44">
        <v>2.5827</v>
      </c>
      <c r="S11" s="44">
        <v>0</v>
      </c>
      <c r="T11" s="44">
        <v>0.37830000000000003</v>
      </c>
      <c r="U11" s="44">
        <v>25.296700000000001</v>
      </c>
      <c r="V11" s="44">
        <v>3.5546000000000002</v>
      </c>
      <c r="W11" s="44">
        <v>23.364899999999999</v>
      </c>
      <c r="X11" s="44">
        <v>0</v>
      </c>
      <c r="Y11" s="61">
        <f t="shared" si="13"/>
        <v>67.243200000000002</v>
      </c>
      <c r="Z11" s="45">
        <f t="shared" si="0"/>
        <v>1.5834970841784989E-2</v>
      </c>
      <c r="AA11" s="46">
        <f t="shared" si="1"/>
        <v>0.12779320923676465</v>
      </c>
      <c r="AB11" s="46">
        <f t="shared" si="2"/>
        <v>4.0936249721682173E-2</v>
      </c>
      <c r="AC11" s="46">
        <f t="shared" si="3"/>
        <v>1.6671963089815566E-2</v>
      </c>
      <c r="AD11" s="46">
        <f t="shared" si="4"/>
        <v>0.16028573024433537</v>
      </c>
      <c r="AE11" s="46">
        <f t="shared" si="5"/>
        <v>0</v>
      </c>
      <c r="AF11" s="46">
        <f t="shared" si="6"/>
        <v>5.718734410666506E-2</v>
      </c>
      <c r="AG11" s="46">
        <f t="shared" si="7"/>
        <v>0.36747361616513774</v>
      </c>
      <c r="AH11" s="46">
        <f t="shared" si="8"/>
        <v>0.30409266673510593</v>
      </c>
      <c r="AI11" s="46">
        <f t="shared" si="9"/>
        <v>0.3710893699474293</v>
      </c>
      <c r="AJ11" s="46">
        <f t="shared" si="10"/>
        <v>0</v>
      </c>
      <c r="AK11" s="68">
        <f t="shared" si="11"/>
        <v>0.15084002274605954</v>
      </c>
      <c r="AL11" s="71"/>
    </row>
    <row r="12" spans="1:38" ht="17.5" customHeight="1" x14ac:dyDescent="0.35">
      <c r="A12" s="3">
        <v>10</v>
      </c>
      <c r="B12" s="12">
        <v>10.5114</v>
      </c>
      <c r="C12" s="13">
        <v>10.3851</v>
      </c>
      <c r="D12" s="13">
        <v>1.3684000000000001</v>
      </c>
      <c r="E12" s="13">
        <v>15.093400000000001</v>
      </c>
      <c r="F12" s="13">
        <v>26.569099999999999</v>
      </c>
      <c r="G12" s="13">
        <v>13.81945</v>
      </c>
      <c r="H12" s="13">
        <v>22.129200000000001</v>
      </c>
      <c r="I12" s="13">
        <v>0</v>
      </c>
      <c r="J12" s="13">
        <v>0</v>
      </c>
      <c r="K12" s="13">
        <v>97.478399999999979</v>
      </c>
      <c r="L12" s="13">
        <v>0</v>
      </c>
      <c r="M12" s="55">
        <f t="shared" si="12"/>
        <v>197.35444999999999</v>
      </c>
      <c r="N12" s="5">
        <v>0.2092</v>
      </c>
      <c r="O12" s="6">
        <v>0.82469999999999999</v>
      </c>
      <c r="P12" s="6">
        <v>0</v>
      </c>
      <c r="Q12" s="6">
        <v>0.26769999999999999</v>
      </c>
      <c r="R12" s="6">
        <v>0.10199999999999999</v>
      </c>
      <c r="S12" s="6">
        <v>0.56045000000000011</v>
      </c>
      <c r="T12" s="6">
        <v>0.23400000000000001</v>
      </c>
      <c r="U12" s="6">
        <v>0</v>
      </c>
      <c r="V12" s="6">
        <v>0</v>
      </c>
      <c r="W12" s="6">
        <v>39.122100000000017</v>
      </c>
      <c r="X12" s="6">
        <v>0</v>
      </c>
      <c r="Y12" s="59">
        <f t="shared" si="13"/>
        <v>41.320150000000019</v>
      </c>
      <c r="Z12" s="22">
        <f t="shared" si="0"/>
        <v>1.9902201419411306E-2</v>
      </c>
      <c r="AA12" s="23">
        <f t="shared" si="1"/>
        <v>7.9411849669237658E-2</v>
      </c>
      <c r="AB12" s="23">
        <f t="shared" si="2"/>
        <v>0</v>
      </c>
      <c r="AC12" s="23">
        <f t="shared" si="3"/>
        <v>1.7736229080260246E-2</v>
      </c>
      <c r="AD12" s="23">
        <f t="shared" si="4"/>
        <v>3.839046109954797E-3</v>
      </c>
      <c r="AE12" s="23">
        <f t="shared" si="5"/>
        <v>4.0555159575815257E-2</v>
      </c>
      <c r="AF12" s="23">
        <f t="shared" si="6"/>
        <v>1.0574263868553766E-2</v>
      </c>
      <c r="AG12" s="23">
        <f t="shared" si="7"/>
        <v>0</v>
      </c>
      <c r="AH12" s="23">
        <f t="shared" si="8"/>
        <v>0</v>
      </c>
      <c r="AI12" s="23">
        <f t="shared" si="9"/>
        <v>0.40134122020878499</v>
      </c>
      <c r="AJ12" s="23">
        <f t="shared" si="10"/>
        <v>0</v>
      </c>
      <c r="AK12" s="66">
        <f t="shared" si="11"/>
        <v>0.20937024728857151</v>
      </c>
      <c r="AL12" s="71"/>
    </row>
    <row r="13" spans="1:38" ht="17.5" customHeight="1" x14ac:dyDescent="0.35">
      <c r="A13" s="3">
        <v>11</v>
      </c>
      <c r="B13" s="12">
        <v>12.564299999999999</v>
      </c>
      <c r="C13" s="13">
        <v>3.3784999999999998</v>
      </c>
      <c r="D13" s="13">
        <v>10.055199999999999</v>
      </c>
      <c r="E13" s="13">
        <v>10.7784</v>
      </c>
      <c r="F13" s="13">
        <v>4.08</v>
      </c>
      <c r="G13" s="13">
        <v>4.6497000000000011</v>
      </c>
      <c r="H13" s="13">
        <v>3.1000999999999999</v>
      </c>
      <c r="I13" s="13">
        <v>73.154300000000006</v>
      </c>
      <c r="J13" s="13">
        <v>0</v>
      </c>
      <c r="K13" s="13">
        <v>26.8599</v>
      </c>
      <c r="L13" s="13">
        <v>0</v>
      </c>
      <c r="M13" s="55">
        <f t="shared" si="12"/>
        <v>148.62040000000002</v>
      </c>
      <c r="N13" s="5">
        <v>1.5733999999999999</v>
      </c>
      <c r="O13" s="6">
        <v>0.35799999999999998</v>
      </c>
      <c r="P13" s="6">
        <v>0</v>
      </c>
      <c r="Q13" s="6">
        <v>6.0000000000000001E-3</v>
      </c>
      <c r="R13" s="6">
        <v>0.53600000000000003</v>
      </c>
      <c r="S13" s="6">
        <v>1.0341</v>
      </c>
      <c r="T13" s="6">
        <v>0.17879999999999999</v>
      </c>
      <c r="U13" s="6">
        <v>24.7271</v>
      </c>
      <c r="V13" s="6">
        <v>0</v>
      </c>
      <c r="W13" s="6">
        <v>11.276199999999999</v>
      </c>
      <c r="X13" s="6">
        <v>0</v>
      </c>
      <c r="Y13" s="59">
        <f t="shared" si="13"/>
        <v>39.689599999999999</v>
      </c>
      <c r="Z13" s="22">
        <f t="shared" si="0"/>
        <v>0.12522782805249794</v>
      </c>
      <c r="AA13" s="23">
        <f t="shared" si="1"/>
        <v>0.10596418528932959</v>
      </c>
      <c r="AB13" s="23">
        <f t="shared" si="2"/>
        <v>0</v>
      </c>
      <c r="AC13" s="23">
        <f t="shared" si="3"/>
        <v>5.566688933422401E-4</v>
      </c>
      <c r="AD13" s="23">
        <f t="shared" si="4"/>
        <v>0.13137254901960785</v>
      </c>
      <c r="AE13" s="23">
        <f t="shared" si="5"/>
        <v>0.22240144525453251</v>
      </c>
      <c r="AF13" s="23">
        <f t="shared" si="6"/>
        <v>5.7675558852940227E-2</v>
      </c>
      <c r="AG13" s="23">
        <f t="shared" si="7"/>
        <v>0.33801293977250824</v>
      </c>
      <c r="AH13" s="23">
        <f t="shared" si="8"/>
        <v>0</v>
      </c>
      <c r="AI13" s="23">
        <f t="shared" si="9"/>
        <v>0.41981541256668864</v>
      </c>
      <c r="AJ13" s="23">
        <f t="shared" si="10"/>
        <v>0</v>
      </c>
      <c r="AK13" s="66">
        <f t="shared" si="11"/>
        <v>0.26705351351496831</v>
      </c>
      <c r="AL13" s="71"/>
    </row>
    <row r="14" spans="1:38" ht="17.5" customHeight="1" x14ac:dyDescent="0.35">
      <c r="A14" s="33">
        <v>12</v>
      </c>
      <c r="B14" s="34">
        <v>15.208899999999989</v>
      </c>
      <c r="C14" s="35">
        <v>6.0338000000000003</v>
      </c>
      <c r="D14" s="35">
        <v>19.814033333333331</v>
      </c>
      <c r="E14" s="35">
        <v>18.930933333333329</v>
      </c>
      <c r="F14" s="35">
        <v>4.7210999999999999</v>
      </c>
      <c r="G14" s="35">
        <v>5.0452999999999992</v>
      </c>
      <c r="H14" s="35">
        <v>2.2795999999999998</v>
      </c>
      <c r="I14" s="35">
        <v>0</v>
      </c>
      <c r="J14" s="35">
        <v>0</v>
      </c>
      <c r="K14" s="35">
        <v>27.826049999999999</v>
      </c>
      <c r="L14" s="35">
        <v>0</v>
      </c>
      <c r="M14" s="56">
        <f t="shared" si="12"/>
        <v>99.859716666666642</v>
      </c>
      <c r="N14" s="36">
        <v>1.3196000000000001</v>
      </c>
      <c r="O14" s="37">
        <v>0</v>
      </c>
      <c r="P14" s="37">
        <v>2.6700000000000002E-2</v>
      </c>
      <c r="Q14" s="37">
        <v>0.01</v>
      </c>
      <c r="R14" s="37">
        <v>0</v>
      </c>
      <c r="S14" s="37">
        <v>0.88190000000000013</v>
      </c>
      <c r="T14" s="37">
        <v>0.13819999999999999</v>
      </c>
      <c r="U14" s="37">
        <v>0</v>
      </c>
      <c r="V14" s="37">
        <v>0</v>
      </c>
      <c r="W14" s="37">
        <v>8.5135500000000004</v>
      </c>
      <c r="X14" s="37">
        <v>0</v>
      </c>
      <c r="Y14" s="60">
        <f t="shared" si="13"/>
        <v>10.889950000000001</v>
      </c>
      <c r="Z14" s="38">
        <f t="shared" si="0"/>
        <v>8.6764986290921831E-2</v>
      </c>
      <c r="AA14" s="39">
        <f t="shared" si="1"/>
        <v>0</v>
      </c>
      <c r="AB14" s="39">
        <f t="shared" si="2"/>
        <v>1.347529781081086E-3</v>
      </c>
      <c r="AC14" s="39">
        <f t="shared" si="3"/>
        <v>5.2823597357411515E-4</v>
      </c>
      <c r="AD14" s="39">
        <f t="shared" si="4"/>
        <v>0</v>
      </c>
      <c r="AE14" s="39">
        <f t="shared" si="5"/>
        <v>0.1747963451132738</v>
      </c>
      <c r="AF14" s="39">
        <f t="shared" si="6"/>
        <v>6.0624670994911388E-2</v>
      </c>
      <c r="AG14" s="39">
        <f t="shared" si="7"/>
        <v>0</v>
      </c>
      <c r="AH14" s="39">
        <f t="shared" si="8"/>
        <v>0</v>
      </c>
      <c r="AI14" s="39">
        <f t="shared" si="9"/>
        <v>0.30595610947295793</v>
      </c>
      <c r="AJ14" s="39">
        <f t="shared" si="10"/>
        <v>0</v>
      </c>
      <c r="AK14" s="67">
        <f t="shared" si="11"/>
        <v>0.10905248245747412</v>
      </c>
      <c r="AL14" s="71"/>
    </row>
    <row r="15" spans="1:38" ht="17.5" customHeight="1" x14ac:dyDescent="0.35">
      <c r="A15" s="3">
        <v>13</v>
      </c>
      <c r="B15" s="12">
        <v>1.2101999999999999</v>
      </c>
      <c r="C15" s="13">
        <v>0</v>
      </c>
      <c r="D15" s="13">
        <v>0</v>
      </c>
      <c r="E15" s="13">
        <v>1.3045</v>
      </c>
      <c r="F15" s="13">
        <v>0</v>
      </c>
      <c r="G15" s="13">
        <v>0.36670000000000008</v>
      </c>
      <c r="H15" s="13">
        <v>0.71809999999999996</v>
      </c>
      <c r="I15" s="13">
        <v>0</v>
      </c>
      <c r="J15" s="13">
        <v>0</v>
      </c>
      <c r="K15" s="13">
        <v>6.8527699999999996</v>
      </c>
      <c r="L15" s="13">
        <v>0</v>
      </c>
      <c r="M15" s="55">
        <f t="shared" si="12"/>
        <v>10.452269999999999</v>
      </c>
      <c r="N15" s="5">
        <v>1.35E-2</v>
      </c>
      <c r="O15" s="6">
        <v>0</v>
      </c>
      <c r="P15" s="6">
        <v>0</v>
      </c>
      <c r="Q15" s="6">
        <v>5.0000000000000001E-3</v>
      </c>
      <c r="R15" s="6">
        <v>0</v>
      </c>
      <c r="S15" s="6">
        <v>2.7699999999999999E-2</v>
      </c>
      <c r="T15" s="6">
        <v>6.8900000000000003E-2</v>
      </c>
      <c r="U15" s="6">
        <v>0</v>
      </c>
      <c r="V15" s="6">
        <v>0</v>
      </c>
      <c r="W15" s="6">
        <v>1.83327</v>
      </c>
      <c r="X15" s="6">
        <v>0</v>
      </c>
      <c r="Y15" s="59">
        <f t="shared" si="13"/>
        <v>1.9483699999999999</v>
      </c>
      <c r="Z15" s="22">
        <f t="shared" si="0"/>
        <v>1.1155180961824492E-2</v>
      </c>
      <c r="AA15" s="23">
        <f t="shared" si="1"/>
        <v>0</v>
      </c>
      <c r="AB15" s="23">
        <f t="shared" si="2"/>
        <v>0</v>
      </c>
      <c r="AC15" s="23">
        <f t="shared" si="3"/>
        <v>3.8328861632809506E-3</v>
      </c>
      <c r="AD15" s="23">
        <f t="shared" si="4"/>
        <v>0</v>
      </c>
      <c r="AE15" s="23">
        <f t="shared" si="5"/>
        <v>7.553858740114533E-2</v>
      </c>
      <c r="AF15" s="23">
        <f t="shared" si="6"/>
        <v>9.5947639604511914E-2</v>
      </c>
      <c r="AG15" s="23">
        <f t="shared" si="7"/>
        <v>0</v>
      </c>
      <c r="AH15" s="23">
        <f t="shared" si="8"/>
        <v>0</v>
      </c>
      <c r="AI15" s="23">
        <f t="shared" si="9"/>
        <v>0.26752247631249848</v>
      </c>
      <c r="AJ15" s="23">
        <f t="shared" si="10"/>
        <v>0</v>
      </c>
      <c r="AK15" s="66">
        <f t="shared" si="11"/>
        <v>0.18640639784467875</v>
      </c>
      <c r="AL15" s="71"/>
    </row>
    <row r="16" spans="1:38" ht="17.5" customHeight="1" thickBot="1" x14ac:dyDescent="0.4">
      <c r="A16" s="4">
        <v>16</v>
      </c>
      <c r="B16" s="14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17.476800000000001</v>
      </c>
      <c r="J16" s="15">
        <v>8.2094000000000005</v>
      </c>
      <c r="K16" s="15">
        <v>8.0762</v>
      </c>
      <c r="L16" s="15">
        <v>0</v>
      </c>
      <c r="M16" s="47">
        <f t="shared" si="12"/>
        <v>33.7624</v>
      </c>
      <c r="N16" s="7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62">
        <f t="shared" si="13"/>
        <v>0</v>
      </c>
      <c r="Z16" s="24">
        <f t="shared" si="0"/>
        <v>0</v>
      </c>
      <c r="AA16" s="25">
        <f t="shared" si="1"/>
        <v>0</v>
      </c>
      <c r="AB16" s="25">
        <f t="shared" si="2"/>
        <v>0</v>
      </c>
      <c r="AC16" s="25">
        <f t="shared" si="3"/>
        <v>0</v>
      </c>
      <c r="AD16" s="25">
        <f t="shared" si="4"/>
        <v>0</v>
      </c>
      <c r="AE16" s="25">
        <f t="shared" si="5"/>
        <v>0</v>
      </c>
      <c r="AF16" s="25">
        <f t="shared" si="6"/>
        <v>0</v>
      </c>
      <c r="AG16" s="25">
        <f t="shared" si="7"/>
        <v>0</v>
      </c>
      <c r="AH16" s="25">
        <f t="shared" si="8"/>
        <v>0</v>
      </c>
      <c r="AI16" s="25">
        <f t="shared" si="9"/>
        <v>0</v>
      </c>
      <c r="AJ16" s="25">
        <f t="shared" si="10"/>
        <v>0</v>
      </c>
      <c r="AK16" s="69">
        <f t="shared" si="11"/>
        <v>0</v>
      </c>
      <c r="AL16" s="71"/>
    </row>
    <row r="17" spans="1:37" ht="25" customHeight="1" thickBot="1" x14ac:dyDescent="0.4">
      <c r="A17" s="4" t="s">
        <v>13</v>
      </c>
      <c r="B17" s="48">
        <f>SUM(B3:B16)</f>
        <v>140.81799999999998</v>
      </c>
      <c r="C17" s="49">
        <f t="shared" ref="C17:L17" si="14">SUM(C3:C16)</f>
        <v>95.364400000000003</v>
      </c>
      <c r="D17" s="49">
        <f t="shared" si="14"/>
        <v>500.33411333333339</v>
      </c>
      <c r="E17" s="49">
        <f t="shared" si="14"/>
        <v>145.22313333333332</v>
      </c>
      <c r="F17" s="49">
        <f t="shared" si="14"/>
        <v>98.08850000000001</v>
      </c>
      <c r="G17" s="49">
        <f t="shared" si="14"/>
        <v>46.614250000000006</v>
      </c>
      <c r="H17" s="49">
        <f t="shared" si="14"/>
        <v>63.830000000000005</v>
      </c>
      <c r="I17" s="49">
        <f t="shared" si="14"/>
        <v>515.26662399999998</v>
      </c>
      <c r="J17" s="49">
        <f t="shared" si="14"/>
        <v>49.013199999999998</v>
      </c>
      <c r="K17" s="49">
        <f t="shared" si="14"/>
        <v>500.69601999999998</v>
      </c>
      <c r="L17" s="49">
        <f t="shared" si="14"/>
        <v>37.738799999999998</v>
      </c>
      <c r="M17" s="50">
        <f>SUM(M3:M16)</f>
        <v>2192.9870406666673</v>
      </c>
      <c r="N17" s="51">
        <f>SUM(N3:N16)</f>
        <v>7.0451999999999995</v>
      </c>
      <c r="O17" s="52">
        <f t="shared" ref="O17:X17" si="15">SUM(O3:O16)</f>
        <v>4.4962</v>
      </c>
      <c r="P17" s="52">
        <f t="shared" si="15"/>
        <v>15.28068</v>
      </c>
      <c r="Q17" s="52">
        <f t="shared" si="15"/>
        <v>1.6431</v>
      </c>
      <c r="R17" s="52">
        <f t="shared" si="15"/>
        <v>7.0413999999999994</v>
      </c>
      <c r="S17" s="52">
        <f t="shared" si="15"/>
        <v>7.2126500000000009</v>
      </c>
      <c r="T17" s="52">
        <f t="shared" si="15"/>
        <v>4.5810000000000013</v>
      </c>
      <c r="U17" s="52">
        <f t="shared" si="15"/>
        <v>160.42602400000004</v>
      </c>
      <c r="V17" s="52">
        <f t="shared" si="15"/>
        <v>6.6378000000000004</v>
      </c>
      <c r="W17" s="52">
        <f t="shared" si="15"/>
        <v>184.27832000000001</v>
      </c>
      <c r="X17" s="52">
        <f t="shared" si="15"/>
        <v>0</v>
      </c>
      <c r="Y17" s="53">
        <f>SUM(Y3:Y16)</f>
        <v>398.64237400000002</v>
      </c>
      <c r="Z17" s="63">
        <f t="shared" ref="Z17:AK17" si="16">SUMPRODUCT(Z3:Z16,B3:B16)/B17</f>
        <v>5.0030535868994017E-2</v>
      </c>
      <c r="AA17" s="64">
        <f t="shared" si="16"/>
        <v>4.7147572888834824E-2</v>
      </c>
      <c r="AB17" s="64">
        <f t="shared" si="16"/>
        <v>3.0540951721634221E-2</v>
      </c>
      <c r="AC17" s="64">
        <f t="shared" si="16"/>
        <v>1.1314313100713524E-2</v>
      </c>
      <c r="AD17" s="64">
        <f t="shared" si="16"/>
        <v>7.1786193080738303E-2</v>
      </c>
      <c r="AE17" s="64">
        <f t="shared" si="16"/>
        <v>0.15473058131365408</v>
      </c>
      <c r="AF17" s="64">
        <f t="shared" si="16"/>
        <v>7.1768760770797441E-2</v>
      </c>
      <c r="AG17" s="64">
        <f t="shared" si="16"/>
        <v>0.31134565393469005</v>
      </c>
      <c r="AH17" s="64">
        <f t="shared" si="16"/>
        <v>0.13542882325577602</v>
      </c>
      <c r="AI17" s="64">
        <f t="shared" si="16"/>
        <v>0.36804430760204571</v>
      </c>
      <c r="AJ17" s="64">
        <f t="shared" si="16"/>
        <v>0</v>
      </c>
      <c r="AK17" s="72">
        <f t="shared" si="16"/>
        <v>0.18178054252377746</v>
      </c>
    </row>
    <row r="20" spans="1:37" x14ac:dyDescent="0.35">
      <c r="AF20" s="71"/>
      <c r="AG20" s="71"/>
    </row>
    <row r="21" spans="1:37" x14ac:dyDescent="0.35">
      <c r="AF21" s="71"/>
    </row>
  </sheetData>
  <mergeCells count="4">
    <mergeCell ref="Z1:AK1"/>
    <mergeCell ref="A1:A2"/>
    <mergeCell ref="B1:M1"/>
    <mergeCell ref="N1:Y1"/>
  </mergeCells>
  <pageMargins left="0.75" right="0.75" top="1" bottom="1" header="0.5" footer="0.5"/>
  <pageSetup orientation="portrait" r:id="rId1"/>
  <ignoredErrors>
    <ignoredError sqref="M3:M16 AK3:AK16 Y3:Y1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04FD-F93C-42FF-81E6-E45B8ECA3BD9}">
  <dimension ref="B1:N17"/>
  <sheetViews>
    <sheetView rightToLeft="1" topLeftCell="B2" zoomScale="120" zoomScaleNormal="120" workbookViewId="0">
      <selection activeCell="H13" sqref="H13"/>
    </sheetView>
  </sheetViews>
  <sheetFormatPr defaultRowHeight="14.5" x14ac:dyDescent="0.35"/>
  <cols>
    <col min="1" max="1" width="7.26953125" style="1" customWidth="1"/>
    <col min="2" max="2" width="8.7265625" style="1"/>
    <col min="3" max="7" width="10.90625" style="1" customWidth="1"/>
    <col min="8" max="8" width="8.7265625" style="1"/>
    <col min="9" max="9" width="22.08984375" style="1" bestFit="1" customWidth="1"/>
    <col min="10" max="12" width="10.90625" style="1" customWidth="1"/>
    <col min="13" max="16384" width="8.7265625" style="1"/>
  </cols>
  <sheetData>
    <row r="1" spans="2:14" ht="40" customHeight="1" thickBot="1" x14ac:dyDescent="0.4"/>
    <row r="2" spans="2:14" ht="101" thickTop="1" thickBot="1" x14ac:dyDescent="0.4">
      <c r="B2" s="77" t="s">
        <v>0</v>
      </c>
      <c r="C2" s="98" t="s">
        <v>23</v>
      </c>
      <c r="D2" s="91" t="s">
        <v>22</v>
      </c>
      <c r="E2" s="78" t="s">
        <v>20</v>
      </c>
      <c r="F2" s="79" t="s">
        <v>19</v>
      </c>
      <c r="G2" s="80" t="s">
        <v>18</v>
      </c>
      <c r="I2" s="77" t="s">
        <v>1</v>
      </c>
      <c r="J2" s="78" t="s">
        <v>20</v>
      </c>
      <c r="K2" s="79" t="s">
        <v>19</v>
      </c>
      <c r="L2" s="80" t="s">
        <v>18</v>
      </c>
    </row>
    <row r="3" spans="2:14" ht="20.5" thickTop="1" x14ac:dyDescent="0.35">
      <c r="B3" s="26">
        <v>1</v>
      </c>
      <c r="C3" s="100">
        <v>42.587899999999998</v>
      </c>
      <c r="D3" s="92">
        <v>44.961444338682611</v>
      </c>
      <c r="E3" s="54">
        <f>'مساحت غیرسبز'!M3</f>
        <v>49.140099999999997</v>
      </c>
      <c r="F3" s="58">
        <f>'مساحت غیرسبز'!Y3</f>
        <v>6.5061999999999998</v>
      </c>
      <c r="G3" s="65">
        <f>'مساحت غیرسبز'!AK3</f>
        <v>0.13240103296493089</v>
      </c>
      <c r="I3" s="88" t="s">
        <v>2</v>
      </c>
      <c r="J3" s="54">
        <f>'مساحت غیرسبز'!B17</f>
        <v>140.81799999999998</v>
      </c>
      <c r="K3" s="58">
        <f>'مساحت غیرسبز'!N17</f>
        <v>7.0451999999999995</v>
      </c>
      <c r="L3" s="65">
        <f>'مساحت غیرسبز'!Z17</f>
        <v>5.0030535868994017E-2</v>
      </c>
      <c r="M3" s="71"/>
    </row>
    <row r="4" spans="2:14" ht="20" x14ac:dyDescent="0.35">
      <c r="B4" s="3">
        <v>2</v>
      </c>
      <c r="C4" s="101">
        <v>124.5886</v>
      </c>
      <c r="D4" s="93">
        <v>128.31015849339019</v>
      </c>
      <c r="E4" s="55">
        <f>'مساحت غیرسبز'!M4</f>
        <v>166.43180000000001</v>
      </c>
      <c r="F4" s="59">
        <f>'مساحت غیرسبز'!Y4</f>
        <v>40.392499999999998</v>
      </c>
      <c r="G4" s="66">
        <f>'مساحت غیرسبز'!AK4</f>
        <v>0.24269700862455371</v>
      </c>
      <c r="I4" s="89" t="s">
        <v>3</v>
      </c>
      <c r="J4" s="55">
        <f>'مساحت غیرسبز'!C17</f>
        <v>95.364400000000003</v>
      </c>
      <c r="K4" s="59">
        <f>'مساحت غیرسبز'!O17</f>
        <v>4.4962</v>
      </c>
      <c r="L4" s="66">
        <f>'مساحت غیرسبز'!AA17</f>
        <v>4.7147572888834824E-2</v>
      </c>
      <c r="M4" s="71"/>
    </row>
    <row r="5" spans="2:14" ht="20" x14ac:dyDescent="0.35">
      <c r="B5" s="3">
        <v>3</v>
      </c>
      <c r="C5" s="101">
        <v>103.5865</v>
      </c>
      <c r="D5" s="93">
        <v>103.6064933887299</v>
      </c>
      <c r="E5" s="55">
        <f>'مساحت غیرسبز'!M5</f>
        <v>146.417824</v>
      </c>
      <c r="F5" s="59">
        <f>'مساحت غیرسبز'!Y5</f>
        <v>41.152023999999997</v>
      </c>
      <c r="G5" s="66">
        <f>'مساحت غیرسبز'!AK5</f>
        <v>0.28105884157928751</v>
      </c>
      <c r="I5" s="89" t="s">
        <v>4</v>
      </c>
      <c r="J5" s="55">
        <f>'مساحت غیرسبز'!D17</f>
        <v>500.33411333333339</v>
      </c>
      <c r="K5" s="59">
        <f>'مساحت غیرسبز'!P17</f>
        <v>15.28068</v>
      </c>
      <c r="L5" s="66">
        <f>'مساحت غیرسبز'!AB17</f>
        <v>3.0540951721634221E-2</v>
      </c>
      <c r="M5" s="71"/>
    </row>
    <row r="6" spans="2:14" ht="20" x14ac:dyDescent="0.35">
      <c r="B6" s="33">
        <v>4</v>
      </c>
      <c r="C6" s="102">
        <v>51.905000000000001</v>
      </c>
      <c r="D6" s="94">
        <v>61.494784349558167</v>
      </c>
      <c r="E6" s="56">
        <f>'مساحت غیرسبز'!M6</f>
        <v>73.116900000000001</v>
      </c>
      <c r="F6" s="60">
        <f>'مساحت غیرسبز'!Y6</f>
        <v>21.1265</v>
      </c>
      <c r="G6" s="67">
        <f>'مساحت غیرسبز'!AK6</f>
        <v>0.28894140752685082</v>
      </c>
      <c r="I6" s="89" t="s">
        <v>5</v>
      </c>
      <c r="J6" s="55">
        <f>'مساحت غیرسبز'!E17</f>
        <v>145.22313333333332</v>
      </c>
      <c r="K6" s="59">
        <f>'مساحت غیرسبز'!Q17</f>
        <v>1.6431</v>
      </c>
      <c r="L6" s="66">
        <f>'مساحت غیرسبز'!AC17</f>
        <v>1.1314313100713524E-2</v>
      </c>
      <c r="M6" s="71"/>
    </row>
    <row r="7" spans="2:14" ht="20" x14ac:dyDescent="0.35">
      <c r="B7" s="3">
        <v>5</v>
      </c>
      <c r="C7" s="101">
        <v>44.6798</v>
      </c>
      <c r="D7" s="93">
        <v>55.680299853927153</v>
      </c>
      <c r="E7" s="55">
        <f>'مساحت غیرسبز'!M7</f>
        <v>67.527649999999994</v>
      </c>
      <c r="F7" s="59">
        <f>'مساحت غیرسبز'!Y7</f>
        <v>21.75685</v>
      </c>
      <c r="G7" s="66">
        <f>'مساحت غیرسبز'!AK7</f>
        <v>0.32219172442695698</v>
      </c>
      <c r="I7" s="89" t="s">
        <v>6</v>
      </c>
      <c r="J7" s="55">
        <f>'مساحت غیرسبز'!F17</f>
        <v>98.08850000000001</v>
      </c>
      <c r="K7" s="59">
        <f>'مساحت غیرسبز'!R17</f>
        <v>7.0413999999999994</v>
      </c>
      <c r="L7" s="66">
        <f>'مساحت غیرسبز'!AD17</f>
        <v>7.1786193080738303E-2</v>
      </c>
      <c r="M7" s="71"/>
    </row>
    <row r="8" spans="2:14" ht="20" x14ac:dyDescent="0.35">
      <c r="B8" s="3">
        <v>6</v>
      </c>
      <c r="C8" s="101">
        <v>78.962400000000002</v>
      </c>
      <c r="D8" s="93">
        <v>84.709248549526109</v>
      </c>
      <c r="E8" s="55">
        <f>'مساحت غیرسبز'!M8</f>
        <v>104.71810000000001</v>
      </c>
      <c r="F8" s="59">
        <f>'مساحت غیرسبز'!Y8</f>
        <v>25.354299999999999</v>
      </c>
      <c r="G8" s="66">
        <f>'مساحت غیرسبز'!AK8</f>
        <v>0.24211955717301972</v>
      </c>
      <c r="I8" s="89" t="s">
        <v>7</v>
      </c>
      <c r="J8" s="55">
        <f>'مساحت غیرسبز'!G17</f>
        <v>46.614250000000006</v>
      </c>
      <c r="K8" s="59">
        <f>'مساحت غیرسبز'!S17</f>
        <v>7.2126500000000009</v>
      </c>
      <c r="L8" s="66">
        <f>'مساحت غیرسبز'!AE17</f>
        <v>0.15473058131365408</v>
      </c>
      <c r="M8" s="71"/>
    </row>
    <row r="9" spans="2:14" ht="20" x14ac:dyDescent="0.35">
      <c r="B9" s="3">
        <v>7</v>
      </c>
      <c r="C9" s="101">
        <v>452.69810000000001</v>
      </c>
      <c r="D9" s="93">
        <v>340.59345198686083</v>
      </c>
      <c r="E9" s="55">
        <f>'مساحت غیرسبز'!M9</f>
        <v>498.19287999999995</v>
      </c>
      <c r="F9" s="59">
        <f>'مساحت غیرسبز'!Y9</f>
        <v>43.937179999999998</v>
      </c>
      <c r="G9" s="66">
        <f>'مساحت غیرسبز'!AK9</f>
        <v>8.819311106975275E-2</v>
      </c>
      <c r="I9" s="90" t="s">
        <v>8</v>
      </c>
      <c r="J9" s="56">
        <f>'مساحت غیرسبز'!H17</f>
        <v>63.830000000000005</v>
      </c>
      <c r="K9" s="60">
        <f>'مساحت غیرسبز'!T17</f>
        <v>4.5810000000000013</v>
      </c>
      <c r="L9" s="67">
        <f>'مساحت غیرسبز'!AF17</f>
        <v>7.1768760770797441E-2</v>
      </c>
      <c r="M9" s="71"/>
    </row>
    <row r="10" spans="2:14" ht="20" x14ac:dyDescent="0.35">
      <c r="B10" s="3">
        <v>8</v>
      </c>
      <c r="C10" s="101">
        <v>111.2728</v>
      </c>
      <c r="D10" s="93">
        <v>95.76985784994099</v>
      </c>
      <c r="E10" s="55">
        <f>'مساحت غیرسبز'!M10</f>
        <v>151.60104999999999</v>
      </c>
      <c r="F10" s="59">
        <f>'مساحت غیرسبز'!Y10</f>
        <v>37.32555</v>
      </c>
      <c r="G10" s="66">
        <f>'مساحت غیرسبز'!AK10</f>
        <v>0.24620904670515148</v>
      </c>
      <c r="I10" s="89" t="s">
        <v>9</v>
      </c>
      <c r="J10" s="55">
        <f>'مساحت غیرسبز'!I17</f>
        <v>515.26662399999998</v>
      </c>
      <c r="K10" s="59">
        <f>'مساحت غیرسبز'!U17</f>
        <v>160.42602400000004</v>
      </c>
      <c r="L10" s="66">
        <f>'مساحت غیرسبز'!AG17</f>
        <v>0.31134565393469005</v>
      </c>
      <c r="M10" s="71"/>
      <c r="N10" s="70"/>
    </row>
    <row r="11" spans="2:14" ht="20" x14ac:dyDescent="0.35">
      <c r="B11" s="40">
        <v>9</v>
      </c>
      <c r="C11" s="103">
        <v>386.35109999999997</v>
      </c>
      <c r="D11" s="95">
        <v>293.21437845798607</v>
      </c>
      <c r="E11" s="57">
        <f>'مساحت غیرسبز'!M11</f>
        <v>445.79149999999998</v>
      </c>
      <c r="F11" s="61">
        <f>'مساحت غیرسبز'!Y11</f>
        <v>67.243200000000002</v>
      </c>
      <c r="G11" s="68">
        <f>'مساحت غیرسبز'!AK11</f>
        <v>0.15084002274605954</v>
      </c>
      <c r="I11" s="89" t="s">
        <v>10</v>
      </c>
      <c r="J11" s="55">
        <f>'مساحت غیرسبز'!J17</f>
        <v>49.013199999999998</v>
      </c>
      <c r="K11" s="59">
        <f>'مساحت غیرسبز'!V17</f>
        <v>6.6378000000000004</v>
      </c>
      <c r="L11" s="66">
        <f>'مساحت غیرسبز'!AH17</f>
        <v>0.13542882325577602</v>
      </c>
      <c r="M11" s="71"/>
    </row>
    <row r="12" spans="2:14" ht="20" x14ac:dyDescent="0.35">
      <c r="B12" s="3">
        <v>10</v>
      </c>
      <c r="C12" s="101">
        <v>152.72399999999999</v>
      </c>
      <c r="D12" s="93">
        <v>154.71294295589769</v>
      </c>
      <c r="E12" s="55">
        <f>'مساحت غیرسبز'!M12</f>
        <v>197.35444999999999</v>
      </c>
      <c r="F12" s="59">
        <f>'مساحت غیرسبز'!Y12</f>
        <v>41.320150000000019</v>
      </c>
      <c r="G12" s="66">
        <f>'مساحت غیرسبز'!AK12</f>
        <v>0.20937024728857151</v>
      </c>
      <c r="I12" s="89" t="s">
        <v>11</v>
      </c>
      <c r="J12" s="55">
        <f>'مساحت غیرسبز'!K17</f>
        <v>500.69601999999998</v>
      </c>
      <c r="K12" s="59">
        <f>'مساحت غیرسبز'!W17</f>
        <v>184.27832000000001</v>
      </c>
      <c r="L12" s="66">
        <f>'مساحت غیرسبز'!AI17</f>
        <v>0.36804430760204571</v>
      </c>
      <c r="M12" s="71"/>
    </row>
    <row r="13" spans="2:14" ht="20.5" thickBot="1" x14ac:dyDescent="0.4">
      <c r="B13" s="3">
        <v>11</v>
      </c>
      <c r="C13" s="101">
        <v>106.37909999999999</v>
      </c>
      <c r="D13" s="93">
        <v>129.3502296792675</v>
      </c>
      <c r="E13" s="55">
        <f>'مساحت غیرسبز'!M13</f>
        <v>148.62040000000002</v>
      </c>
      <c r="F13" s="59">
        <f>'مساحت غیرسبز'!Y13</f>
        <v>39.689599999999999</v>
      </c>
      <c r="G13" s="66">
        <f>'مساحت غیرسبز'!AK13</f>
        <v>0.26705351351496831</v>
      </c>
      <c r="I13" s="89" t="s">
        <v>12</v>
      </c>
      <c r="J13" s="55">
        <f>'مساحت غیرسبز'!L17</f>
        <v>37.738799999999998</v>
      </c>
      <c r="K13" s="59">
        <f>'مساحت غیرسبز'!X17</f>
        <v>0</v>
      </c>
      <c r="L13" s="66">
        <f>'مساحت غیرسبز'!AJ17</f>
        <v>0</v>
      </c>
      <c r="M13" s="71"/>
    </row>
    <row r="14" spans="2:14" ht="21" thickTop="1" thickBot="1" x14ac:dyDescent="0.4">
      <c r="B14" s="33">
        <v>12</v>
      </c>
      <c r="C14" s="102">
        <v>85.039299999999997</v>
      </c>
      <c r="D14" s="94">
        <v>95.023303678645789</v>
      </c>
      <c r="E14" s="56">
        <f>'مساحت غیرسبز'!M14</f>
        <v>99.859716666666642</v>
      </c>
      <c r="F14" s="60">
        <f>'مساحت غیرسبز'!Y14</f>
        <v>10.889950000000001</v>
      </c>
      <c r="G14" s="67">
        <f>'مساحت غیرسبز'!AK14</f>
        <v>0.10905248245747412</v>
      </c>
      <c r="I14" s="73" t="s">
        <v>13</v>
      </c>
      <c r="J14" s="74">
        <f>SUM(J3:J13)</f>
        <v>2192.9870406666669</v>
      </c>
      <c r="K14" s="75">
        <f>SUM(K3:K13)</f>
        <v>398.64237400000002</v>
      </c>
      <c r="L14" s="76">
        <f>K14/J14</f>
        <v>0.18178054252377751</v>
      </c>
    </row>
    <row r="15" spans="2:14" ht="21" thickTop="1" thickBot="1" x14ac:dyDescent="0.4">
      <c r="B15" s="3">
        <v>13</v>
      </c>
      <c r="C15" s="101">
        <v>7.2237</v>
      </c>
      <c r="D15" s="93">
        <v>8.4318874727844921</v>
      </c>
      <c r="E15" s="55">
        <f>'مساحت غیرسبز'!M15</f>
        <v>10.452269999999999</v>
      </c>
      <c r="F15" s="59">
        <f>'مساحت غیرسبز'!Y15</f>
        <v>1.9483699999999999</v>
      </c>
      <c r="G15" s="66">
        <f>'مساحت غیرسبز'!AK15</f>
        <v>0.18640639784467875</v>
      </c>
      <c r="I15" s="73" t="s">
        <v>21</v>
      </c>
      <c r="J15" s="74">
        <f>J10+J11+J12</f>
        <v>1064.9758440000001</v>
      </c>
      <c r="K15" s="75">
        <f>K10+K11+K12</f>
        <v>351.34214400000008</v>
      </c>
      <c r="L15" s="76">
        <f>K15/J15</f>
        <v>0.32990620959098493</v>
      </c>
    </row>
    <row r="16" spans="2:14" ht="21" thickTop="1" thickBot="1" x14ac:dyDescent="0.4">
      <c r="B16" s="4">
        <v>16</v>
      </c>
      <c r="C16" s="104">
        <v>33.664000000000001</v>
      </c>
      <c r="D16" s="96">
        <v>45.527900000000002</v>
      </c>
      <c r="E16" s="47">
        <f>'مساحت غیرسبز'!M16</f>
        <v>33.7624</v>
      </c>
      <c r="F16" s="62">
        <f>'مساحت غیرسبز'!Y16</f>
        <v>0</v>
      </c>
      <c r="G16" s="69">
        <f>'مساحت غیرسبز'!AK16</f>
        <v>0</v>
      </c>
    </row>
    <row r="17" spans="2:7" ht="20.5" thickBot="1" x14ac:dyDescent="0.4">
      <c r="B17" s="4" t="s">
        <v>13</v>
      </c>
      <c r="C17" s="99">
        <f>SUM(C3:C16)</f>
        <v>1781.6622999999997</v>
      </c>
      <c r="D17" s="97">
        <f>SUM(D3:D16)</f>
        <v>1641.3863810551977</v>
      </c>
      <c r="E17" s="50">
        <f>SUM(E3:E16)</f>
        <v>2192.9870406666673</v>
      </c>
      <c r="F17" s="53">
        <f>SUM(F3:F16)</f>
        <v>398.64237400000002</v>
      </c>
      <c r="G17" s="72">
        <f>SUMPRODUCT(G3:G16,E3:E16)/E17</f>
        <v>0.18178054252377746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مساحت غیرسبز</vt:lpstr>
      <vt:lpstr>نمودار</vt:lpstr>
      <vt:lpstr>مساحت نیاز آبیاری</vt:lpstr>
      <vt:lpstr>مساحت نگهداری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 Shirazi</cp:lastModifiedBy>
  <cp:lastPrinted>2021-01-23T06:59:47Z</cp:lastPrinted>
  <dcterms:created xsi:type="dcterms:W3CDTF">2021-01-18T08:34:08Z</dcterms:created>
  <dcterms:modified xsi:type="dcterms:W3CDTF">2021-01-23T07:36:06Z</dcterms:modified>
</cp:coreProperties>
</file>